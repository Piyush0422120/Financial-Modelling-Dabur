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ea68b641641ac255/ME/ME/LEARNING/Complete-Dabur/"/>
    </mc:Choice>
  </mc:AlternateContent>
  <xr:revisionPtr revIDLastSave="102" documentId="8_{2A6E057C-B8D2-4562-BB0C-80A2FB9EE71F}" xr6:coauthVersionLast="47" xr6:coauthVersionMax="47" xr10:uidLastSave="{570B49A2-E374-4175-9A42-CA1CB648CCC2}"/>
  <bookViews>
    <workbookView xWindow="-108" yWindow="-108" windowWidth="23256" windowHeight="12456" firstSheet="25" activeTab="30" xr2:uid="{00000000-000D-0000-FFFF-FFFF00000000}"/>
  </bookViews>
  <sheets>
    <sheet name="COVER" sheetId="9" r:id="rId1"/>
    <sheet name="Valuation Methodology" sheetId="27" r:id="rId2"/>
    <sheet name="Caution" sheetId="53" r:id="rId3"/>
    <sheet name="INDEX" sheetId="10" r:id="rId4"/>
    <sheet name="DATA" sheetId="15" r:id="rId5"/>
    <sheet name="BS" sheetId="14" r:id="rId6"/>
    <sheet name="P&amp;L" sheetId="11" r:id="rId7"/>
    <sheet name="Cash flow" sheetId="17" r:id="rId8"/>
    <sheet name="Data Pointers" sheetId="12" r:id="rId9"/>
    <sheet name="Data source links" sheetId="13" r:id="rId10"/>
    <sheet name="Forecasting" sheetId="24" r:id="rId11"/>
    <sheet name="Street estimates-FY24" sheetId="25" r:id="rId12"/>
    <sheet name="Street estimates-FY25" sheetId="29" r:id="rId13"/>
    <sheet name="Revenue " sheetId="35" r:id="rId14"/>
    <sheet name="COGS" sheetId="37" r:id="rId15"/>
    <sheet name="OPEX" sheetId="39" r:id="rId16"/>
    <sheet name="Inventory" sheetId="38" r:id="rId17"/>
    <sheet name="TR&amp;TP" sheetId="40" r:id="rId18"/>
    <sheet name="Fixed asset Schedule" sheetId="43" r:id="rId19"/>
    <sheet name="Interest paid &amp; Other income" sheetId="44" r:id="rId20"/>
    <sheet name="Output" sheetId="18" r:id="rId21"/>
    <sheet name="BS(OUTPUT)" sheetId="20" r:id="rId22"/>
    <sheet name="P&amp;L(OUTPUT)" sheetId="19" r:id="rId23"/>
    <sheet name="CASH FLOW(OUTPUT)" sheetId="23" r:id="rId24"/>
    <sheet name="Ratio analysis" sheetId="31" r:id="rId25"/>
    <sheet name="Valuation" sheetId="46" r:id="rId26"/>
    <sheet name="NCI value" sheetId="33" r:id="rId27"/>
    <sheet name="JV Valuation" sheetId="50" r:id="rId28"/>
    <sheet name="Forward PE valuation" sheetId="45" r:id="rId29"/>
    <sheet name="WACC" sheetId="49" r:id="rId30"/>
    <sheet name="DCF" sheetId="52" r:id="rId31"/>
    <sheet name="Graphs" sheetId="54" r:id="rId32"/>
    <sheet name="Revenue" sheetId="55" r:id="rId33"/>
    <sheet name="Profit" sheetId="56" r:id="rId34"/>
    <sheet name="Balance sheet" sheetId="57" r:id="rId35"/>
    <sheet name="Returns" sheetId="58" r:id="rId36"/>
  </sheets>
  <definedNames>
    <definedName name="_xlchart.v1.0" hidden="1">(Profit!$C$4:$C$5,Profit!$C$7:$C$9,Profit!$C$11,Profit!$C$13,Profit!$C$15,Profit!$C$17:$C$18)</definedName>
    <definedName name="_xlchart.v1.1" hidden="1">(Profit!$N$4:$N$5,Profit!$N$7:$N$9,Profit!$N$11,Profit!$N$13,Profit!$N$15,Profit!$N$17:$N$18)</definedName>
  </definedNames>
  <calcPr calcId="191029"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58" l="1"/>
  <c r="C10" i="58"/>
  <c r="C11" i="58"/>
  <c r="C9" i="58"/>
  <c r="B5" i="58"/>
  <c r="B6" i="58"/>
  <c r="B7" i="58"/>
  <c r="B4" i="58"/>
  <c r="C5" i="58"/>
  <c r="C6" i="58"/>
  <c r="C7" i="58"/>
  <c r="C4" i="58"/>
  <c r="C11" i="57"/>
  <c r="C12" i="57"/>
  <c r="C10" i="57"/>
  <c r="C155" i="56"/>
  <c r="C149" i="56"/>
  <c r="C150" i="56"/>
  <c r="C151" i="56"/>
  <c r="C152" i="56"/>
  <c r="C153" i="56"/>
  <c r="C154" i="56"/>
  <c r="C148" i="56"/>
  <c r="C119" i="56"/>
  <c r="C120" i="56"/>
  <c r="C118" i="56"/>
  <c r="C38" i="56" a="1"/>
  <c r="C38" i="56" s="1"/>
  <c r="C25" i="56"/>
  <c r="C26" i="56"/>
  <c r="C24" i="56"/>
  <c r="D6" i="55" l="1"/>
  <c r="D7" i="55"/>
  <c r="D8" i="55"/>
  <c r="D9" i="55"/>
  <c r="E6" i="55"/>
  <c r="F6" i="55"/>
  <c r="G6" i="55"/>
  <c r="H6" i="55"/>
  <c r="I6" i="55"/>
  <c r="E7" i="55"/>
  <c r="F7" i="55"/>
  <c r="G7" i="55"/>
  <c r="H7" i="55"/>
  <c r="I7" i="55"/>
  <c r="E8" i="55"/>
  <c r="F8" i="55"/>
  <c r="G8" i="55"/>
  <c r="H8" i="55"/>
  <c r="I8" i="55"/>
  <c r="E9" i="55"/>
  <c r="F9" i="55"/>
  <c r="G9" i="55"/>
  <c r="H9" i="55"/>
  <c r="I9" i="55"/>
  <c r="C7" i="55"/>
  <c r="C44" i="55" s="1"/>
  <c r="C8" i="55"/>
  <c r="C45" i="55" s="1"/>
  <c r="C9" i="55"/>
  <c r="C46" i="55" s="1"/>
  <c r="C6" i="55"/>
  <c r="C43" i="55" s="1"/>
  <c r="G6" i="33"/>
  <c r="K6" i="33" s="1"/>
  <c r="F33" i="52"/>
  <c r="I10" i="55" l="1"/>
  <c r="I46" i="55" s="1"/>
  <c r="H10" i="55"/>
  <c r="H43" i="55" s="1"/>
  <c r="D10" i="55"/>
  <c r="D43" i="55" s="1"/>
  <c r="G10" i="55"/>
  <c r="G46" i="55" s="1"/>
  <c r="F10" i="55"/>
  <c r="F45" i="55" s="1"/>
  <c r="E10" i="55"/>
  <c r="E43" i="55" s="1"/>
  <c r="E11" i="45"/>
  <c r="M22" i="52"/>
  <c r="N22" i="52" s="1"/>
  <c r="O22" i="52" s="1"/>
  <c r="P22" i="52" s="1"/>
  <c r="I43" i="55" l="1"/>
  <c r="I44" i="55"/>
  <c r="G45" i="55"/>
  <c r="G44" i="55"/>
  <c r="I45" i="55"/>
  <c r="H45" i="55"/>
  <c r="F46" i="55"/>
  <c r="G43" i="55"/>
  <c r="E45" i="55"/>
  <c r="H46" i="55"/>
  <c r="D45" i="55"/>
  <c r="F44" i="55"/>
  <c r="E44" i="55"/>
  <c r="H44" i="55"/>
  <c r="D44" i="55"/>
  <c r="D46" i="55"/>
  <c r="F43" i="55"/>
  <c r="E46" i="55"/>
  <c r="H11" i="20"/>
  <c r="I11" i="20"/>
  <c r="J11" i="20"/>
  <c r="K11" i="20"/>
  <c r="L11" i="20"/>
  <c r="M11" i="20" s="1"/>
  <c r="N11" i="20" s="1"/>
  <c r="O11" i="20" s="1"/>
  <c r="P11" i="20" s="1"/>
  <c r="Q11" i="20" s="1"/>
  <c r="G11" i="20"/>
  <c r="G42" i="20"/>
  <c r="H42" i="20"/>
  <c r="I42" i="20"/>
  <c r="J42" i="20"/>
  <c r="K42" i="20"/>
  <c r="L42" i="20"/>
  <c r="M42" i="20" s="1"/>
  <c r="N42" i="20" s="1"/>
  <c r="O42" i="20" s="1"/>
  <c r="P42" i="20" s="1"/>
  <c r="Q42" i="20" s="1"/>
  <c r="G5" i="33" l="1"/>
  <c r="K5" i="33" s="1"/>
  <c r="J6" i="50"/>
  <c r="H9" i="43" l="1"/>
  <c r="C7" i="49"/>
  <c r="C10" i="49" s="1"/>
  <c r="N81" i="19" l="1"/>
  <c r="O81" i="19" s="1"/>
  <c r="P81" i="19" s="1"/>
  <c r="Q81" i="19" s="1"/>
  <c r="L39" i="19"/>
  <c r="C105" i="20"/>
  <c r="F44" i="45"/>
  <c r="F42" i="45"/>
  <c r="C28" i="25"/>
  <c r="E10" i="35"/>
  <c r="C28" i="15"/>
  <c r="C25" i="15"/>
  <c r="C24" i="15"/>
  <c r="H78" i="17"/>
  <c r="C23" i="15"/>
  <c r="C20" i="15"/>
  <c r="C15" i="15"/>
  <c r="C19" i="15"/>
  <c r="C18" i="15"/>
  <c r="C14" i="15"/>
  <c r="C13" i="15"/>
  <c r="N39" i="19"/>
  <c r="O39" i="19" s="1"/>
  <c r="P39" i="19" s="1"/>
  <c r="Q39" i="19" s="1"/>
  <c r="M65" i="43"/>
  <c r="N65" i="43"/>
  <c r="O65" i="43"/>
  <c r="P65" i="43"/>
  <c r="Q65" i="43"/>
  <c r="I64" i="43"/>
  <c r="J64" i="43"/>
  <c r="K64" i="43"/>
  <c r="L64" i="43"/>
  <c r="H64" i="43"/>
  <c r="H198" i="14"/>
  <c r="G198" i="14"/>
  <c r="H25" i="19"/>
  <c r="H92" i="20"/>
  <c r="I92" i="20"/>
  <c r="J92" i="20"/>
  <c r="K92" i="20"/>
  <c r="L92" i="20"/>
  <c r="M92" i="20" s="1"/>
  <c r="N92" i="20" s="1"/>
  <c r="O92" i="20" s="1"/>
  <c r="G92" i="20"/>
  <c r="M47" i="43"/>
  <c r="N47" i="43"/>
  <c r="O47" i="43"/>
  <c r="P47" i="43"/>
  <c r="Q47" i="43"/>
  <c r="I46" i="43"/>
  <c r="J46" i="43"/>
  <c r="K46" i="43"/>
  <c r="L46" i="43"/>
  <c r="H46" i="43"/>
  <c r="I9" i="43"/>
  <c r="J9" i="43"/>
  <c r="K9" i="43"/>
  <c r="L9" i="43"/>
  <c r="G7" i="20"/>
  <c r="H11" i="23" l="1"/>
  <c r="E11" i="56"/>
  <c r="H82" i="43"/>
  <c r="H106" i="43" s="1"/>
  <c r="G12" i="43"/>
  <c r="H6" i="43" s="1"/>
  <c r="L82" i="43"/>
  <c r="J82" i="43"/>
  <c r="K82" i="43"/>
  <c r="I82" i="43"/>
  <c r="N80" i="19"/>
  <c r="P92" i="20"/>
  <c r="G17" i="23"/>
  <c r="G18" i="23"/>
  <c r="E20" i="37"/>
  <c r="E21" i="39"/>
  <c r="N46" i="39"/>
  <c r="O46" i="39"/>
  <c r="P46" i="39"/>
  <c r="Q46" i="39"/>
  <c r="N45" i="39"/>
  <c r="O45" i="39"/>
  <c r="P45" i="39"/>
  <c r="Q45" i="39"/>
  <c r="M37" i="39"/>
  <c r="N37" i="39"/>
  <c r="O37" i="39"/>
  <c r="P37" i="39"/>
  <c r="Q37" i="39"/>
  <c r="M38" i="39"/>
  <c r="N38" i="39"/>
  <c r="O38" i="39"/>
  <c r="P38" i="39"/>
  <c r="Q38" i="39"/>
  <c r="N36" i="39"/>
  <c r="O36" i="39"/>
  <c r="P36" i="39"/>
  <c r="Q36" i="39"/>
  <c r="M45" i="39"/>
  <c r="M36" i="39"/>
  <c r="D73" i="39"/>
  <c r="M46" i="39" s="1"/>
  <c r="D74" i="39"/>
  <c r="M47" i="39" s="1"/>
  <c r="E74" i="39"/>
  <c r="E76" i="39" s="1"/>
  <c r="F74" i="39"/>
  <c r="O47" i="39" s="1"/>
  <c r="G74" i="39"/>
  <c r="P47" i="39" s="1"/>
  <c r="H74" i="39"/>
  <c r="Q47" i="39" s="1"/>
  <c r="H73" i="37"/>
  <c r="Q44" i="37" s="1"/>
  <c r="G73" i="37"/>
  <c r="P44" i="37" s="1"/>
  <c r="F73" i="37"/>
  <c r="O44" i="37" s="1"/>
  <c r="E73" i="37"/>
  <c r="N44" i="37" s="1"/>
  <c r="D73" i="37"/>
  <c r="M44" i="37" s="1"/>
  <c r="E74" i="37"/>
  <c r="F74" i="37"/>
  <c r="G74" i="37"/>
  <c r="P45" i="37" s="1"/>
  <c r="H74" i="37"/>
  <c r="Q45" i="37" s="1"/>
  <c r="E75" i="37"/>
  <c r="N46" i="37" s="1"/>
  <c r="F75" i="37"/>
  <c r="O46" i="37" s="1"/>
  <c r="G75" i="37"/>
  <c r="P46" i="37" s="1"/>
  <c r="H75" i="37"/>
  <c r="D75" i="37"/>
  <c r="M46" i="37" s="1"/>
  <c r="D74" i="37"/>
  <c r="M45" i="37" s="1"/>
  <c r="H64" i="37"/>
  <c r="Q26" i="37" s="1"/>
  <c r="G64" i="37"/>
  <c r="P26" i="37" s="1"/>
  <c r="H65" i="39"/>
  <c r="Q28" i="39" s="1"/>
  <c r="G65" i="39"/>
  <c r="P28" i="39" s="1"/>
  <c r="H64" i="39"/>
  <c r="Q27" i="39" s="1"/>
  <c r="G64" i="39"/>
  <c r="P27" i="39" s="1"/>
  <c r="D64" i="39"/>
  <c r="F65" i="39"/>
  <c r="O28" i="39" s="1"/>
  <c r="E65" i="39"/>
  <c r="N28" i="39" s="1"/>
  <c r="D65" i="39"/>
  <c r="M28" i="39" s="1"/>
  <c r="E64" i="39"/>
  <c r="N27" i="39" s="1"/>
  <c r="F64" i="39"/>
  <c r="E66" i="39"/>
  <c r="N29" i="39" s="1"/>
  <c r="F66" i="39"/>
  <c r="O29" i="39" s="1"/>
  <c r="G66" i="39"/>
  <c r="P29" i="39" s="1"/>
  <c r="H66" i="39"/>
  <c r="Q29" i="39" s="1"/>
  <c r="D66" i="39"/>
  <c r="M29" i="39" s="1"/>
  <c r="F64" i="37"/>
  <c r="E64" i="37"/>
  <c r="D64" i="37"/>
  <c r="M26" i="37" s="1"/>
  <c r="D65" i="37"/>
  <c r="M27" i="37" s="1"/>
  <c r="E65" i="37"/>
  <c r="N27" i="37" s="1"/>
  <c r="F65" i="37"/>
  <c r="O27" i="37" s="1"/>
  <c r="G65" i="37"/>
  <c r="H65" i="37"/>
  <c r="Q27" i="37" s="1"/>
  <c r="D66" i="37"/>
  <c r="M28" i="37" s="1"/>
  <c r="E66" i="37"/>
  <c r="N28" i="37" s="1"/>
  <c r="F66" i="37"/>
  <c r="O28" i="37" s="1"/>
  <c r="G66" i="37"/>
  <c r="P28" i="37" s="1"/>
  <c r="H66" i="37"/>
  <c r="Q28" i="37" s="1"/>
  <c r="H59" i="39"/>
  <c r="G59" i="39"/>
  <c r="F59" i="39"/>
  <c r="E59" i="39"/>
  <c r="D59" i="39"/>
  <c r="E59" i="37"/>
  <c r="F59" i="37"/>
  <c r="G59" i="37"/>
  <c r="H59" i="37"/>
  <c r="D59" i="37"/>
  <c r="M36" i="37"/>
  <c r="N36" i="37"/>
  <c r="O36" i="37"/>
  <c r="P36" i="37"/>
  <c r="Q36" i="37"/>
  <c r="M37" i="37"/>
  <c r="N37" i="37"/>
  <c r="O37" i="37"/>
  <c r="P37" i="37"/>
  <c r="Q37" i="37"/>
  <c r="N35" i="37"/>
  <c r="O35" i="37"/>
  <c r="P35" i="37"/>
  <c r="Q35" i="37"/>
  <c r="M35" i="37"/>
  <c r="O18" i="35"/>
  <c r="H89" i="19"/>
  <c r="H6" i="37" s="1"/>
  <c r="I89" i="19"/>
  <c r="J89" i="19"/>
  <c r="K89" i="19"/>
  <c r="K6" i="37" s="1"/>
  <c r="L89" i="19"/>
  <c r="L6" i="37" s="1"/>
  <c r="H90" i="19"/>
  <c r="H7" i="37" s="1"/>
  <c r="I90" i="19"/>
  <c r="I7" i="37" s="1"/>
  <c r="J90" i="19"/>
  <c r="J7" i="37" s="1"/>
  <c r="K90" i="19"/>
  <c r="K7" i="37" s="1"/>
  <c r="L90" i="19"/>
  <c r="L7" i="37" s="1"/>
  <c r="H91" i="19"/>
  <c r="H8" i="37" s="1"/>
  <c r="I91" i="19"/>
  <c r="I8" i="37" s="1"/>
  <c r="J91" i="19"/>
  <c r="J8" i="37" s="1"/>
  <c r="K91" i="19"/>
  <c r="K8" i="37" s="1"/>
  <c r="L91" i="19"/>
  <c r="L8" i="37" s="1"/>
  <c r="G91" i="19"/>
  <c r="G8" i="37" s="1"/>
  <c r="G90" i="19"/>
  <c r="G7" i="37" s="1"/>
  <c r="G89" i="19"/>
  <c r="H25" i="17"/>
  <c r="O28" i="35"/>
  <c r="O23" i="35"/>
  <c r="F41" i="35"/>
  <c r="P23" i="35" s="1"/>
  <c r="F42" i="35"/>
  <c r="G42" i="35" s="1"/>
  <c r="Q28" i="35" s="1"/>
  <c r="F40" i="35"/>
  <c r="G40" i="35" s="1"/>
  <c r="Q18" i="35" s="1"/>
  <c r="G76" i="39" l="1"/>
  <c r="F77" i="37"/>
  <c r="M40" i="39"/>
  <c r="D68" i="39"/>
  <c r="H77" i="37"/>
  <c r="M15" i="39"/>
  <c r="H76" i="39"/>
  <c r="M13" i="37"/>
  <c r="H68" i="39"/>
  <c r="E68" i="37"/>
  <c r="F68" i="39"/>
  <c r="I93" i="19"/>
  <c r="O27" i="39"/>
  <c r="O31" i="39" s="1"/>
  <c r="D76" i="39"/>
  <c r="F76" i="39"/>
  <c r="Q46" i="37"/>
  <c r="Q15" i="37" s="1"/>
  <c r="E77" i="37"/>
  <c r="N47" i="39"/>
  <c r="N16" i="39" s="1"/>
  <c r="J93" i="19"/>
  <c r="D68" i="37"/>
  <c r="G68" i="39"/>
  <c r="D77" i="37"/>
  <c r="N26" i="37"/>
  <c r="N13" i="37" s="1"/>
  <c r="N45" i="37"/>
  <c r="N48" i="37" s="1"/>
  <c r="G93" i="19"/>
  <c r="M14" i="37"/>
  <c r="N39" i="37"/>
  <c r="G68" i="37"/>
  <c r="G77" i="37"/>
  <c r="N15" i="37"/>
  <c r="P16" i="39"/>
  <c r="H93" i="19"/>
  <c r="O39" i="37"/>
  <c r="F68" i="37"/>
  <c r="O15" i="37"/>
  <c r="N14" i="39"/>
  <c r="J6" i="37"/>
  <c r="J10" i="37" s="1"/>
  <c r="Q39" i="37"/>
  <c r="M27" i="39"/>
  <c r="M14" i="39" s="1"/>
  <c r="N40" i="39"/>
  <c r="O16" i="39"/>
  <c r="P15" i="39"/>
  <c r="K10" i="37"/>
  <c r="O26" i="37"/>
  <c r="O30" i="37" s="1"/>
  <c r="P27" i="37"/>
  <c r="P14" i="37" s="1"/>
  <c r="O45" i="37"/>
  <c r="O48" i="37" s="1"/>
  <c r="O15" i="39"/>
  <c r="G6" i="37"/>
  <c r="I6" i="37"/>
  <c r="O80" i="19"/>
  <c r="L93" i="19"/>
  <c r="K93" i="19"/>
  <c r="Q92" i="20"/>
  <c r="Q13" i="37"/>
  <c r="M15" i="37"/>
  <c r="Q16" i="39"/>
  <c r="N15" i="39"/>
  <c r="P13" i="37"/>
  <c r="Q14" i="37"/>
  <c r="O13" i="37"/>
  <c r="Q14" i="39"/>
  <c r="M16" i="39"/>
  <c r="P15" i="37"/>
  <c r="P14" i="39"/>
  <c r="Q15" i="39"/>
  <c r="E68" i="39"/>
  <c r="M39" i="37"/>
  <c r="M30" i="37"/>
  <c r="P39" i="37"/>
  <c r="M48" i="37"/>
  <c r="H10" i="37"/>
  <c r="L10" i="37"/>
  <c r="H68" i="37"/>
  <c r="O40" i="39"/>
  <c r="Q49" i="39"/>
  <c r="Q31" i="39"/>
  <c r="P40" i="39"/>
  <c r="Q40" i="39"/>
  <c r="P18" i="35"/>
  <c r="G41" i="35"/>
  <c r="Q23" i="35" s="1"/>
  <c r="P28" i="35"/>
  <c r="Q13" i="35"/>
  <c r="Q7" i="35" s="1"/>
  <c r="O13" i="35"/>
  <c r="O7" i="35" s="1"/>
  <c r="N55" i="31"/>
  <c r="O55" i="31"/>
  <c r="P55" i="31"/>
  <c r="Q55" i="31"/>
  <c r="R55" i="31"/>
  <c r="N14" i="37" l="1"/>
  <c r="O14" i="37"/>
  <c r="O14" i="39"/>
  <c r="P13" i="35"/>
  <c r="P7" i="35" s="1"/>
  <c r="O18" i="39"/>
  <c r="K7" i="33"/>
  <c r="M17" i="37"/>
  <c r="Q18" i="39"/>
  <c r="I10" i="37"/>
  <c r="P80" i="19"/>
  <c r="G10" i="37"/>
  <c r="O17" i="37"/>
  <c r="N17" i="37"/>
  <c r="P18" i="39"/>
  <c r="N30" i="37"/>
  <c r="Q48" i="37"/>
  <c r="Q17" i="37"/>
  <c r="Q30" i="37"/>
  <c r="P17" i="37"/>
  <c r="P48" i="37"/>
  <c r="P30" i="37"/>
  <c r="P31" i="39"/>
  <c r="P49" i="39"/>
  <c r="N31" i="39"/>
  <c r="N18" i="39"/>
  <c r="N49" i="39"/>
  <c r="M49" i="39"/>
  <c r="M18" i="39"/>
  <c r="M31" i="39"/>
  <c r="O49" i="39"/>
  <c r="H50" i="19"/>
  <c r="I50" i="19"/>
  <c r="J50" i="19"/>
  <c r="K50" i="19"/>
  <c r="L50" i="19"/>
  <c r="G50" i="19"/>
  <c r="L83" i="20" l="1"/>
  <c r="C17" i="49" s="1"/>
  <c r="L44" i="52"/>
  <c r="G44" i="52"/>
  <c r="L85" i="20"/>
  <c r="M50" i="19"/>
  <c r="Q80" i="19"/>
  <c r="G16" i="20"/>
  <c r="G93" i="20" s="1"/>
  <c r="G9" i="19"/>
  <c r="D5" i="56" s="1"/>
  <c r="N50" i="19" l="1"/>
  <c r="O50" i="19" s="1"/>
  <c r="P50" i="19" s="1"/>
  <c r="Q50" i="19" s="1"/>
  <c r="N16" i="45"/>
  <c r="N15" i="45"/>
  <c r="G87" i="19"/>
  <c r="D10" i="29"/>
  <c r="E10" i="29"/>
  <c r="F10" i="29"/>
  <c r="G10" i="29"/>
  <c r="C10" i="29"/>
  <c r="D7" i="29"/>
  <c r="E7" i="29"/>
  <c r="F7" i="29"/>
  <c r="G7" i="29"/>
  <c r="H7" i="29"/>
  <c r="C7" i="29"/>
  <c r="D13" i="29"/>
  <c r="H28" i="29"/>
  <c r="G28" i="29"/>
  <c r="F28" i="29"/>
  <c r="E28" i="29"/>
  <c r="D28" i="29"/>
  <c r="C28" i="29"/>
  <c r="G22" i="29"/>
  <c r="F22" i="29"/>
  <c r="E22" i="29"/>
  <c r="D22" i="29"/>
  <c r="G19" i="29"/>
  <c r="F19" i="29"/>
  <c r="E19" i="29"/>
  <c r="D19" i="29"/>
  <c r="H16" i="29"/>
  <c r="C16" i="29"/>
  <c r="G15" i="29"/>
  <c r="G16" i="29" s="1"/>
  <c r="F15" i="29"/>
  <c r="F16" i="29" s="1"/>
  <c r="E15" i="29"/>
  <c r="E16" i="29" s="1"/>
  <c r="D15" i="29"/>
  <c r="D16" i="29" s="1"/>
  <c r="G13" i="29"/>
  <c r="F13" i="29"/>
  <c r="E13" i="29"/>
  <c r="C13" i="29"/>
  <c r="C10" i="25"/>
  <c r="D28" i="25"/>
  <c r="E28" i="25"/>
  <c r="F28" i="25"/>
  <c r="G28" i="25"/>
  <c r="H28" i="25"/>
  <c r="H59" i="19"/>
  <c r="I59" i="19"/>
  <c r="J59" i="19"/>
  <c r="K59" i="19"/>
  <c r="L59" i="19"/>
  <c r="M59" i="19"/>
  <c r="N59" i="19"/>
  <c r="O59" i="19"/>
  <c r="P59" i="19"/>
  <c r="Q59" i="19"/>
  <c r="G59" i="19"/>
  <c r="C16" i="25"/>
  <c r="C13" i="25"/>
  <c r="E22" i="25"/>
  <c r="F22" i="25"/>
  <c r="G22" i="25"/>
  <c r="D22" i="25"/>
  <c r="H38" i="19"/>
  <c r="I38" i="19"/>
  <c r="J38" i="19"/>
  <c r="K38" i="19"/>
  <c r="L38" i="19"/>
  <c r="G38" i="19"/>
  <c r="E19" i="25"/>
  <c r="F19" i="25"/>
  <c r="G19" i="25"/>
  <c r="D19" i="25"/>
  <c r="H16" i="25"/>
  <c r="E15" i="25"/>
  <c r="E16" i="25" s="1"/>
  <c r="F15" i="25"/>
  <c r="F16" i="25" s="1"/>
  <c r="G15" i="25"/>
  <c r="G16" i="25" s="1"/>
  <c r="D15" i="25"/>
  <c r="D16" i="25" s="1"/>
  <c r="D13" i="25"/>
  <c r="E13" i="25"/>
  <c r="F13" i="25"/>
  <c r="G13" i="25"/>
  <c r="H13" i="25"/>
  <c r="D10" i="25"/>
  <c r="E10" i="25"/>
  <c r="F10" i="25"/>
  <c r="G10" i="25"/>
  <c r="H44" i="23"/>
  <c r="I44" i="23"/>
  <c r="J44" i="23"/>
  <c r="K44" i="23"/>
  <c r="L44" i="23"/>
  <c r="M44" i="23"/>
  <c r="N44" i="23"/>
  <c r="O44" i="23"/>
  <c r="P44" i="23"/>
  <c r="Q44" i="23"/>
  <c r="M45" i="23"/>
  <c r="N45" i="23"/>
  <c r="O45" i="23"/>
  <c r="P45" i="23"/>
  <c r="Q45" i="23"/>
  <c r="H46" i="23"/>
  <c r="I46" i="23"/>
  <c r="J46" i="23"/>
  <c r="K46" i="23"/>
  <c r="L46" i="23"/>
  <c r="M47" i="23"/>
  <c r="N47" i="23"/>
  <c r="O47" i="23"/>
  <c r="P47" i="23"/>
  <c r="Q47" i="23"/>
  <c r="G46" i="23"/>
  <c r="G44" i="23"/>
  <c r="D44" i="23"/>
  <c r="D45" i="23"/>
  <c r="D47" i="23"/>
  <c r="D43" i="23"/>
  <c r="M34" i="23"/>
  <c r="N34" i="23"/>
  <c r="O34" i="23"/>
  <c r="P34" i="23"/>
  <c r="Q34" i="23"/>
  <c r="G23" i="23"/>
  <c r="G41" i="17"/>
  <c r="H23" i="23"/>
  <c r="I23" i="23"/>
  <c r="J23" i="23"/>
  <c r="K23" i="23"/>
  <c r="L23" i="23"/>
  <c r="M20" i="23"/>
  <c r="N20" i="23"/>
  <c r="O20" i="23"/>
  <c r="P20" i="23"/>
  <c r="Q20" i="23"/>
  <c r="G19" i="23"/>
  <c r="E18" i="23"/>
  <c r="E19" i="23"/>
  <c r="E20" i="23"/>
  <c r="E17" i="23"/>
  <c r="M14" i="23"/>
  <c r="N14" i="23"/>
  <c r="O14" i="23"/>
  <c r="P14" i="23"/>
  <c r="Q14" i="23"/>
  <c r="G13" i="17"/>
  <c r="H64" i="20"/>
  <c r="I64" i="20"/>
  <c r="J64" i="20"/>
  <c r="K64" i="20"/>
  <c r="L64" i="20"/>
  <c r="M64" i="20" s="1"/>
  <c r="N64" i="20" s="1"/>
  <c r="O64" i="20" s="1"/>
  <c r="P64" i="20" s="1"/>
  <c r="Q64" i="20" s="1"/>
  <c r="G64" i="20"/>
  <c r="L63" i="20"/>
  <c r="K72" i="14"/>
  <c r="G65" i="20"/>
  <c r="G66" i="20"/>
  <c r="H66" i="20"/>
  <c r="I66" i="20"/>
  <c r="J66" i="20"/>
  <c r="K66" i="20"/>
  <c r="L66" i="20"/>
  <c r="M66" i="20" s="1"/>
  <c r="N66" i="20" s="1"/>
  <c r="O66" i="20" s="1"/>
  <c r="P66" i="20" s="1"/>
  <c r="Q66" i="20" s="1"/>
  <c r="H65" i="20"/>
  <c r="I65" i="20"/>
  <c r="J65" i="20"/>
  <c r="K65" i="20"/>
  <c r="L65" i="20"/>
  <c r="M65" i="20" s="1"/>
  <c r="N65" i="20" s="1"/>
  <c r="H63" i="20"/>
  <c r="I63" i="20"/>
  <c r="J63" i="20"/>
  <c r="K63" i="20"/>
  <c r="G63" i="20"/>
  <c r="G27" i="40" s="1"/>
  <c r="H25" i="40" s="1"/>
  <c r="H62" i="20"/>
  <c r="I62" i="20"/>
  <c r="J62" i="20"/>
  <c r="K62" i="20"/>
  <c r="L62" i="20"/>
  <c r="G62" i="20"/>
  <c r="H54" i="20"/>
  <c r="I54" i="20"/>
  <c r="J54" i="20"/>
  <c r="K54" i="20"/>
  <c r="L54" i="20"/>
  <c r="M54" i="20" s="1"/>
  <c r="N54" i="20" s="1"/>
  <c r="O54" i="20" s="1"/>
  <c r="P54" i="20" s="1"/>
  <c r="Q54" i="20" s="1"/>
  <c r="G54" i="20"/>
  <c r="G52" i="20"/>
  <c r="H52" i="20"/>
  <c r="I52" i="20"/>
  <c r="J52" i="20"/>
  <c r="K52" i="20"/>
  <c r="L52" i="20"/>
  <c r="M52" i="20" s="1"/>
  <c r="N52" i="20" s="1"/>
  <c r="O52" i="20" s="1"/>
  <c r="P52" i="20" s="1"/>
  <c r="Q52" i="20" s="1"/>
  <c r="G53" i="20"/>
  <c r="H53" i="20"/>
  <c r="I53" i="20"/>
  <c r="J53" i="20"/>
  <c r="K53" i="20"/>
  <c r="L53" i="20"/>
  <c r="M53" i="20" s="1"/>
  <c r="N53" i="20" s="1"/>
  <c r="O53" i="20" s="1"/>
  <c r="P53" i="20" s="1"/>
  <c r="Q53" i="20" s="1"/>
  <c r="H51" i="20"/>
  <c r="I51" i="20"/>
  <c r="J51" i="20"/>
  <c r="K51" i="20"/>
  <c r="L51" i="20"/>
  <c r="G51" i="20"/>
  <c r="H41" i="20"/>
  <c r="I41" i="20"/>
  <c r="J41" i="20"/>
  <c r="K41" i="20"/>
  <c r="L41" i="20"/>
  <c r="G41" i="20"/>
  <c r="I22" i="25" l="1"/>
  <c r="G23" i="44"/>
  <c r="L23" i="44"/>
  <c r="I15" i="56"/>
  <c r="K23" i="44"/>
  <c r="J23" i="44"/>
  <c r="I23" i="44"/>
  <c r="H23" i="44"/>
  <c r="L46" i="52"/>
  <c r="G46" i="52"/>
  <c r="L47" i="52"/>
  <c r="G47" i="52"/>
  <c r="L68" i="20"/>
  <c r="L56" i="20"/>
  <c r="I5" i="57" s="1"/>
  <c r="K56" i="20"/>
  <c r="H5" i="57" s="1"/>
  <c r="K9" i="44"/>
  <c r="K68" i="20"/>
  <c r="K70" i="20" s="1"/>
  <c r="J56" i="20"/>
  <c r="J9" i="44"/>
  <c r="J68" i="20"/>
  <c r="I7" i="44"/>
  <c r="I56" i="20"/>
  <c r="F5" i="57" s="1"/>
  <c r="I9" i="44"/>
  <c r="I68" i="20"/>
  <c r="H7" i="44"/>
  <c r="H56" i="20"/>
  <c r="H9" i="44"/>
  <c r="H68" i="20"/>
  <c r="G7" i="44"/>
  <c r="G56" i="20"/>
  <c r="D5" i="57" s="1"/>
  <c r="G9" i="44"/>
  <c r="G68" i="20"/>
  <c r="L84" i="20"/>
  <c r="C18" i="49" s="1"/>
  <c r="C20" i="49" s="1"/>
  <c r="L41" i="52"/>
  <c r="G41" i="52"/>
  <c r="O65" i="20"/>
  <c r="P65" i="20" s="1"/>
  <c r="Q65" i="20" s="1"/>
  <c r="I19" i="25"/>
  <c r="J19" i="25"/>
  <c r="J19" i="29"/>
  <c r="J28" i="25"/>
  <c r="M29" i="45" s="1"/>
  <c r="I28" i="25"/>
  <c r="I10" i="25"/>
  <c r="I13" i="25"/>
  <c r="I16" i="25"/>
  <c r="K7" i="44"/>
  <c r="I43" i="31"/>
  <c r="H27" i="40"/>
  <c r="H19" i="23"/>
  <c r="J10" i="25"/>
  <c r="K43" i="31"/>
  <c r="J27" i="40"/>
  <c r="J19" i="23"/>
  <c r="J7" i="44"/>
  <c r="J13" i="25"/>
  <c r="L7" i="44"/>
  <c r="M51" i="20"/>
  <c r="M56" i="20" s="1"/>
  <c r="M62" i="20"/>
  <c r="L9" i="44"/>
  <c r="I19" i="23"/>
  <c r="I27" i="40"/>
  <c r="J16" i="25"/>
  <c r="J22" i="25"/>
  <c r="L43" i="31"/>
  <c r="K27" i="40"/>
  <c r="K19" i="23"/>
  <c r="L27" i="40"/>
  <c r="L19" i="23"/>
  <c r="L80" i="20"/>
  <c r="K80" i="20"/>
  <c r="J80" i="20"/>
  <c r="I80" i="20"/>
  <c r="G80" i="20"/>
  <c r="H80" i="20"/>
  <c r="J43" i="31"/>
  <c r="M43" i="31"/>
  <c r="J22" i="29"/>
  <c r="J10" i="29"/>
  <c r="I19" i="29"/>
  <c r="I22" i="29"/>
  <c r="J13" i="29"/>
  <c r="J28" i="29"/>
  <c r="N29" i="45" s="1"/>
  <c r="I16" i="29"/>
  <c r="J16" i="29"/>
  <c r="I28" i="29"/>
  <c r="J7" i="29"/>
  <c r="I10" i="29"/>
  <c r="I13" i="29"/>
  <c r="I11" i="57" l="1"/>
  <c r="E5" i="57"/>
  <c r="E11" i="57" s="1"/>
  <c r="G5" i="57"/>
  <c r="G11" i="57" s="1"/>
  <c r="C21" i="49"/>
  <c r="G11" i="44"/>
  <c r="I11" i="44"/>
  <c r="K11" i="44"/>
  <c r="H11" i="44"/>
  <c r="J11" i="44"/>
  <c r="N34" i="45"/>
  <c r="N24" i="45"/>
  <c r="M34" i="45"/>
  <c r="M24" i="45"/>
  <c r="M80" i="20"/>
  <c r="N50" i="31" s="1"/>
  <c r="J12" i="58" s="1"/>
  <c r="M50" i="31"/>
  <c r="I12" i="58" s="1"/>
  <c r="L11" i="44"/>
  <c r="M7" i="44"/>
  <c r="N51" i="20"/>
  <c r="N56" i="20" s="1"/>
  <c r="I25" i="40"/>
  <c r="I29" i="40" s="1"/>
  <c r="I31" i="40" s="1"/>
  <c r="H29" i="40"/>
  <c r="H31" i="40" s="1"/>
  <c r="M25" i="40"/>
  <c r="L25" i="40"/>
  <c r="L29" i="40" s="1"/>
  <c r="L31" i="40" s="1"/>
  <c r="J25" i="40"/>
  <c r="J29" i="40" s="1"/>
  <c r="J31" i="40" s="1"/>
  <c r="N23" i="35"/>
  <c r="N28" i="35"/>
  <c r="N18" i="35"/>
  <c r="N62" i="20"/>
  <c r="M9" i="44"/>
  <c r="K25" i="40"/>
  <c r="K29" i="40" s="1"/>
  <c r="K31" i="40" s="1"/>
  <c r="I50" i="31"/>
  <c r="E12" i="58" s="1"/>
  <c r="L50" i="31"/>
  <c r="H12" i="58" s="1"/>
  <c r="J50" i="31"/>
  <c r="F12" i="58" s="1"/>
  <c r="K50" i="31"/>
  <c r="G12" i="58" s="1"/>
  <c r="I7" i="29"/>
  <c r="G48" i="14"/>
  <c r="H40" i="20"/>
  <c r="H44" i="20" s="1"/>
  <c r="I40" i="20"/>
  <c r="I44" i="20" s="1"/>
  <c r="J40" i="20"/>
  <c r="K40" i="20"/>
  <c r="L40" i="20"/>
  <c r="L44" i="20" s="1"/>
  <c r="G40" i="20"/>
  <c r="H30" i="20"/>
  <c r="I30" i="20"/>
  <c r="J30" i="20"/>
  <c r="K30" i="20"/>
  <c r="L30" i="20"/>
  <c r="M30" i="20" s="1"/>
  <c r="N30" i="20" s="1"/>
  <c r="O30" i="20" s="1"/>
  <c r="P30" i="20" s="1"/>
  <c r="Q30" i="20" s="1"/>
  <c r="G30" i="20"/>
  <c r="H29" i="20"/>
  <c r="I29" i="20"/>
  <c r="J29" i="20"/>
  <c r="K29" i="20"/>
  <c r="L29" i="20"/>
  <c r="M29" i="20" s="1"/>
  <c r="N29" i="20" s="1"/>
  <c r="O29" i="20" s="1"/>
  <c r="P29" i="20" s="1"/>
  <c r="Q29" i="20" s="1"/>
  <c r="G29" i="20"/>
  <c r="H28" i="20"/>
  <c r="I28" i="20"/>
  <c r="J28" i="20"/>
  <c r="K28" i="20"/>
  <c r="L28" i="20"/>
  <c r="M28" i="20" s="1"/>
  <c r="N28" i="20" s="1"/>
  <c r="O28" i="20" s="1"/>
  <c r="P28" i="20" s="1"/>
  <c r="Q28" i="20" s="1"/>
  <c r="G28" i="20"/>
  <c r="H27" i="20"/>
  <c r="I27" i="20"/>
  <c r="J27" i="20"/>
  <c r="K27" i="20"/>
  <c r="L27" i="20"/>
  <c r="G27" i="20"/>
  <c r="G9" i="40" s="1"/>
  <c r="H7" i="40" s="1"/>
  <c r="H26" i="20"/>
  <c r="I26" i="20"/>
  <c r="J26" i="20"/>
  <c r="K26" i="20"/>
  <c r="L26" i="20"/>
  <c r="N88" i="20"/>
  <c r="O88" i="20"/>
  <c r="G26" i="20"/>
  <c r="H24" i="20"/>
  <c r="I24" i="20"/>
  <c r="J24" i="20"/>
  <c r="K24" i="20"/>
  <c r="L24" i="20"/>
  <c r="G24" i="20"/>
  <c r="H16" i="20"/>
  <c r="H93" i="20" s="1"/>
  <c r="I16" i="20"/>
  <c r="I93" i="20" s="1"/>
  <c r="J16" i="20"/>
  <c r="J93" i="20" s="1"/>
  <c r="K16" i="20"/>
  <c r="K93" i="20" s="1"/>
  <c r="L16" i="20"/>
  <c r="L93" i="20" s="1"/>
  <c r="H15" i="20"/>
  <c r="I15" i="20"/>
  <c r="J15" i="20"/>
  <c r="K15" i="20"/>
  <c r="L15" i="20"/>
  <c r="M15" i="20" s="1"/>
  <c r="N15" i="20" s="1"/>
  <c r="O15" i="20" s="1"/>
  <c r="P15" i="20" s="1"/>
  <c r="Q15" i="20" s="1"/>
  <c r="G15" i="20"/>
  <c r="H14" i="20"/>
  <c r="I14" i="20"/>
  <c r="J14" i="20"/>
  <c r="K14" i="20"/>
  <c r="L14" i="20"/>
  <c r="M14" i="20" s="1"/>
  <c r="N14" i="20" s="1"/>
  <c r="O14" i="20" s="1"/>
  <c r="P14" i="20" s="1"/>
  <c r="Q14" i="20" s="1"/>
  <c r="G14" i="20"/>
  <c r="H13" i="20"/>
  <c r="I13" i="20"/>
  <c r="J13" i="20"/>
  <c r="K13" i="20"/>
  <c r="L13" i="20"/>
  <c r="G13" i="20"/>
  <c r="H10" i="20"/>
  <c r="I10" i="20"/>
  <c r="J10" i="20"/>
  <c r="K10" i="20"/>
  <c r="L10" i="20"/>
  <c r="G10" i="20"/>
  <c r="H9" i="20"/>
  <c r="I9" i="20"/>
  <c r="J9" i="20"/>
  <c r="K9" i="20"/>
  <c r="L9" i="20"/>
  <c r="M9" i="20" s="1"/>
  <c r="N9" i="20" s="1"/>
  <c r="O9" i="20" s="1"/>
  <c r="P9" i="20" s="1"/>
  <c r="Q9" i="20" s="1"/>
  <c r="G9" i="20"/>
  <c r="H8" i="20"/>
  <c r="I8" i="20"/>
  <c r="J8" i="20"/>
  <c r="K8" i="20"/>
  <c r="L8" i="20"/>
  <c r="M8" i="20" s="1"/>
  <c r="N8" i="20" s="1"/>
  <c r="O8" i="20" s="1"/>
  <c r="P8" i="20" s="1"/>
  <c r="Q8" i="20" s="1"/>
  <c r="G8" i="20"/>
  <c r="H7" i="20"/>
  <c r="I7" i="20"/>
  <c r="J7" i="20"/>
  <c r="K7" i="20"/>
  <c r="L7" i="20"/>
  <c r="F11" i="57" l="1"/>
  <c r="H11" i="57"/>
  <c r="L18" i="20"/>
  <c r="K17" i="23"/>
  <c r="K32" i="20"/>
  <c r="J32" i="20"/>
  <c r="J18" i="20"/>
  <c r="I32" i="20"/>
  <c r="K18" i="20"/>
  <c r="H32" i="20"/>
  <c r="H18" i="20"/>
  <c r="G18" i="20"/>
  <c r="N13" i="35"/>
  <c r="N7" i="35" s="1"/>
  <c r="L32" i="20"/>
  <c r="K65" i="31"/>
  <c r="J44" i="20"/>
  <c r="J81" i="20" s="1"/>
  <c r="K57" i="31" s="1"/>
  <c r="I18" i="20"/>
  <c r="H65" i="31"/>
  <c r="G44" i="20"/>
  <c r="G7" i="38"/>
  <c r="H5" i="38" s="1"/>
  <c r="G32" i="20"/>
  <c r="L65" i="31"/>
  <c r="K44" i="20"/>
  <c r="K81" i="20" s="1"/>
  <c r="L57" i="31" s="1"/>
  <c r="G42" i="52"/>
  <c r="L42" i="52"/>
  <c r="J46" i="31"/>
  <c r="J74" i="31"/>
  <c r="I74" i="31"/>
  <c r="L86" i="20"/>
  <c r="L88" i="20" s="1"/>
  <c r="K74" i="31"/>
  <c r="H74" i="31"/>
  <c r="L74" i="31"/>
  <c r="M11" i="44"/>
  <c r="L18" i="23"/>
  <c r="L9" i="40"/>
  <c r="L7" i="38"/>
  <c r="L17" i="23"/>
  <c r="L41" i="31"/>
  <c r="K7" i="38"/>
  <c r="K18" i="23"/>
  <c r="K9" i="40"/>
  <c r="H7" i="38"/>
  <c r="H17" i="23"/>
  <c r="H9" i="40"/>
  <c r="H18" i="23"/>
  <c r="O62" i="20"/>
  <c r="N9" i="44"/>
  <c r="M65" i="31"/>
  <c r="M40" i="20"/>
  <c r="N40" i="20" s="1"/>
  <c r="O40" i="20" s="1"/>
  <c r="P40" i="20" s="1"/>
  <c r="Q40" i="20" s="1"/>
  <c r="K41" i="31"/>
  <c r="J17" i="23"/>
  <c r="J7" i="38"/>
  <c r="M74" i="31"/>
  <c r="J9" i="40"/>
  <c r="J18" i="23"/>
  <c r="N7" i="44"/>
  <c r="O51" i="20"/>
  <c r="O56" i="20" s="1"/>
  <c r="P88" i="20"/>
  <c r="N80" i="20"/>
  <c r="O50" i="31" s="1"/>
  <c r="K12" i="58" s="1"/>
  <c r="K46" i="31"/>
  <c r="J41" i="31"/>
  <c r="I17" i="23"/>
  <c r="I7" i="38"/>
  <c r="I18" i="23"/>
  <c r="I9" i="40"/>
  <c r="L67" i="31"/>
  <c r="M67" i="31"/>
  <c r="H67" i="31"/>
  <c r="M46" i="31"/>
  <c r="L46" i="31"/>
  <c r="M41" i="31"/>
  <c r="G77" i="20"/>
  <c r="H75" i="31"/>
  <c r="J77" i="20"/>
  <c r="K42" i="31"/>
  <c r="K75" i="31"/>
  <c r="I81" i="20"/>
  <c r="J57" i="31" s="1"/>
  <c r="I79" i="20"/>
  <c r="J62" i="31"/>
  <c r="M42" i="31"/>
  <c r="L77" i="20"/>
  <c r="M75" i="31"/>
  <c r="H81" i="20"/>
  <c r="I57" i="31" s="1"/>
  <c r="H79" i="20"/>
  <c r="I62" i="31"/>
  <c r="L42" i="31"/>
  <c r="K77" i="20"/>
  <c r="L75" i="31"/>
  <c r="I77" i="20"/>
  <c r="J42" i="31"/>
  <c r="J75" i="31"/>
  <c r="I46" i="31"/>
  <c r="K79" i="20"/>
  <c r="L62" i="31"/>
  <c r="J67" i="31"/>
  <c r="I67" i="31"/>
  <c r="I42" i="31"/>
  <c r="H77" i="20"/>
  <c r="I75" i="31"/>
  <c r="L81" i="20"/>
  <c r="M57" i="31" s="1"/>
  <c r="M119" i="31" s="1"/>
  <c r="L79" i="20"/>
  <c r="M62" i="31"/>
  <c r="I41" i="31"/>
  <c r="G79" i="20"/>
  <c r="H62" i="31"/>
  <c r="J79" i="20"/>
  <c r="K62" i="31"/>
  <c r="K67" i="31"/>
  <c r="J65" i="31"/>
  <c r="I65" i="31"/>
  <c r="G7" i="19"/>
  <c r="H39" i="19"/>
  <c r="E15" i="56" s="1"/>
  <c r="I39" i="19"/>
  <c r="F15" i="56" s="1"/>
  <c r="J39" i="19"/>
  <c r="G15" i="56" s="1"/>
  <c r="K39" i="19"/>
  <c r="H15" i="56" s="1"/>
  <c r="G39" i="19"/>
  <c r="D15" i="56" s="1"/>
  <c r="G31" i="19"/>
  <c r="H31" i="19"/>
  <c r="I31" i="19"/>
  <c r="J31" i="19"/>
  <c r="K31" i="19"/>
  <c r="L31" i="19"/>
  <c r="H30" i="19"/>
  <c r="H5" i="44" s="1"/>
  <c r="I30" i="19"/>
  <c r="I5" i="44" s="1"/>
  <c r="J30" i="19"/>
  <c r="J5" i="44" s="1"/>
  <c r="K30" i="19"/>
  <c r="K5" i="44" s="1"/>
  <c r="L30" i="19"/>
  <c r="L5" i="44" s="1"/>
  <c r="G30" i="19"/>
  <c r="G5" i="44" s="1"/>
  <c r="G13" i="44" s="1"/>
  <c r="I25" i="19"/>
  <c r="F11" i="56" s="1"/>
  <c r="J25" i="19"/>
  <c r="G11" i="56" s="1"/>
  <c r="K25" i="19"/>
  <c r="H11" i="56" s="1"/>
  <c r="L25" i="19"/>
  <c r="I11" i="56" s="1"/>
  <c r="G25" i="19"/>
  <c r="H18" i="19"/>
  <c r="I18" i="19"/>
  <c r="J18" i="19"/>
  <c r="K18" i="19"/>
  <c r="L18" i="19"/>
  <c r="G18" i="19"/>
  <c r="D9" i="56" s="1"/>
  <c r="H17" i="19"/>
  <c r="I17" i="19"/>
  <c r="J17" i="19"/>
  <c r="K17" i="19"/>
  <c r="L17" i="19"/>
  <c r="G17" i="19"/>
  <c r="D8" i="56" s="1"/>
  <c r="D17" i="19"/>
  <c r="H16" i="19"/>
  <c r="I16" i="19"/>
  <c r="J16" i="19"/>
  <c r="K16" i="19"/>
  <c r="L16" i="19"/>
  <c r="G16" i="19"/>
  <c r="D7" i="56" s="1"/>
  <c r="D16" i="19"/>
  <c r="H9" i="19"/>
  <c r="E5" i="56" s="1"/>
  <c r="I9" i="19"/>
  <c r="F5" i="56" s="1"/>
  <c r="J9" i="19"/>
  <c r="G5" i="56" s="1"/>
  <c r="K9" i="19"/>
  <c r="H5" i="56" s="1"/>
  <c r="L9" i="19"/>
  <c r="I5" i="56" s="1"/>
  <c r="H7" i="19"/>
  <c r="I7" i="19"/>
  <c r="J7" i="19"/>
  <c r="K7" i="19"/>
  <c r="L7" i="19"/>
  <c r="G46" i="20" l="1"/>
  <c r="G81" i="20"/>
  <c r="H57" i="31" s="1"/>
  <c r="D25" i="56"/>
  <c r="H28" i="56"/>
  <c r="K8" i="39"/>
  <c r="K16" i="39" s="1"/>
  <c r="H9" i="56"/>
  <c r="F49" i="56"/>
  <c r="F3" i="55"/>
  <c r="F13" i="55" s="1"/>
  <c r="F15" i="55" s="1"/>
  <c r="F4" i="56"/>
  <c r="F153" i="56" s="1"/>
  <c r="E49" i="56"/>
  <c r="I8" i="39"/>
  <c r="I16" i="39" s="1"/>
  <c r="I47" i="39" s="1"/>
  <c r="F9" i="56"/>
  <c r="F152" i="56" s="1"/>
  <c r="D3" i="55"/>
  <c r="D4" i="56"/>
  <c r="D152" i="56" s="1"/>
  <c r="K6" i="39"/>
  <c r="H7" i="56"/>
  <c r="J7" i="39"/>
  <c r="J15" i="39" s="1"/>
  <c r="J37" i="39" s="1"/>
  <c r="G8" i="56"/>
  <c r="H8" i="39"/>
  <c r="H16" i="39" s="1"/>
  <c r="E9" i="56"/>
  <c r="G3" i="55"/>
  <c r="G13" i="55" s="1"/>
  <c r="G15" i="55" s="1"/>
  <c r="G4" i="56"/>
  <c r="G148" i="56" s="1"/>
  <c r="L7" i="39"/>
  <c r="L15" i="39" s="1"/>
  <c r="I8" i="56"/>
  <c r="J8" i="39"/>
  <c r="G9" i="56"/>
  <c r="L6" i="39"/>
  <c r="L14" i="39" s="1"/>
  <c r="I7" i="56"/>
  <c r="K7" i="39"/>
  <c r="K15" i="39" s="1"/>
  <c r="K37" i="39" s="1"/>
  <c r="H8" i="56"/>
  <c r="J6" i="39"/>
  <c r="J14" i="39" s="1"/>
  <c r="G7" i="56"/>
  <c r="G11" i="23"/>
  <c r="D11" i="56"/>
  <c r="J87" i="19"/>
  <c r="H7" i="39"/>
  <c r="H15" i="39" s="1"/>
  <c r="E8" i="56"/>
  <c r="I87" i="19"/>
  <c r="H45" i="56"/>
  <c r="H49" i="56"/>
  <c r="I49" i="56"/>
  <c r="F45" i="56"/>
  <c r="E3" i="55"/>
  <c r="E4" i="56"/>
  <c r="K87" i="19"/>
  <c r="I7" i="39"/>
  <c r="I15" i="39" s="1"/>
  <c r="I46" i="39" s="1"/>
  <c r="F8" i="56"/>
  <c r="F151" i="56" s="1"/>
  <c r="I6" i="39"/>
  <c r="I14" i="39" s="1"/>
  <c r="F7" i="56"/>
  <c r="F150" i="56" s="1"/>
  <c r="I45" i="56"/>
  <c r="I3" i="55"/>
  <c r="I13" i="55" s="1"/>
  <c r="I4" i="56"/>
  <c r="I148" i="56" s="1"/>
  <c r="H6" i="39"/>
  <c r="H14" i="39" s="1"/>
  <c r="E7" i="56"/>
  <c r="H3" i="55"/>
  <c r="H4" i="56"/>
  <c r="H148" i="56" s="1"/>
  <c r="E39" i="56"/>
  <c r="L8" i="39"/>
  <c r="L16" i="39" s="1"/>
  <c r="I9" i="56"/>
  <c r="G45" i="56"/>
  <c r="G49" i="56"/>
  <c r="J106" i="43"/>
  <c r="J11" i="23"/>
  <c r="L106" i="43"/>
  <c r="L11" i="23"/>
  <c r="K106" i="43"/>
  <c r="K11" i="23"/>
  <c r="I106" i="43"/>
  <c r="I11" i="23"/>
  <c r="N11" i="44"/>
  <c r="O9" i="44"/>
  <c r="P62" i="20"/>
  <c r="L5" i="38"/>
  <c r="L9" i="38" s="1"/>
  <c r="L11" i="38" s="1"/>
  <c r="K5" i="38"/>
  <c r="K9" i="38" s="1"/>
  <c r="K11" i="38" s="1"/>
  <c r="J7" i="40"/>
  <c r="J11" i="40" s="1"/>
  <c r="J13" i="40" s="1"/>
  <c r="I7" i="40"/>
  <c r="I11" i="40" s="1"/>
  <c r="I13" i="40" s="1"/>
  <c r="H11" i="40"/>
  <c r="H13" i="40" s="1"/>
  <c r="O7" i="44"/>
  <c r="P51" i="20"/>
  <c r="P56" i="20" s="1"/>
  <c r="Q88" i="20"/>
  <c r="O80" i="20"/>
  <c r="P50" i="31" s="1"/>
  <c r="L12" i="58" s="1"/>
  <c r="M5" i="38"/>
  <c r="L33" i="19"/>
  <c r="I13" i="56" s="1"/>
  <c r="J5" i="38"/>
  <c r="J9" i="38" s="1"/>
  <c r="J11" i="38" s="1"/>
  <c r="H9" i="38"/>
  <c r="H11" i="38" s="1"/>
  <c r="I5" i="38"/>
  <c r="I9" i="38" s="1"/>
  <c r="I11" i="38" s="1"/>
  <c r="L7" i="40"/>
  <c r="L11" i="40" s="1"/>
  <c r="L13" i="40" s="1"/>
  <c r="M7" i="40"/>
  <c r="U13" i="31"/>
  <c r="G33" i="19"/>
  <c r="K7" i="40"/>
  <c r="K11" i="40" s="1"/>
  <c r="K13" i="40" s="1"/>
  <c r="I84" i="31"/>
  <c r="H27" i="43" s="1"/>
  <c r="L29" i="43"/>
  <c r="L14" i="37"/>
  <c r="L15" i="37"/>
  <c r="L13" i="37"/>
  <c r="U11" i="31"/>
  <c r="G8" i="39"/>
  <c r="G16" i="39" s="1"/>
  <c r="H29" i="43"/>
  <c r="H15" i="37"/>
  <c r="H14" i="37"/>
  <c r="H13" i="37"/>
  <c r="L87" i="19"/>
  <c r="U6" i="31"/>
  <c r="U5" i="31"/>
  <c r="G14" i="37"/>
  <c r="G15" i="37"/>
  <c r="G13" i="37"/>
  <c r="K29" i="43"/>
  <c r="K13" i="37"/>
  <c r="K14" i="37"/>
  <c r="K15" i="37"/>
  <c r="J29" i="43"/>
  <c r="J13" i="37"/>
  <c r="J15" i="37"/>
  <c r="J14" i="37"/>
  <c r="H87" i="19"/>
  <c r="I81" i="31"/>
  <c r="H33" i="40" s="1"/>
  <c r="H35" i="40" s="1"/>
  <c r="H27" i="31"/>
  <c r="G7" i="39"/>
  <c r="G15" i="39" s="1"/>
  <c r="U10" i="31"/>
  <c r="I29" i="43"/>
  <c r="I14" i="37"/>
  <c r="I15" i="37"/>
  <c r="I13" i="37"/>
  <c r="U9" i="31"/>
  <c r="G6" i="39"/>
  <c r="I79" i="31"/>
  <c r="H13" i="38" s="1"/>
  <c r="H15" i="38" s="1"/>
  <c r="H17" i="38" s="1"/>
  <c r="L5" i="35"/>
  <c r="M56" i="31"/>
  <c r="M120" i="31" s="1"/>
  <c r="L74" i="19"/>
  <c r="L79" i="19"/>
  <c r="J84" i="31"/>
  <c r="I5" i="35"/>
  <c r="J56" i="31"/>
  <c r="I74" i="19"/>
  <c r="I79" i="19"/>
  <c r="J77" i="19"/>
  <c r="K75" i="19"/>
  <c r="I77" i="19"/>
  <c r="K5" i="35"/>
  <c r="L56" i="31"/>
  <c r="K74" i="19"/>
  <c r="K79" i="19"/>
  <c r="K84" i="31"/>
  <c r="J5" i="35"/>
  <c r="K56" i="31"/>
  <c r="J74" i="19"/>
  <c r="J79" i="19"/>
  <c r="H30" i="31"/>
  <c r="G77" i="19"/>
  <c r="L77" i="19"/>
  <c r="K77" i="19"/>
  <c r="L75" i="19"/>
  <c r="H5" i="35"/>
  <c r="I56" i="31"/>
  <c r="H74" i="19"/>
  <c r="H79" i="19"/>
  <c r="J75" i="19"/>
  <c r="H77" i="19"/>
  <c r="J79" i="31"/>
  <c r="I13" i="38" s="1"/>
  <c r="I15" i="38" s="1"/>
  <c r="I17" i="38" s="1"/>
  <c r="I75" i="19"/>
  <c r="H75" i="19"/>
  <c r="G5" i="35"/>
  <c r="G25" i="44" s="1"/>
  <c r="H56" i="31"/>
  <c r="G75" i="19"/>
  <c r="G79" i="19"/>
  <c r="M79" i="31"/>
  <c r="L13" i="38" s="1"/>
  <c r="L15" i="38" s="1"/>
  <c r="L17" i="38" s="1"/>
  <c r="J5" i="31"/>
  <c r="J33" i="31"/>
  <c r="L27" i="31"/>
  <c r="L10" i="31"/>
  <c r="J13" i="31"/>
  <c r="J30" i="31"/>
  <c r="J80" i="31"/>
  <c r="J6" i="31"/>
  <c r="J23" i="31"/>
  <c r="J81" i="31"/>
  <c r="J10" i="31"/>
  <c r="J27" i="31"/>
  <c r="M11" i="31"/>
  <c r="M28" i="31"/>
  <c r="I80" i="31"/>
  <c r="H15" i="40" s="1"/>
  <c r="M80" i="31"/>
  <c r="L84" i="31"/>
  <c r="K27" i="31"/>
  <c r="K10" i="31"/>
  <c r="L11" i="31"/>
  <c r="L28" i="31"/>
  <c r="H23" i="31"/>
  <c r="H33" i="31"/>
  <c r="K5" i="31"/>
  <c r="K33" i="31"/>
  <c r="I26" i="31"/>
  <c r="I9" i="31"/>
  <c r="L23" i="31"/>
  <c r="L6" i="31"/>
  <c r="L81" i="31"/>
  <c r="K23" i="31"/>
  <c r="K6" i="31"/>
  <c r="K81" i="31"/>
  <c r="I6" i="31"/>
  <c r="I23" i="31"/>
  <c r="I27" i="31"/>
  <c r="I10" i="31"/>
  <c r="L9" i="31"/>
  <c r="L26" i="31"/>
  <c r="H28" i="31"/>
  <c r="K11" i="31"/>
  <c r="K28" i="31"/>
  <c r="L80" i="31"/>
  <c r="L79" i="31"/>
  <c r="K13" i="38" s="1"/>
  <c r="K15" i="38" s="1"/>
  <c r="K17" i="38" s="1"/>
  <c r="M23" i="31"/>
  <c r="M6" i="31"/>
  <c r="M81" i="31"/>
  <c r="M27" i="31"/>
  <c r="M10" i="31"/>
  <c r="K30" i="31"/>
  <c r="K13" i="31"/>
  <c r="I13" i="31"/>
  <c r="I30" i="31"/>
  <c r="M9" i="31"/>
  <c r="M26" i="31"/>
  <c r="K26" i="31"/>
  <c r="K9" i="31"/>
  <c r="M30" i="31"/>
  <c r="M13" i="31"/>
  <c r="K80" i="31"/>
  <c r="M84" i="31"/>
  <c r="I5" i="31"/>
  <c r="I33" i="31"/>
  <c r="M33" i="31"/>
  <c r="C7" i="25"/>
  <c r="M5" i="31"/>
  <c r="H26" i="31"/>
  <c r="J11" i="31"/>
  <c r="J28" i="31"/>
  <c r="L33" i="31"/>
  <c r="L5" i="31"/>
  <c r="J26" i="31"/>
  <c r="J9" i="31"/>
  <c r="I28" i="31"/>
  <c r="I11" i="31"/>
  <c r="L30" i="31"/>
  <c r="L13" i="31"/>
  <c r="K79" i="31"/>
  <c r="I45" i="31"/>
  <c r="I83" i="31" s="1"/>
  <c r="J49" i="31"/>
  <c r="F11" i="58" s="1"/>
  <c r="M45" i="31"/>
  <c r="M83" i="31" s="1"/>
  <c r="M94" i="31" s="1"/>
  <c r="I49" i="31"/>
  <c r="E11" i="58" s="1"/>
  <c r="K45" i="31"/>
  <c r="K83" i="31" s="1"/>
  <c r="K94" i="31" s="1"/>
  <c r="M49" i="31"/>
  <c r="I11" i="58" s="1"/>
  <c r="G76" i="20"/>
  <c r="H72" i="31"/>
  <c r="H73" i="31"/>
  <c r="J76" i="20"/>
  <c r="K73" i="31"/>
  <c r="K72" i="31"/>
  <c r="I78" i="20"/>
  <c r="I72" i="20"/>
  <c r="I76" i="20"/>
  <c r="J73" i="31"/>
  <c r="J72" i="31"/>
  <c r="J78" i="20"/>
  <c r="J72" i="20"/>
  <c r="L78" i="20"/>
  <c r="L72" i="20"/>
  <c r="H78" i="20"/>
  <c r="H72" i="20"/>
  <c r="K49" i="31"/>
  <c r="G11" i="58" s="1"/>
  <c r="L76" i="20"/>
  <c r="M73" i="31"/>
  <c r="M72" i="31"/>
  <c r="K76" i="20"/>
  <c r="L73" i="31"/>
  <c r="L72" i="31"/>
  <c r="L49" i="31"/>
  <c r="H11" i="58" s="1"/>
  <c r="L45" i="31"/>
  <c r="L83" i="31" s="1"/>
  <c r="L94" i="31" s="1"/>
  <c r="J45" i="31"/>
  <c r="J83" i="31" s="1"/>
  <c r="J94" i="31" s="1"/>
  <c r="H76" i="20"/>
  <c r="I72" i="31"/>
  <c r="I73" i="31"/>
  <c r="G78" i="20"/>
  <c r="G72" i="20"/>
  <c r="K78" i="20"/>
  <c r="K72" i="20"/>
  <c r="K33" i="19"/>
  <c r="H13" i="56" s="1"/>
  <c r="J11" i="19"/>
  <c r="K20" i="19"/>
  <c r="G20" i="19"/>
  <c r="D116" i="56" s="1"/>
  <c r="D119" i="56" s="1"/>
  <c r="J20" i="19"/>
  <c r="I20" i="19"/>
  <c r="H33" i="19"/>
  <c r="E13" i="56" s="1"/>
  <c r="J33" i="19"/>
  <c r="G13" i="56" s="1"/>
  <c r="G154" i="56" s="1"/>
  <c r="L20" i="19"/>
  <c r="H20" i="19"/>
  <c r="I33" i="19"/>
  <c r="F13" i="56" s="1"/>
  <c r="F154" i="56" s="1"/>
  <c r="H11" i="19"/>
  <c r="I24" i="31" s="1"/>
  <c r="E7" i="25"/>
  <c r="F7" i="25"/>
  <c r="G7" i="25"/>
  <c r="D7" i="25"/>
  <c r="L11" i="19"/>
  <c r="K11" i="19"/>
  <c r="I11" i="19"/>
  <c r="K36" i="20"/>
  <c r="H4" i="57" s="1"/>
  <c r="G36" i="20"/>
  <c r="D4" i="57" s="1"/>
  <c r="I36" i="20"/>
  <c r="F4" i="57" s="1"/>
  <c r="L36" i="20"/>
  <c r="I4" i="57" s="1"/>
  <c r="H36" i="20"/>
  <c r="E4" i="57" s="1"/>
  <c r="J36" i="20"/>
  <c r="G4" i="57" s="1"/>
  <c r="G11" i="19"/>
  <c r="H219" i="11"/>
  <c r="H220" i="11"/>
  <c r="I220" i="11"/>
  <c r="J220" i="11"/>
  <c r="K220" i="11"/>
  <c r="L220" i="11"/>
  <c r="I219" i="11"/>
  <c r="J219" i="11"/>
  <c r="K219" i="11"/>
  <c r="L219" i="11"/>
  <c r="G165" i="11"/>
  <c r="G177" i="11"/>
  <c r="H177" i="11"/>
  <c r="I177" i="11"/>
  <c r="J177" i="11"/>
  <c r="K177" i="11"/>
  <c r="L177" i="11"/>
  <c r="H176" i="11"/>
  <c r="I176" i="11"/>
  <c r="J176" i="11"/>
  <c r="K176" i="11"/>
  <c r="L176" i="11"/>
  <c r="G176" i="11"/>
  <c r="H224" i="11"/>
  <c r="H223" i="11"/>
  <c r="H221" i="11"/>
  <c r="H217" i="11"/>
  <c r="H216" i="11"/>
  <c r="H215" i="11"/>
  <c r="H214" i="11"/>
  <c r="M158" i="11"/>
  <c r="H156" i="11"/>
  <c r="H158" i="11" s="1"/>
  <c r="I156" i="11"/>
  <c r="I158" i="11" s="1"/>
  <c r="J156" i="11"/>
  <c r="J158" i="11" s="1"/>
  <c r="K156" i="11"/>
  <c r="K158" i="11" s="1"/>
  <c r="L156" i="11"/>
  <c r="L158" i="11" s="1"/>
  <c r="G156" i="11"/>
  <c r="G158" i="11" s="1"/>
  <c r="I78" i="17"/>
  <c r="J78" i="17"/>
  <c r="K78" i="17"/>
  <c r="L78" i="17"/>
  <c r="I94" i="17"/>
  <c r="I64" i="17" s="1"/>
  <c r="I45" i="23" s="1"/>
  <c r="G74" i="17"/>
  <c r="H16" i="17"/>
  <c r="H94" i="17"/>
  <c r="H64" i="17" s="1"/>
  <c r="H45" i="23" s="1"/>
  <c r="J94" i="17"/>
  <c r="J64" i="17" s="1"/>
  <c r="J45" i="23" s="1"/>
  <c r="K94" i="17"/>
  <c r="K64" i="17" s="1"/>
  <c r="K45" i="23" s="1"/>
  <c r="L94" i="17"/>
  <c r="L64" i="17" s="1"/>
  <c r="L45" i="23" s="1"/>
  <c r="G94" i="17"/>
  <c r="G64" i="17" s="1"/>
  <c r="G45" i="23" s="1"/>
  <c r="I10" i="57" l="1"/>
  <c r="I6" i="57"/>
  <c r="F6" i="57"/>
  <c r="F10" i="57"/>
  <c r="F7" i="57"/>
  <c r="D6" i="57"/>
  <c r="D7" i="57" s="1"/>
  <c r="H10" i="57"/>
  <c r="H6" i="57"/>
  <c r="F149" i="56"/>
  <c r="G10" i="57"/>
  <c r="G6" i="57"/>
  <c r="G12" i="57" s="1"/>
  <c r="H4" i="55"/>
  <c r="E6" i="57"/>
  <c r="E7" i="57" s="1"/>
  <c r="E10" i="57"/>
  <c r="I154" i="56"/>
  <c r="I152" i="56"/>
  <c r="I28" i="56"/>
  <c r="H154" i="56"/>
  <c r="E154" i="56"/>
  <c r="I153" i="56"/>
  <c r="G4" i="55"/>
  <c r="E150" i="56"/>
  <c r="H151" i="56"/>
  <c r="H152" i="56"/>
  <c r="H149" i="56"/>
  <c r="E151" i="56"/>
  <c r="L76" i="19"/>
  <c r="I116" i="56"/>
  <c r="I118" i="56" s="1"/>
  <c r="E148" i="56"/>
  <c r="E153" i="56"/>
  <c r="I150" i="56"/>
  <c r="E152" i="56"/>
  <c r="G28" i="56"/>
  <c r="D118" i="56"/>
  <c r="G149" i="56"/>
  <c r="D148" i="56"/>
  <c r="D149" i="56"/>
  <c r="D24" i="56"/>
  <c r="J76" i="19"/>
  <c r="G116" i="56"/>
  <c r="G120" i="56" s="1"/>
  <c r="E4" i="55"/>
  <c r="G153" i="56"/>
  <c r="I76" i="19"/>
  <c r="F116" i="56"/>
  <c r="F118" i="56" s="1"/>
  <c r="D153" i="56"/>
  <c r="G152" i="56"/>
  <c r="G151" i="56"/>
  <c r="D26" i="56"/>
  <c r="E149" i="56"/>
  <c r="K76" i="19"/>
  <c r="H116" i="56"/>
  <c r="H119" i="56" s="1"/>
  <c r="J10" i="39"/>
  <c r="F28" i="56"/>
  <c r="F148" i="56"/>
  <c r="D120" i="56"/>
  <c r="I149" i="56"/>
  <c r="D150" i="56"/>
  <c r="H13" i="55"/>
  <c r="H15" i="55" s="1"/>
  <c r="H76" i="19"/>
  <c r="E116" i="56"/>
  <c r="E118" i="56" s="1"/>
  <c r="G150" i="56"/>
  <c r="I151" i="56"/>
  <c r="H150" i="56"/>
  <c r="H153" i="56"/>
  <c r="D151" i="56"/>
  <c r="I26" i="56"/>
  <c r="D28" i="56"/>
  <c r="F24" i="56"/>
  <c r="H32" i="56"/>
  <c r="H21" i="56"/>
  <c r="H22" i="56"/>
  <c r="I25" i="56"/>
  <c r="F30" i="56"/>
  <c r="F119" i="56"/>
  <c r="F25" i="56"/>
  <c r="G30" i="56"/>
  <c r="G25" i="56"/>
  <c r="H118" i="56"/>
  <c r="H24" i="56"/>
  <c r="I30" i="56"/>
  <c r="G32" i="56"/>
  <c r="G21" i="56"/>
  <c r="G22" i="56"/>
  <c r="H26" i="56"/>
  <c r="E30" i="56"/>
  <c r="E25" i="56"/>
  <c r="G26" i="56"/>
  <c r="F32" i="56"/>
  <c r="F21" i="56"/>
  <c r="F22" i="56"/>
  <c r="G24" i="56"/>
  <c r="H30" i="56"/>
  <c r="E24" i="56"/>
  <c r="H25" i="56"/>
  <c r="D21" i="56"/>
  <c r="D22" i="56"/>
  <c r="I22" i="56"/>
  <c r="I21" i="56"/>
  <c r="E21" i="56"/>
  <c r="E22" i="56"/>
  <c r="E28" i="56"/>
  <c r="I24" i="56"/>
  <c r="E26" i="56"/>
  <c r="F26" i="56"/>
  <c r="F120" i="56"/>
  <c r="E32" i="56"/>
  <c r="J16" i="39"/>
  <c r="J18" i="39" s="1"/>
  <c r="I4" i="55"/>
  <c r="L10" i="39"/>
  <c r="K10" i="39"/>
  <c r="H10" i="39"/>
  <c r="F4" i="55"/>
  <c r="K14" i="39"/>
  <c r="K36" i="39" s="1"/>
  <c r="I6" i="56"/>
  <c r="I38" i="56"/>
  <c r="I32" i="56"/>
  <c r="F12" i="52"/>
  <c r="D13" i="56"/>
  <c r="D154" i="56" s="1"/>
  <c r="I47" i="56"/>
  <c r="E43" i="56"/>
  <c r="G47" i="56"/>
  <c r="E13" i="55"/>
  <c r="E15" i="55" s="1"/>
  <c r="H6" i="56"/>
  <c r="H38" i="56"/>
  <c r="F41" i="56"/>
  <c r="F39" i="56"/>
  <c r="D13" i="55"/>
  <c r="D15" i="55" s="1"/>
  <c r="E42" i="56"/>
  <c r="H42" i="56"/>
  <c r="I43" i="56"/>
  <c r="H39" i="56"/>
  <c r="G6" i="56"/>
  <c r="G38" i="56"/>
  <c r="E6" i="56"/>
  <c r="E38" i="56"/>
  <c r="H47" i="56"/>
  <c r="I10" i="39"/>
  <c r="E45" i="56"/>
  <c r="G43" i="56"/>
  <c r="G41" i="56"/>
  <c r="I42" i="56"/>
  <c r="G42" i="56"/>
  <c r="F43" i="56"/>
  <c r="H43" i="56"/>
  <c r="H41" i="56"/>
  <c r="F47" i="56"/>
  <c r="G39" i="56"/>
  <c r="I41" i="56"/>
  <c r="F6" i="56"/>
  <c r="F38" i="56"/>
  <c r="I39" i="56"/>
  <c r="D6" i="56"/>
  <c r="E41" i="56"/>
  <c r="F42" i="56"/>
  <c r="D32" i="56"/>
  <c r="J13" i="55"/>
  <c r="I15" i="55"/>
  <c r="H74" i="20"/>
  <c r="L12" i="23"/>
  <c r="L43" i="23" s="1"/>
  <c r="K12" i="52"/>
  <c r="H12" i="23"/>
  <c r="H43" i="23" s="1"/>
  <c r="G12" i="52"/>
  <c r="K12" i="23"/>
  <c r="K43" i="23" s="1"/>
  <c r="J12" i="52"/>
  <c r="J12" i="23"/>
  <c r="J43" i="23" s="1"/>
  <c r="I12" i="52"/>
  <c r="K74" i="20"/>
  <c r="I12" i="23"/>
  <c r="I43" i="23" s="1"/>
  <c r="H12" i="52"/>
  <c r="J46" i="39"/>
  <c r="L74" i="20"/>
  <c r="I74" i="20"/>
  <c r="J74" i="20"/>
  <c r="G74" i="20"/>
  <c r="J28" i="39"/>
  <c r="L78" i="19"/>
  <c r="M32" i="31"/>
  <c r="H32" i="31"/>
  <c r="G12" i="23"/>
  <c r="G43" i="23" s="1"/>
  <c r="I66" i="31"/>
  <c r="L66" i="31"/>
  <c r="S27" i="31"/>
  <c r="I95" i="31"/>
  <c r="I28" i="39"/>
  <c r="I37" i="39"/>
  <c r="U15" i="31"/>
  <c r="G78" i="19"/>
  <c r="Q51" i="20"/>
  <c r="Q56" i="20" s="1"/>
  <c r="P7" i="44"/>
  <c r="P80" i="20"/>
  <c r="Q50" i="31" s="1"/>
  <c r="M12" i="58" s="1"/>
  <c r="K28" i="39"/>
  <c r="I38" i="39"/>
  <c r="Q62" i="20"/>
  <c r="Q9" i="44" s="1"/>
  <c r="P9" i="44"/>
  <c r="K46" i="39"/>
  <c r="I29" i="39"/>
  <c r="O11" i="44"/>
  <c r="I90" i="31"/>
  <c r="L46" i="39"/>
  <c r="L28" i="39"/>
  <c r="L37" i="39"/>
  <c r="G26" i="37"/>
  <c r="G35" i="37"/>
  <c r="G17" i="37"/>
  <c r="G44" i="37"/>
  <c r="H36" i="37"/>
  <c r="H45" i="37"/>
  <c r="H27" i="37"/>
  <c r="H18" i="39"/>
  <c r="H45" i="39"/>
  <c r="H36" i="39"/>
  <c r="H27" i="39"/>
  <c r="J36" i="39"/>
  <c r="J27" i="39"/>
  <c r="J45" i="39"/>
  <c r="J46" i="37"/>
  <c r="J28" i="37"/>
  <c r="J37" i="37"/>
  <c r="G29" i="39"/>
  <c r="G47" i="39"/>
  <c r="G38" i="39"/>
  <c r="G14" i="39"/>
  <c r="G10" i="39"/>
  <c r="L17" i="44"/>
  <c r="L15" i="44"/>
  <c r="L19" i="44"/>
  <c r="L13" i="44"/>
  <c r="G37" i="37"/>
  <c r="G46" i="37"/>
  <c r="G28" i="37"/>
  <c r="H37" i="37"/>
  <c r="H46" i="37"/>
  <c r="H28" i="37"/>
  <c r="L44" i="37"/>
  <c r="L35" i="37"/>
  <c r="L17" i="37"/>
  <c r="L26" i="37"/>
  <c r="L95" i="31"/>
  <c r="K27" i="43"/>
  <c r="J35" i="37"/>
  <c r="J44" i="37"/>
  <c r="J17" i="37"/>
  <c r="J26" i="37"/>
  <c r="H78" i="19"/>
  <c r="I78" i="19"/>
  <c r="I94" i="31"/>
  <c r="T83" i="31"/>
  <c r="S83" i="31"/>
  <c r="I7" i="35"/>
  <c r="I13" i="35" s="1"/>
  <c r="I18" i="35" s="1"/>
  <c r="I25" i="44"/>
  <c r="G28" i="39"/>
  <c r="G46" i="39"/>
  <c r="G37" i="39"/>
  <c r="K37" i="37"/>
  <c r="K46" i="37"/>
  <c r="K28" i="37"/>
  <c r="G45" i="37"/>
  <c r="G27" i="37"/>
  <c r="G36" i="37"/>
  <c r="L28" i="37"/>
  <c r="L46" i="37"/>
  <c r="L37" i="37"/>
  <c r="H38" i="39"/>
  <c r="H29" i="39"/>
  <c r="H47" i="39"/>
  <c r="I27" i="37"/>
  <c r="I45" i="37"/>
  <c r="I36" i="37"/>
  <c r="J78" i="19"/>
  <c r="L47" i="39"/>
  <c r="L29" i="39"/>
  <c r="L38" i="39"/>
  <c r="I36" i="39"/>
  <c r="I45" i="39"/>
  <c r="I49" i="39" s="1"/>
  <c r="I27" i="39"/>
  <c r="I18" i="39"/>
  <c r="L25" i="44"/>
  <c r="H17" i="37"/>
  <c r="H44" i="37"/>
  <c r="H26" i="37"/>
  <c r="H35" i="37"/>
  <c r="K78" i="19"/>
  <c r="U7" i="31"/>
  <c r="G76" i="19"/>
  <c r="U8" i="31"/>
  <c r="K25" i="44"/>
  <c r="J95" i="31"/>
  <c r="I27" i="43"/>
  <c r="I35" i="37"/>
  <c r="I44" i="37"/>
  <c r="I26" i="37"/>
  <c r="I17" i="37"/>
  <c r="K47" i="39"/>
  <c r="K29" i="39"/>
  <c r="K38" i="39"/>
  <c r="K45" i="37"/>
  <c r="K36" i="37"/>
  <c r="K27" i="37"/>
  <c r="R29" i="43"/>
  <c r="S29" i="43"/>
  <c r="L36" i="37"/>
  <c r="L45" i="37"/>
  <c r="L27" i="37"/>
  <c r="L27" i="39"/>
  <c r="L18" i="39"/>
  <c r="L45" i="39"/>
  <c r="L36" i="39"/>
  <c r="J25" i="44"/>
  <c r="K95" i="31"/>
  <c r="J27" i="43"/>
  <c r="M95" i="31"/>
  <c r="L27" i="43"/>
  <c r="H25" i="44"/>
  <c r="I37" i="37"/>
  <c r="I46" i="37"/>
  <c r="I28" i="37"/>
  <c r="J36" i="37"/>
  <c r="J45" i="37"/>
  <c r="J27" i="37"/>
  <c r="K26" i="37"/>
  <c r="K35" i="37"/>
  <c r="K44" i="37"/>
  <c r="K17" i="37"/>
  <c r="H28" i="39"/>
  <c r="H37" i="39"/>
  <c r="H46" i="39"/>
  <c r="T84" i="31"/>
  <c r="S84" i="31"/>
  <c r="L91" i="31"/>
  <c r="K15" i="40"/>
  <c r="K17" i="40" s="1"/>
  <c r="K19" i="40" s="1"/>
  <c r="K91" i="31"/>
  <c r="J15" i="40"/>
  <c r="J17" i="40" s="1"/>
  <c r="J19" i="40" s="1"/>
  <c r="J92" i="31"/>
  <c r="I33" i="40"/>
  <c r="I35" i="40" s="1"/>
  <c r="I37" i="40" s="1"/>
  <c r="M92" i="31"/>
  <c r="L33" i="40"/>
  <c r="L35" i="40" s="1"/>
  <c r="L37" i="40" s="1"/>
  <c r="J91" i="31"/>
  <c r="I15" i="40"/>
  <c r="I17" i="40" s="1"/>
  <c r="I19" i="40" s="1"/>
  <c r="T79" i="31"/>
  <c r="J13" i="38"/>
  <c r="J15" i="38" s="1"/>
  <c r="J17" i="38" s="1"/>
  <c r="L92" i="31"/>
  <c r="K33" i="40"/>
  <c r="K35" i="40" s="1"/>
  <c r="K37" i="40" s="1"/>
  <c r="M91" i="31"/>
  <c r="L15" i="40"/>
  <c r="L17" i="40" s="1"/>
  <c r="L19" i="40" s="1"/>
  <c r="H17" i="40"/>
  <c r="H19" i="40" s="1"/>
  <c r="K92" i="31"/>
  <c r="J33" i="40"/>
  <c r="J35" i="40" s="1"/>
  <c r="J37" i="40" s="1"/>
  <c r="H37" i="40"/>
  <c r="S79" i="31"/>
  <c r="I91" i="31"/>
  <c r="T80" i="31"/>
  <c r="S80" i="31"/>
  <c r="I92" i="31"/>
  <c r="T81" i="31"/>
  <c r="S81" i="31"/>
  <c r="S28" i="31"/>
  <c r="T28" i="31"/>
  <c r="M90" i="31"/>
  <c r="J90" i="31"/>
  <c r="S30" i="31"/>
  <c r="T30" i="31"/>
  <c r="S33" i="31"/>
  <c r="T33" i="31"/>
  <c r="L90" i="31"/>
  <c r="S26" i="31"/>
  <c r="T26" i="31"/>
  <c r="S23" i="31"/>
  <c r="T23" i="31"/>
  <c r="T27" i="31"/>
  <c r="K90" i="31"/>
  <c r="S9" i="31"/>
  <c r="T9" i="31"/>
  <c r="S5" i="31"/>
  <c r="T5" i="31"/>
  <c r="S10" i="31"/>
  <c r="T10" i="31"/>
  <c r="S6" i="31"/>
  <c r="T6" i="31"/>
  <c r="T13" i="31"/>
  <c r="S13" i="31"/>
  <c r="S11" i="31"/>
  <c r="T11" i="31"/>
  <c r="K7" i="35"/>
  <c r="K13" i="35" s="1"/>
  <c r="M15" i="31"/>
  <c r="H7" i="35"/>
  <c r="H13" i="35" s="1"/>
  <c r="J7" i="35"/>
  <c r="J13" i="35" s="1"/>
  <c r="L7" i="35"/>
  <c r="L13" i="35" s="1"/>
  <c r="M25" i="31"/>
  <c r="M8" i="31"/>
  <c r="J12" i="19"/>
  <c r="K24" i="31"/>
  <c r="K7" i="31"/>
  <c r="K25" i="31"/>
  <c r="K8" i="31"/>
  <c r="J24" i="31"/>
  <c r="J7" i="31"/>
  <c r="J15" i="31"/>
  <c r="J32" i="31"/>
  <c r="H25" i="31"/>
  <c r="L24" i="31"/>
  <c r="L7" i="31"/>
  <c r="K15" i="31"/>
  <c r="K32" i="31"/>
  <c r="L15" i="31"/>
  <c r="L32" i="31"/>
  <c r="M7" i="31"/>
  <c r="M24" i="31"/>
  <c r="I15" i="31"/>
  <c r="I32" i="31"/>
  <c r="I25" i="31"/>
  <c r="I8" i="31"/>
  <c r="J25" i="31"/>
  <c r="J8" i="31"/>
  <c r="L8" i="31"/>
  <c r="L25" i="31"/>
  <c r="H7" i="25"/>
  <c r="J7" i="25" s="1"/>
  <c r="I44" i="31"/>
  <c r="I82" i="31" s="1"/>
  <c r="J44" i="31"/>
  <c r="J82" i="31" s="1"/>
  <c r="J93" i="31" s="1"/>
  <c r="K44" i="31"/>
  <c r="K82" i="31" s="1"/>
  <c r="K93" i="31" s="1"/>
  <c r="M44" i="31"/>
  <c r="M82" i="31" s="1"/>
  <c r="M93" i="31" s="1"/>
  <c r="K48" i="31"/>
  <c r="G10" i="58" s="1"/>
  <c r="L48" i="31"/>
  <c r="H10" i="58" s="1"/>
  <c r="J47" i="31"/>
  <c r="F9" i="58" s="1"/>
  <c r="J63" i="31"/>
  <c r="J64" i="31"/>
  <c r="M48" i="31"/>
  <c r="I10" i="58" s="1"/>
  <c r="L47" i="31"/>
  <c r="H9" i="58" s="1"/>
  <c r="L63" i="31"/>
  <c r="L64" i="31"/>
  <c r="L44" i="31"/>
  <c r="L82" i="31" s="1"/>
  <c r="L93" i="31" s="1"/>
  <c r="I47" i="31"/>
  <c r="E9" i="58" s="1"/>
  <c r="I63" i="31"/>
  <c r="I64" i="31"/>
  <c r="M47" i="31"/>
  <c r="I9" i="58" s="1"/>
  <c r="M63" i="31"/>
  <c r="M64" i="31"/>
  <c r="I48" i="31"/>
  <c r="E10" i="58" s="1"/>
  <c r="J66" i="31"/>
  <c r="M66" i="31"/>
  <c r="K47" i="31"/>
  <c r="G9" i="58" s="1"/>
  <c r="K63" i="31"/>
  <c r="K64" i="31"/>
  <c r="K66" i="31"/>
  <c r="J48" i="31"/>
  <c r="F10" i="58" s="1"/>
  <c r="H63" i="31"/>
  <c r="H66" i="31"/>
  <c r="H64" i="31"/>
  <c r="I7" i="31"/>
  <c r="H24" i="31"/>
  <c r="G22" i="19"/>
  <c r="J22" i="19"/>
  <c r="I12" i="19"/>
  <c r="I22" i="19"/>
  <c r="L12" i="19"/>
  <c r="L22" i="19"/>
  <c r="M123" i="31" s="1"/>
  <c r="H12" i="19"/>
  <c r="H22" i="19"/>
  <c r="K22" i="19"/>
  <c r="K12" i="19"/>
  <c r="G12" i="19"/>
  <c r="T134" i="14"/>
  <c r="T133" i="14"/>
  <c r="H41" i="17"/>
  <c r="H74" i="17" s="1"/>
  <c r="H79" i="17" s="1"/>
  <c r="H81" i="17" s="1"/>
  <c r="I41" i="17"/>
  <c r="I74" i="17" s="1"/>
  <c r="I79" i="17" s="1"/>
  <c r="I81" i="17" s="1"/>
  <c r="J41" i="17"/>
  <c r="J74" i="17" s="1"/>
  <c r="J79" i="17" s="1"/>
  <c r="J81" i="17" s="1"/>
  <c r="K41" i="17"/>
  <c r="K74" i="17" s="1"/>
  <c r="K79" i="17" s="1"/>
  <c r="K81" i="17" s="1"/>
  <c r="L41" i="17"/>
  <c r="L74" i="17" s="1"/>
  <c r="L79" i="17" s="1"/>
  <c r="L81" i="17" s="1"/>
  <c r="G28" i="17"/>
  <c r="I27" i="17"/>
  <c r="J27" i="17"/>
  <c r="K27" i="17"/>
  <c r="L27" i="17"/>
  <c r="H27" i="17"/>
  <c r="I26" i="17"/>
  <c r="J26" i="17"/>
  <c r="K26" i="17"/>
  <c r="L26" i="17"/>
  <c r="H26" i="17"/>
  <c r="I25" i="17"/>
  <c r="J25" i="17"/>
  <c r="K25" i="17"/>
  <c r="L25" i="17"/>
  <c r="G16" i="17"/>
  <c r="I16" i="17"/>
  <c r="J16" i="17"/>
  <c r="K16" i="17"/>
  <c r="L16" i="17"/>
  <c r="H15" i="17"/>
  <c r="I15" i="17"/>
  <c r="J15" i="17"/>
  <c r="K15" i="17"/>
  <c r="L15" i="17"/>
  <c r="G15" i="17"/>
  <c r="H11" i="17"/>
  <c r="I11" i="17"/>
  <c r="J11" i="17"/>
  <c r="K11" i="17"/>
  <c r="L11" i="17"/>
  <c r="G11" i="17"/>
  <c r="G12" i="17"/>
  <c r="M259" i="11"/>
  <c r="M266" i="11" s="1"/>
  <c r="M269" i="11" s="1"/>
  <c r="L259" i="11"/>
  <c r="L266" i="11" s="1"/>
  <c r="L269" i="11" s="1"/>
  <c r="K259" i="11"/>
  <c r="K266" i="11" s="1"/>
  <c r="K269" i="11" s="1"/>
  <c r="J259" i="11"/>
  <c r="J266" i="11" s="1"/>
  <c r="J269" i="11" s="1"/>
  <c r="I259" i="11"/>
  <c r="I266" i="11" s="1"/>
  <c r="I269" i="11" s="1"/>
  <c r="H259" i="11"/>
  <c r="H266" i="11" s="1"/>
  <c r="H269" i="11" s="1"/>
  <c r="G259" i="11"/>
  <c r="G266" i="11" s="1"/>
  <c r="G269" i="11" s="1"/>
  <c r="I120" i="56" l="1"/>
  <c r="G7" i="57"/>
  <c r="E119" i="56"/>
  <c r="G118" i="56"/>
  <c r="G119" i="56"/>
  <c r="F12" i="57"/>
  <c r="J29" i="39"/>
  <c r="J31" i="39" s="1"/>
  <c r="E120" i="56"/>
  <c r="H12" i="57"/>
  <c r="I12" i="57"/>
  <c r="E12" i="57"/>
  <c r="H7" i="57"/>
  <c r="I7" i="57"/>
  <c r="J38" i="39"/>
  <c r="J47" i="39"/>
  <c r="J49" i="39" s="1"/>
  <c r="I119" i="56"/>
  <c r="H120" i="56"/>
  <c r="D30" i="56"/>
  <c r="K27" i="39"/>
  <c r="K31" i="39" s="1"/>
  <c r="K18" i="39"/>
  <c r="K45" i="39"/>
  <c r="K49" i="39" s="1"/>
  <c r="E47" i="56"/>
  <c r="F23" i="56"/>
  <c r="F10" i="56"/>
  <c r="F40" i="56"/>
  <c r="G40" i="56"/>
  <c r="G23" i="56"/>
  <c r="G10" i="56"/>
  <c r="H40" i="56"/>
  <c r="H10" i="56"/>
  <c r="H23" i="56"/>
  <c r="E23" i="56"/>
  <c r="E10" i="56"/>
  <c r="E40" i="56"/>
  <c r="D23" i="56"/>
  <c r="D10" i="56"/>
  <c r="I40" i="56"/>
  <c r="I23" i="56"/>
  <c r="I10" i="56"/>
  <c r="K13" i="55"/>
  <c r="M13" i="38"/>
  <c r="N13" i="38" s="1"/>
  <c r="I23" i="35"/>
  <c r="I28" i="35" s="1"/>
  <c r="R25" i="44"/>
  <c r="I31" i="39"/>
  <c r="L48" i="37"/>
  <c r="G19" i="44"/>
  <c r="L49" i="39"/>
  <c r="S95" i="31"/>
  <c r="G15" i="44"/>
  <c r="G17" i="44"/>
  <c r="P11" i="44"/>
  <c r="H30" i="37"/>
  <c r="H48" i="37"/>
  <c r="K40" i="39"/>
  <c r="T95" i="31"/>
  <c r="L40" i="39"/>
  <c r="L30" i="37"/>
  <c r="G48" i="37"/>
  <c r="K48" i="37"/>
  <c r="I48" i="37"/>
  <c r="J30" i="37"/>
  <c r="H40" i="39"/>
  <c r="G39" i="37"/>
  <c r="S25" i="44"/>
  <c r="G30" i="37"/>
  <c r="G20" i="23"/>
  <c r="G33" i="17"/>
  <c r="R27" i="43"/>
  <c r="H39" i="37"/>
  <c r="I40" i="39"/>
  <c r="J39" i="37"/>
  <c r="U12" i="31"/>
  <c r="Q7" i="44"/>
  <c r="Q11" i="44" s="1"/>
  <c r="Q80" i="20"/>
  <c r="R50" i="31" s="1"/>
  <c r="N12" i="58" s="1"/>
  <c r="K39" i="37"/>
  <c r="I30" i="37"/>
  <c r="H31" i="39"/>
  <c r="L31" i="43"/>
  <c r="K30" i="37"/>
  <c r="I29" i="31"/>
  <c r="H31" i="43"/>
  <c r="I39" i="37"/>
  <c r="T94" i="31"/>
  <c r="S94" i="31"/>
  <c r="I31" i="43"/>
  <c r="L31" i="39"/>
  <c r="L39" i="37"/>
  <c r="S90" i="31"/>
  <c r="K19" i="44"/>
  <c r="K13" i="44"/>
  <c r="K17" i="44"/>
  <c r="K15" i="44"/>
  <c r="J19" i="44"/>
  <c r="J13" i="44"/>
  <c r="J15" i="44"/>
  <c r="J17" i="44"/>
  <c r="I19" i="44"/>
  <c r="I13" i="44"/>
  <c r="I15" i="44"/>
  <c r="I17" i="44"/>
  <c r="H49" i="39"/>
  <c r="J31" i="43"/>
  <c r="S27" i="43"/>
  <c r="J48" i="37"/>
  <c r="T32" i="31"/>
  <c r="K31" i="43"/>
  <c r="I93" i="31"/>
  <c r="T82" i="31"/>
  <c r="S82" i="31"/>
  <c r="H15" i="44"/>
  <c r="H17" i="44"/>
  <c r="H19" i="44"/>
  <c r="H13" i="44"/>
  <c r="G27" i="39"/>
  <c r="G31" i="39" s="1"/>
  <c r="G18" i="39"/>
  <c r="G36" i="39"/>
  <c r="G40" i="39" s="1"/>
  <c r="G45" i="39"/>
  <c r="G49" i="39" s="1"/>
  <c r="J40" i="39"/>
  <c r="M15" i="40"/>
  <c r="M33" i="40"/>
  <c r="N33" i="40" s="1"/>
  <c r="T92" i="31"/>
  <c r="S92" i="31"/>
  <c r="T90" i="31"/>
  <c r="T91" i="31"/>
  <c r="S91" i="31"/>
  <c r="T24" i="31"/>
  <c r="S24" i="31"/>
  <c r="S32" i="31"/>
  <c r="S25" i="31"/>
  <c r="T25" i="31"/>
  <c r="M18" i="35"/>
  <c r="M23" i="35"/>
  <c r="M28" i="35"/>
  <c r="J18" i="35"/>
  <c r="J23" i="35"/>
  <c r="J28" i="35" s="1"/>
  <c r="K18" i="35"/>
  <c r="K23" i="35"/>
  <c r="K28" i="35" s="1"/>
  <c r="H18" i="35"/>
  <c r="H23" i="35"/>
  <c r="H28" i="35" s="1"/>
  <c r="L23" i="35"/>
  <c r="L28" i="35" s="1"/>
  <c r="L18" i="35"/>
  <c r="T8" i="31"/>
  <c r="S8" i="31"/>
  <c r="S15" i="31"/>
  <c r="T15" i="31"/>
  <c r="S7" i="31"/>
  <c r="T7" i="31"/>
  <c r="K29" i="31"/>
  <c r="K12" i="31"/>
  <c r="L12" i="31"/>
  <c r="L29" i="31"/>
  <c r="M29" i="31"/>
  <c r="M12" i="31"/>
  <c r="J29" i="31"/>
  <c r="J12" i="31"/>
  <c r="I7" i="25"/>
  <c r="K86" i="31"/>
  <c r="K97" i="31" s="1"/>
  <c r="J85" i="31"/>
  <c r="J96" i="31" s="1"/>
  <c r="L85" i="31"/>
  <c r="L96" i="31" s="1"/>
  <c r="M85" i="31"/>
  <c r="M96" i="31" s="1"/>
  <c r="M86" i="31"/>
  <c r="M97" i="31" s="1"/>
  <c r="I86" i="31"/>
  <c r="I85" i="31"/>
  <c r="L86" i="31"/>
  <c r="L97" i="31" s="1"/>
  <c r="K85" i="31"/>
  <c r="K96" i="31" s="1"/>
  <c r="J86" i="31"/>
  <c r="J97" i="31" s="1"/>
  <c r="G27" i="19"/>
  <c r="I12" i="31"/>
  <c r="H29" i="31"/>
  <c r="J23" i="19"/>
  <c r="J27" i="19"/>
  <c r="K103" i="31" s="1"/>
  <c r="G6" i="58" s="1"/>
  <c r="L27" i="19"/>
  <c r="M124" i="31" s="1"/>
  <c r="L23" i="19"/>
  <c r="K23" i="19"/>
  <c r="K27" i="19"/>
  <c r="I23" i="19"/>
  <c r="I27" i="19"/>
  <c r="H27" i="19"/>
  <c r="H23" i="19"/>
  <c r="K28" i="17"/>
  <c r="K20" i="23" s="1"/>
  <c r="L28" i="17"/>
  <c r="L20" i="23" s="1"/>
  <c r="I28" i="17"/>
  <c r="I20" i="23" s="1"/>
  <c r="J28" i="17"/>
  <c r="J20" i="23" s="1"/>
  <c r="H28" i="17"/>
  <c r="H20" i="23" s="1"/>
  <c r="G23" i="19"/>
  <c r="G60" i="17"/>
  <c r="L14" i="17"/>
  <c r="G14" i="17"/>
  <c r="K14" i="17"/>
  <c r="J14" i="17"/>
  <c r="I14" i="17"/>
  <c r="H14" i="17"/>
  <c r="H13" i="23" s="1"/>
  <c r="H33" i="23" s="1"/>
  <c r="H13" i="17"/>
  <c r="I13" i="17"/>
  <c r="J13" i="17"/>
  <c r="K13" i="17"/>
  <c r="L13" i="17"/>
  <c r="H12" i="17"/>
  <c r="I12" i="17"/>
  <c r="J12" i="17"/>
  <c r="K12" i="17"/>
  <c r="L12" i="17"/>
  <c r="G26" i="11"/>
  <c r="L198" i="14"/>
  <c r="K198" i="14"/>
  <c r="I234" i="11"/>
  <c r="H234" i="11"/>
  <c r="J230" i="11"/>
  <c r="K230" i="11"/>
  <c r="L230" i="11"/>
  <c r="I230" i="11"/>
  <c r="H230" i="11"/>
  <c r="I215" i="11"/>
  <c r="J215" i="11"/>
  <c r="K215" i="11"/>
  <c r="L215" i="11"/>
  <c r="I216" i="11"/>
  <c r="J216" i="11"/>
  <c r="K216" i="11"/>
  <c r="L216" i="11"/>
  <c r="I217" i="11"/>
  <c r="J217" i="11"/>
  <c r="K217" i="11"/>
  <c r="L217" i="11"/>
  <c r="I221" i="11"/>
  <c r="J221" i="11"/>
  <c r="K221" i="11"/>
  <c r="L221" i="11"/>
  <c r="I223" i="11"/>
  <c r="J223" i="11"/>
  <c r="K223" i="11"/>
  <c r="L223" i="11"/>
  <c r="I224" i="11"/>
  <c r="J224" i="11"/>
  <c r="K224" i="11"/>
  <c r="L224" i="11"/>
  <c r="I214" i="11"/>
  <c r="J214" i="11"/>
  <c r="K214" i="11"/>
  <c r="I213" i="11"/>
  <c r="J213" i="11"/>
  <c r="K213" i="11"/>
  <c r="L213" i="11"/>
  <c r="H213" i="11"/>
  <c r="H209" i="11"/>
  <c r="I209" i="11"/>
  <c r="J209" i="11"/>
  <c r="K209" i="11"/>
  <c r="L209" i="11"/>
  <c r="I208" i="11"/>
  <c r="J208" i="11"/>
  <c r="K208" i="11"/>
  <c r="L208" i="11"/>
  <c r="H208" i="11"/>
  <c r="H78" i="11"/>
  <c r="H54" i="19" s="1"/>
  <c r="I78" i="11"/>
  <c r="I54" i="19" s="1"/>
  <c r="J78" i="11"/>
  <c r="J54" i="19" s="1"/>
  <c r="K78" i="11"/>
  <c r="K54" i="19" s="1"/>
  <c r="L78" i="11"/>
  <c r="L54" i="19" s="1"/>
  <c r="G78" i="11"/>
  <c r="G54" i="19" s="1"/>
  <c r="H197" i="11"/>
  <c r="I197" i="11"/>
  <c r="J197" i="11"/>
  <c r="K197" i="11"/>
  <c r="L197" i="11"/>
  <c r="H196" i="11"/>
  <c r="I196" i="11"/>
  <c r="J196" i="11"/>
  <c r="K196" i="11"/>
  <c r="L196" i="11"/>
  <c r="H191" i="11"/>
  <c r="I191" i="11"/>
  <c r="J191" i="11"/>
  <c r="K191" i="11"/>
  <c r="L191" i="11"/>
  <c r="G197" i="11"/>
  <c r="G196" i="11"/>
  <c r="G191" i="11"/>
  <c r="G187" i="11"/>
  <c r="H187" i="11"/>
  <c r="I187" i="11"/>
  <c r="J187" i="11"/>
  <c r="K187" i="11"/>
  <c r="L187" i="11"/>
  <c r="G171" i="11"/>
  <c r="H171" i="11"/>
  <c r="I171" i="11"/>
  <c r="J171" i="11"/>
  <c r="K171" i="11"/>
  <c r="L171" i="11"/>
  <c r="G172" i="11"/>
  <c r="H172" i="11"/>
  <c r="I172" i="11"/>
  <c r="J172" i="11"/>
  <c r="K172" i="11"/>
  <c r="L172" i="11"/>
  <c r="G173" i="11"/>
  <c r="H173" i="11"/>
  <c r="I173" i="11"/>
  <c r="J173" i="11"/>
  <c r="K173" i="11"/>
  <c r="L173" i="11"/>
  <c r="G174" i="11"/>
  <c r="H174" i="11"/>
  <c r="I174" i="11"/>
  <c r="J174" i="11"/>
  <c r="K174" i="11"/>
  <c r="L174" i="11"/>
  <c r="G178" i="11"/>
  <c r="H178" i="11"/>
  <c r="I178" i="11"/>
  <c r="J178" i="11"/>
  <c r="K178" i="11"/>
  <c r="L178" i="11"/>
  <c r="G180" i="11"/>
  <c r="H180" i="11"/>
  <c r="I180" i="11"/>
  <c r="J180" i="11"/>
  <c r="K180" i="11"/>
  <c r="L180" i="11"/>
  <c r="G181" i="11"/>
  <c r="H181" i="11"/>
  <c r="I181" i="11"/>
  <c r="J181" i="11"/>
  <c r="K181" i="11"/>
  <c r="L181" i="11"/>
  <c r="H170" i="11"/>
  <c r="I170" i="11"/>
  <c r="J170" i="11"/>
  <c r="K170" i="11"/>
  <c r="L170" i="11"/>
  <c r="G170" i="11"/>
  <c r="H165" i="11"/>
  <c r="I165" i="11"/>
  <c r="J165" i="11"/>
  <c r="K165" i="11"/>
  <c r="L165" i="11"/>
  <c r="H166" i="11"/>
  <c r="I166" i="11"/>
  <c r="J166" i="11"/>
  <c r="K166" i="11"/>
  <c r="L166" i="11"/>
  <c r="G166" i="11"/>
  <c r="N132" i="11"/>
  <c r="K58" i="14"/>
  <c r="K58" i="20" s="1"/>
  <c r="H58" i="14"/>
  <c r="H58" i="20" s="1"/>
  <c r="I58" i="14"/>
  <c r="I58" i="20" s="1"/>
  <c r="J58" i="14"/>
  <c r="J58" i="20" s="1"/>
  <c r="L58" i="14"/>
  <c r="L58" i="20" s="1"/>
  <c r="G58" i="14"/>
  <c r="G58" i="20" s="1"/>
  <c r="H250" i="14"/>
  <c r="I250" i="14"/>
  <c r="J250" i="14"/>
  <c r="K250" i="14"/>
  <c r="L250" i="14"/>
  <c r="G250" i="14"/>
  <c r="H246" i="14"/>
  <c r="I246" i="14"/>
  <c r="J246" i="14"/>
  <c r="K246" i="14"/>
  <c r="L246" i="14"/>
  <c r="G246" i="14"/>
  <c r="H44" i="56" l="1"/>
  <c r="H12" i="56"/>
  <c r="H27" i="56"/>
  <c r="G27" i="56"/>
  <c r="G12" i="56"/>
  <c r="G44" i="56"/>
  <c r="E27" i="56"/>
  <c r="E44" i="56"/>
  <c r="E12" i="56"/>
  <c r="D12" i="56"/>
  <c r="D27" i="56"/>
  <c r="F27" i="56"/>
  <c r="F12" i="56"/>
  <c r="F44" i="56"/>
  <c r="I27" i="56"/>
  <c r="I44" i="56"/>
  <c r="I12" i="56"/>
  <c r="L13" i="55"/>
  <c r="M13" i="35"/>
  <c r="M7" i="35" s="1"/>
  <c r="M5" i="35" s="1"/>
  <c r="M9" i="43" s="1"/>
  <c r="G13" i="23"/>
  <c r="G33" i="23" s="1"/>
  <c r="U14" i="31"/>
  <c r="R13" i="44"/>
  <c r="S15" i="44"/>
  <c r="S17" i="44"/>
  <c r="R17" i="44"/>
  <c r="S13" i="44"/>
  <c r="S19" i="44"/>
  <c r="R15" i="44"/>
  <c r="T93" i="31"/>
  <c r="S93" i="31"/>
  <c r="H55" i="31"/>
  <c r="U19" i="31"/>
  <c r="R19" i="44"/>
  <c r="I97" i="31"/>
  <c r="T86" i="31"/>
  <c r="S86" i="31"/>
  <c r="S31" i="43"/>
  <c r="R31" i="43"/>
  <c r="N15" i="40"/>
  <c r="O13" i="38"/>
  <c r="I96" i="31"/>
  <c r="T85" i="31"/>
  <c r="S85" i="31"/>
  <c r="O33" i="40"/>
  <c r="T29" i="31"/>
  <c r="S29" i="31"/>
  <c r="S12" i="31"/>
  <c r="T12" i="31"/>
  <c r="G183" i="11"/>
  <c r="G68" i="19"/>
  <c r="L19" i="31"/>
  <c r="L55" i="31"/>
  <c r="K19" i="31"/>
  <c r="K55" i="31"/>
  <c r="M55" i="31"/>
  <c r="M19" i="31"/>
  <c r="J19" i="31"/>
  <c r="J55" i="31"/>
  <c r="I19" i="31"/>
  <c r="I55" i="31"/>
  <c r="G67" i="17"/>
  <c r="G47" i="23" s="1"/>
  <c r="I68" i="31"/>
  <c r="I31" i="31"/>
  <c r="L68" i="31"/>
  <c r="L14" i="31"/>
  <c r="L31" i="31"/>
  <c r="L103" i="31"/>
  <c r="H6" i="58" s="1"/>
  <c r="I103" i="31"/>
  <c r="E6" i="58" s="1"/>
  <c r="M68" i="31"/>
  <c r="M14" i="31"/>
  <c r="M31" i="31"/>
  <c r="M103" i="31"/>
  <c r="I6" i="58" s="1"/>
  <c r="J68" i="31"/>
  <c r="J31" i="31"/>
  <c r="J14" i="31"/>
  <c r="K68" i="31"/>
  <c r="K14" i="31"/>
  <c r="K31" i="31"/>
  <c r="J103" i="31"/>
  <c r="F6" i="58" s="1"/>
  <c r="K33" i="17"/>
  <c r="J33" i="17"/>
  <c r="I33" i="17"/>
  <c r="H33" i="17"/>
  <c r="L33" i="17"/>
  <c r="G35" i="19"/>
  <c r="G41" i="19" s="1"/>
  <c r="G8" i="23" s="1"/>
  <c r="H68" i="31"/>
  <c r="H31" i="31"/>
  <c r="I14" i="31"/>
  <c r="J35" i="19"/>
  <c r="J41" i="19" s="1"/>
  <c r="J8" i="23" s="1"/>
  <c r="J28" i="19"/>
  <c r="H35" i="19"/>
  <c r="H41" i="19" s="1"/>
  <c r="H8" i="23" s="1"/>
  <c r="H28" i="19"/>
  <c r="I35" i="19"/>
  <c r="I41" i="19" s="1"/>
  <c r="I8" i="23" s="1"/>
  <c r="I28" i="19"/>
  <c r="K35" i="19"/>
  <c r="K41" i="19" s="1"/>
  <c r="K8" i="23" s="1"/>
  <c r="K28" i="19"/>
  <c r="L28" i="19"/>
  <c r="L35" i="19"/>
  <c r="L41" i="19" s="1"/>
  <c r="L8" i="23" s="1"/>
  <c r="I51" i="17"/>
  <c r="I13" i="23"/>
  <c r="I33" i="23" s="1"/>
  <c r="L51" i="17"/>
  <c r="L13" i="23"/>
  <c r="L33" i="23" s="1"/>
  <c r="K60" i="17"/>
  <c r="H51" i="17"/>
  <c r="J51" i="17"/>
  <c r="J13" i="23"/>
  <c r="J33" i="23" s="1"/>
  <c r="K51" i="17"/>
  <c r="K13" i="23"/>
  <c r="K33" i="23" s="1"/>
  <c r="G28" i="19"/>
  <c r="L60" i="17"/>
  <c r="H60" i="17"/>
  <c r="J60" i="17"/>
  <c r="I60" i="17"/>
  <c r="G51" i="17"/>
  <c r="G198" i="11"/>
  <c r="K198" i="11"/>
  <c r="J198" i="11"/>
  <c r="I198" i="11"/>
  <c r="H198" i="11"/>
  <c r="L198" i="11"/>
  <c r="G253" i="14"/>
  <c r="G255" i="14" s="1"/>
  <c r="H253" i="14"/>
  <c r="H255" i="14" s="1"/>
  <c r="L253" i="14"/>
  <c r="L255" i="14" s="1"/>
  <c r="K253" i="14"/>
  <c r="K255" i="14" s="1"/>
  <c r="I253" i="14"/>
  <c r="I255" i="14" s="1"/>
  <c r="J253" i="14"/>
  <c r="J255" i="14" s="1"/>
  <c r="M6" i="39" l="1"/>
  <c r="M16" i="19" s="1"/>
  <c r="J7" i="56" s="1"/>
  <c r="M8" i="39"/>
  <c r="M18" i="19" s="1"/>
  <c r="J9" i="56" s="1"/>
  <c r="M5" i="44"/>
  <c r="M33" i="19" s="1"/>
  <c r="J13" i="56" s="1"/>
  <c r="M7" i="19"/>
  <c r="N56" i="31" s="1"/>
  <c r="N120" i="31" s="1"/>
  <c r="M17" i="40"/>
  <c r="M9" i="40" s="1"/>
  <c r="N7" i="40" s="1"/>
  <c r="N5" i="35"/>
  <c r="N17" i="40" s="1"/>
  <c r="M23" i="44"/>
  <c r="M38" i="19" s="1"/>
  <c r="F46" i="56"/>
  <c r="F14" i="56"/>
  <c r="F155" i="56" s="1"/>
  <c r="F29" i="56"/>
  <c r="G46" i="56"/>
  <c r="G29" i="56"/>
  <c r="G14" i="56"/>
  <c r="G155" i="56" s="1"/>
  <c r="M8" i="37"/>
  <c r="M91" i="19" s="1"/>
  <c r="D29" i="56"/>
  <c r="D14" i="56"/>
  <c r="D155" i="56" s="1"/>
  <c r="H29" i="56"/>
  <c r="H46" i="56"/>
  <c r="H14" i="56"/>
  <c r="H155" i="56" s="1"/>
  <c r="M6" i="37"/>
  <c r="M89" i="19" s="1"/>
  <c r="I46" i="56"/>
  <c r="I14" i="56"/>
  <c r="I155" i="56" s="1"/>
  <c r="I29" i="56"/>
  <c r="E46" i="56"/>
  <c r="E29" i="56"/>
  <c r="E14" i="56"/>
  <c r="E155" i="56" s="1"/>
  <c r="M7" i="39"/>
  <c r="M17" i="19" s="1"/>
  <c r="J8" i="56" s="1"/>
  <c r="M13" i="55"/>
  <c r="M7" i="37"/>
  <c r="M90" i="19" s="1"/>
  <c r="U16" i="31"/>
  <c r="M29" i="43"/>
  <c r="N11" i="31"/>
  <c r="S97" i="31"/>
  <c r="T97" i="31"/>
  <c r="N9" i="31"/>
  <c r="T103" i="31"/>
  <c r="S103" i="31"/>
  <c r="P13" i="38"/>
  <c r="O15" i="40"/>
  <c r="S96" i="31"/>
  <c r="T96" i="31"/>
  <c r="P33" i="40"/>
  <c r="T31" i="31"/>
  <c r="S31" i="31"/>
  <c r="S19" i="31"/>
  <c r="T19" i="31"/>
  <c r="S14" i="31"/>
  <c r="T14" i="31"/>
  <c r="J67" i="17"/>
  <c r="J47" i="23" s="1"/>
  <c r="L67" i="17"/>
  <c r="L47" i="23" s="1"/>
  <c r="H67" i="17"/>
  <c r="H47" i="23" s="1"/>
  <c r="K67" i="17"/>
  <c r="K47" i="23" s="1"/>
  <c r="I67" i="17"/>
  <c r="I47" i="23" s="1"/>
  <c r="G49" i="23"/>
  <c r="G51" i="23" s="1"/>
  <c r="I34" i="31"/>
  <c r="L16" i="31"/>
  <c r="L34" i="31"/>
  <c r="J34" i="31"/>
  <c r="J16" i="31"/>
  <c r="K34" i="31"/>
  <c r="K16" i="31"/>
  <c r="M16" i="31"/>
  <c r="M34" i="31"/>
  <c r="H34" i="31"/>
  <c r="I16" i="31"/>
  <c r="J36" i="19"/>
  <c r="I36" i="19"/>
  <c r="L36" i="19"/>
  <c r="K36" i="19"/>
  <c r="H36" i="19"/>
  <c r="G36" i="19"/>
  <c r="H224" i="14"/>
  <c r="H226" i="14" s="1"/>
  <c r="I224" i="14"/>
  <c r="I226" i="14" s="1"/>
  <c r="J224" i="14"/>
  <c r="J226" i="14" s="1"/>
  <c r="K224" i="14"/>
  <c r="K226" i="14" s="1"/>
  <c r="L224" i="14"/>
  <c r="L226" i="14" s="1"/>
  <c r="G224" i="14"/>
  <c r="G226" i="14" s="1"/>
  <c r="H200" i="14"/>
  <c r="I198" i="14"/>
  <c r="I200" i="14" s="1"/>
  <c r="J198" i="14"/>
  <c r="J200" i="14" s="1"/>
  <c r="K200" i="14"/>
  <c r="L200" i="14"/>
  <c r="L175" i="14"/>
  <c r="L179" i="14" s="1"/>
  <c r="K175" i="14"/>
  <c r="K179" i="14" s="1"/>
  <c r="J175" i="14"/>
  <c r="I175" i="14"/>
  <c r="I179" i="14" s="1"/>
  <c r="H175" i="14"/>
  <c r="H179" i="14" s="1"/>
  <c r="G175" i="14"/>
  <c r="L170" i="14"/>
  <c r="L171" i="14" s="1"/>
  <c r="L188" i="14" s="1"/>
  <c r="L186" i="14" s="1"/>
  <c r="L65" i="43" s="1"/>
  <c r="L73" i="43" s="1"/>
  <c r="K170" i="14"/>
  <c r="K171" i="14" s="1"/>
  <c r="K188" i="14" s="1"/>
  <c r="K186" i="14" s="1"/>
  <c r="K65" i="43" s="1"/>
  <c r="K73" i="43" s="1"/>
  <c r="J170" i="14"/>
  <c r="J171" i="14" s="1"/>
  <c r="I170" i="14"/>
  <c r="I171" i="14" s="1"/>
  <c r="I188" i="14" s="1"/>
  <c r="I186" i="14" s="1"/>
  <c r="I65" i="43" s="1"/>
  <c r="I73" i="43" s="1"/>
  <c r="H170" i="14"/>
  <c r="H171" i="14" s="1"/>
  <c r="H188" i="14" s="1"/>
  <c r="H186" i="14" s="1"/>
  <c r="H65" i="43" s="1"/>
  <c r="H73" i="43" s="1"/>
  <c r="G170" i="14"/>
  <c r="L165" i="14"/>
  <c r="L166" i="14" s="1"/>
  <c r="L63" i="43" s="1"/>
  <c r="K165" i="14"/>
  <c r="K166" i="14" s="1"/>
  <c r="K63" i="43" s="1"/>
  <c r="J165" i="14"/>
  <c r="J166" i="14" s="1"/>
  <c r="J63" i="43" s="1"/>
  <c r="I165" i="14"/>
  <c r="I166" i="14" s="1"/>
  <c r="I63" i="43" s="1"/>
  <c r="H165" i="14"/>
  <c r="H166" i="14" s="1"/>
  <c r="H63" i="43" s="1"/>
  <c r="G165" i="14"/>
  <c r="G166" i="14" s="1"/>
  <c r="L141" i="14"/>
  <c r="L145" i="14" s="1"/>
  <c r="K141" i="14"/>
  <c r="K145" i="14" s="1"/>
  <c r="J141" i="14"/>
  <c r="J145" i="14" s="1"/>
  <c r="I141" i="14"/>
  <c r="I145" i="14" s="1"/>
  <c r="H141" i="14"/>
  <c r="H145" i="14" s="1"/>
  <c r="G141" i="14"/>
  <c r="L136" i="14"/>
  <c r="L137" i="14" s="1"/>
  <c r="L154" i="14" s="1"/>
  <c r="L152" i="14" s="1"/>
  <c r="L47" i="43" s="1"/>
  <c r="K136" i="14"/>
  <c r="K137" i="14" s="1"/>
  <c r="J136" i="14"/>
  <c r="J137" i="14" s="1"/>
  <c r="J154" i="14" s="1"/>
  <c r="J152" i="14" s="1"/>
  <c r="J47" i="43" s="1"/>
  <c r="I136" i="14"/>
  <c r="I137" i="14" s="1"/>
  <c r="I154" i="14" s="1"/>
  <c r="I152" i="14" s="1"/>
  <c r="I47" i="43" s="1"/>
  <c r="H136" i="14"/>
  <c r="H137" i="14" s="1"/>
  <c r="H154" i="14" s="1"/>
  <c r="H152" i="14" s="1"/>
  <c r="H47" i="43" s="1"/>
  <c r="G136" i="14"/>
  <c r="G137" i="14" s="1"/>
  <c r="G154" i="14" s="1"/>
  <c r="G152" i="14" s="1"/>
  <c r="L131" i="14"/>
  <c r="L132" i="14" s="1"/>
  <c r="L45" i="43" s="1"/>
  <c r="K131" i="14"/>
  <c r="K132" i="14" s="1"/>
  <c r="K45" i="43" s="1"/>
  <c r="J131" i="14"/>
  <c r="J132" i="14" s="1"/>
  <c r="J45" i="43" s="1"/>
  <c r="I131" i="14"/>
  <c r="I132" i="14" s="1"/>
  <c r="I45" i="43" s="1"/>
  <c r="H131" i="14"/>
  <c r="H132" i="14" s="1"/>
  <c r="H45" i="43" s="1"/>
  <c r="G131" i="14"/>
  <c r="G132" i="14" s="1"/>
  <c r="G200" i="14"/>
  <c r="H108" i="14"/>
  <c r="I108" i="14"/>
  <c r="I112" i="14" s="1"/>
  <c r="J108" i="14"/>
  <c r="J112" i="14" s="1"/>
  <c r="K108" i="14"/>
  <c r="K112" i="14" s="1"/>
  <c r="L108" i="14"/>
  <c r="L112" i="14" s="1"/>
  <c r="G108" i="14"/>
  <c r="L103" i="14"/>
  <c r="L104" i="14" s="1"/>
  <c r="L121" i="14" s="1"/>
  <c r="L119" i="14" s="1"/>
  <c r="L10" i="43" s="1"/>
  <c r="K103" i="14"/>
  <c r="K104" i="14" s="1"/>
  <c r="K121" i="14" s="1"/>
  <c r="K119" i="14" s="1"/>
  <c r="K10" i="43" s="1"/>
  <c r="J103" i="14"/>
  <c r="I103" i="14"/>
  <c r="I104" i="14" s="1"/>
  <c r="H103" i="14"/>
  <c r="H104" i="14" s="1"/>
  <c r="G103" i="14"/>
  <c r="G104" i="14" s="1"/>
  <c r="L98" i="14"/>
  <c r="L99" i="14" s="1"/>
  <c r="L8" i="43" s="1"/>
  <c r="K98" i="14"/>
  <c r="K99" i="14" s="1"/>
  <c r="K8" i="43" s="1"/>
  <c r="J98" i="14"/>
  <c r="J99" i="14" s="1"/>
  <c r="J8" i="43" s="1"/>
  <c r="I98" i="14"/>
  <c r="I99" i="14" s="1"/>
  <c r="I8" i="43" s="1"/>
  <c r="H98" i="14"/>
  <c r="H99" i="14" s="1"/>
  <c r="H8" i="43" s="1"/>
  <c r="G98" i="14"/>
  <c r="G99" i="14" s="1"/>
  <c r="L72" i="14"/>
  <c r="L70" i="20" s="1"/>
  <c r="J72" i="14"/>
  <c r="J70" i="20" s="1"/>
  <c r="I72" i="14"/>
  <c r="I70" i="20" s="1"/>
  <c r="H72" i="14"/>
  <c r="H70" i="20" s="1"/>
  <c r="G72" i="14"/>
  <c r="G70" i="20" s="1"/>
  <c r="L48" i="14"/>
  <c r="L46" i="20" s="1"/>
  <c r="K48" i="14"/>
  <c r="K46" i="20" s="1"/>
  <c r="J48" i="14"/>
  <c r="J46" i="20" s="1"/>
  <c r="I48" i="14"/>
  <c r="I46" i="20" s="1"/>
  <c r="H48" i="14"/>
  <c r="H46" i="20" s="1"/>
  <c r="L37" i="14"/>
  <c r="L34" i="20" s="1"/>
  <c r="K37" i="14"/>
  <c r="K34" i="20" s="1"/>
  <c r="J37" i="14"/>
  <c r="J34" i="20" s="1"/>
  <c r="I37" i="14"/>
  <c r="I34" i="20" s="1"/>
  <c r="H37" i="14"/>
  <c r="H34" i="20" s="1"/>
  <c r="G37" i="14"/>
  <c r="G34" i="20" s="1"/>
  <c r="L21" i="14"/>
  <c r="L20" i="20" s="1"/>
  <c r="K21" i="14"/>
  <c r="K20" i="20" s="1"/>
  <c r="J21" i="14"/>
  <c r="J20" i="20" s="1"/>
  <c r="I21" i="14"/>
  <c r="I20" i="20" s="1"/>
  <c r="H21" i="14"/>
  <c r="H20" i="20" s="1"/>
  <c r="G21" i="14"/>
  <c r="G20" i="20" s="1"/>
  <c r="M74" i="19" l="1"/>
  <c r="M30" i="19"/>
  <c r="M10" i="39"/>
  <c r="M13" i="44"/>
  <c r="N10" i="31"/>
  <c r="N28" i="31"/>
  <c r="N27" i="31"/>
  <c r="M17" i="44"/>
  <c r="N5" i="31"/>
  <c r="M19" i="44"/>
  <c r="M27" i="20"/>
  <c r="M18" i="23" s="1"/>
  <c r="M11" i="40"/>
  <c r="M93" i="19"/>
  <c r="N9" i="43"/>
  <c r="N29" i="43" s="1"/>
  <c r="N6" i="37"/>
  <c r="N89" i="19" s="1"/>
  <c r="N7" i="39"/>
  <c r="N17" i="19" s="1"/>
  <c r="O10" i="31" s="1"/>
  <c r="O5" i="35"/>
  <c r="O7" i="19" s="1"/>
  <c r="M12" i="23"/>
  <c r="M43" i="23" s="1"/>
  <c r="M13" i="23"/>
  <c r="M33" i="23" s="1"/>
  <c r="J15" i="56"/>
  <c r="D16" i="56"/>
  <c r="D31" i="56"/>
  <c r="I48" i="56"/>
  <c r="I16" i="56"/>
  <c r="I31" i="56"/>
  <c r="N7" i="37"/>
  <c r="N90" i="19" s="1"/>
  <c r="N23" i="44"/>
  <c r="N25" i="44" s="1"/>
  <c r="G48" i="56"/>
  <c r="G16" i="56"/>
  <c r="G31" i="56"/>
  <c r="N8" i="39"/>
  <c r="N18" i="19" s="1"/>
  <c r="M25" i="44"/>
  <c r="J3" i="55"/>
  <c r="J4" i="56"/>
  <c r="J148" i="56" s="1"/>
  <c r="N6" i="39"/>
  <c r="N16" i="19" s="1"/>
  <c r="K7" i="56" s="1"/>
  <c r="N26" i="31"/>
  <c r="M20" i="19"/>
  <c r="N5" i="44"/>
  <c r="N33" i="19" s="1"/>
  <c r="K13" i="56" s="1"/>
  <c r="J42" i="56"/>
  <c r="H48" i="56"/>
  <c r="H16" i="56"/>
  <c r="H31" i="56"/>
  <c r="J47" i="56"/>
  <c r="N8" i="37"/>
  <c r="N91" i="19" s="1"/>
  <c r="E48" i="56"/>
  <c r="E31" i="56"/>
  <c r="E16" i="56"/>
  <c r="J43" i="56"/>
  <c r="N7" i="19"/>
  <c r="M10" i="37"/>
  <c r="M15" i="38" s="1"/>
  <c r="M7" i="38" s="1"/>
  <c r="M15" i="44"/>
  <c r="L12" i="52"/>
  <c r="F31" i="56"/>
  <c r="F48" i="56"/>
  <c r="F16" i="56"/>
  <c r="J41" i="56"/>
  <c r="N13" i="55"/>
  <c r="N33" i="31"/>
  <c r="L81" i="43"/>
  <c r="L83" i="43"/>
  <c r="Q32" i="23" s="1"/>
  <c r="H81" i="43"/>
  <c r="I81" i="43"/>
  <c r="J81" i="43"/>
  <c r="K81" i="43"/>
  <c r="M79" i="19"/>
  <c r="N32" i="31"/>
  <c r="I49" i="23"/>
  <c r="I51" i="23" s="1"/>
  <c r="J49" i="23"/>
  <c r="J51" i="23" s="1"/>
  <c r="G110" i="14"/>
  <c r="G99" i="17" s="1"/>
  <c r="G64" i="23" s="1"/>
  <c r="G179" i="14"/>
  <c r="G67" i="43"/>
  <c r="H62" i="43" s="1"/>
  <c r="H67" i="43" s="1"/>
  <c r="G145" i="14"/>
  <c r="G49" i="43"/>
  <c r="L35" i="43"/>
  <c r="L37" i="43"/>
  <c r="K33" i="43"/>
  <c r="K19" i="43"/>
  <c r="K21" i="43"/>
  <c r="L33" i="43"/>
  <c r="L19" i="43"/>
  <c r="L21" i="43"/>
  <c r="G121" i="14"/>
  <c r="G119" i="14" s="1"/>
  <c r="T135" i="14" s="1"/>
  <c r="J33" i="43"/>
  <c r="J19" i="43"/>
  <c r="J21" i="43"/>
  <c r="H33" i="43"/>
  <c r="H19" i="43"/>
  <c r="H21" i="43"/>
  <c r="I33" i="43"/>
  <c r="I19" i="43"/>
  <c r="I21" i="43"/>
  <c r="K35" i="43"/>
  <c r="K37" i="43"/>
  <c r="O23" i="44"/>
  <c r="O5" i="44"/>
  <c r="M78" i="19"/>
  <c r="N15" i="31"/>
  <c r="N9" i="40"/>
  <c r="N27" i="20" s="1"/>
  <c r="P15" i="40"/>
  <c r="Q13" i="38"/>
  <c r="Q33" i="40"/>
  <c r="P5" i="35"/>
  <c r="O7" i="39"/>
  <c r="O17" i="19" s="1"/>
  <c r="O7" i="37"/>
  <c r="O90" i="19" s="1"/>
  <c r="O56" i="31"/>
  <c r="O120" i="31" s="1"/>
  <c r="H49" i="23"/>
  <c r="H51" i="23" s="1"/>
  <c r="S34" i="31"/>
  <c r="T34" i="31"/>
  <c r="S16" i="31"/>
  <c r="T16" i="31"/>
  <c r="L49" i="23"/>
  <c r="L51" i="23" s="1"/>
  <c r="K49" i="23"/>
  <c r="K51" i="23" s="1"/>
  <c r="G112" i="14"/>
  <c r="L47" i="17"/>
  <c r="L32" i="23" s="1"/>
  <c r="J104" i="14"/>
  <c r="J121" i="14" s="1"/>
  <c r="J119" i="14" s="1"/>
  <c r="J10" i="43" s="1"/>
  <c r="J40" i="14"/>
  <c r="J292" i="14" s="1"/>
  <c r="J177" i="14"/>
  <c r="J101" i="17" s="1"/>
  <c r="J66" i="23" s="1"/>
  <c r="G40" i="14"/>
  <c r="H110" i="14"/>
  <c r="G75" i="14"/>
  <c r="L75" i="14"/>
  <c r="H75" i="14"/>
  <c r="J75" i="14"/>
  <c r="H202" i="14"/>
  <c r="J143" i="14"/>
  <c r="J100" i="17" s="1"/>
  <c r="K75" i="14"/>
  <c r="H40" i="14"/>
  <c r="K40" i="14"/>
  <c r="L40" i="14"/>
  <c r="I75" i="14"/>
  <c r="I40" i="14"/>
  <c r="I203" i="14"/>
  <c r="I121" i="14"/>
  <c r="I119" i="14" s="1"/>
  <c r="H203" i="14"/>
  <c r="J202" i="14"/>
  <c r="L110" i="14"/>
  <c r="L202" i="14"/>
  <c r="I202" i="14"/>
  <c r="K154" i="14"/>
  <c r="K152" i="14" s="1"/>
  <c r="K143" i="14"/>
  <c r="K203" i="14"/>
  <c r="K110" i="14"/>
  <c r="K202" i="14"/>
  <c r="G143" i="14"/>
  <c r="G202" i="14"/>
  <c r="I110" i="14"/>
  <c r="H121" i="14"/>
  <c r="H119" i="14" s="1"/>
  <c r="H10" i="43" s="1"/>
  <c r="H83" i="43" s="1"/>
  <c r="K177" i="14"/>
  <c r="K101" i="17" s="1"/>
  <c r="K66" i="23" s="1"/>
  <c r="G171" i="14"/>
  <c r="G203" i="14" s="1"/>
  <c r="L203" i="14"/>
  <c r="L177" i="14"/>
  <c r="L101" i="17" s="1"/>
  <c r="L66" i="23" s="1"/>
  <c r="J179" i="14"/>
  <c r="L143" i="14"/>
  <c r="H177" i="14"/>
  <c r="H101" i="17" s="1"/>
  <c r="H66" i="23" s="1"/>
  <c r="I177" i="14"/>
  <c r="I101" i="17" s="1"/>
  <c r="I66" i="23" s="1"/>
  <c r="J188" i="14"/>
  <c r="J186" i="14" s="1"/>
  <c r="J65" i="43" s="1"/>
  <c r="J73" i="43" s="1"/>
  <c r="S73" i="43" s="1"/>
  <c r="H143" i="14"/>
  <c r="I143" i="14"/>
  <c r="H112" i="14"/>
  <c r="L136" i="11"/>
  <c r="M136" i="11"/>
  <c r="N93" i="19" l="1"/>
  <c r="M13" i="40"/>
  <c r="J150" i="56"/>
  <c r="O15" i="31"/>
  <c r="J26" i="56"/>
  <c r="J154" i="56"/>
  <c r="J152" i="56"/>
  <c r="N42" i="31"/>
  <c r="N80" i="31" s="1"/>
  <c r="N91" i="31" s="1"/>
  <c r="O6" i="37"/>
  <c r="O89" i="19" s="1"/>
  <c r="N38" i="19"/>
  <c r="K15" i="56" s="1"/>
  <c r="K49" i="56" s="1"/>
  <c r="J25" i="56"/>
  <c r="O6" i="39"/>
  <c r="O16" i="19" s="1"/>
  <c r="O8" i="37"/>
  <c r="O91" i="19" s="1"/>
  <c r="J151" i="56"/>
  <c r="M76" i="19"/>
  <c r="J116" i="56"/>
  <c r="J38" i="56"/>
  <c r="J21" i="56"/>
  <c r="J24" i="56"/>
  <c r="J30" i="56"/>
  <c r="M9" i="19"/>
  <c r="J5" i="56" s="1"/>
  <c r="J149" i="56" s="1"/>
  <c r="O9" i="43"/>
  <c r="O29" i="43" s="1"/>
  <c r="N19" i="44"/>
  <c r="K8" i="56"/>
  <c r="O8" i="39"/>
  <c r="O18" i="19" s="1"/>
  <c r="P11" i="31" s="1"/>
  <c r="O17" i="40"/>
  <c r="O26" i="31"/>
  <c r="N25" i="31"/>
  <c r="N17" i="44"/>
  <c r="J39" i="56"/>
  <c r="I33" i="56"/>
  <c r="I50" i="56"/>
  <c r="L3" i="55"/>
  <c r="L4" i="56"/>
  <c r="L148" i="56" s="1"/>
  <c r="O11" i="31"/>
  <c r="K9" i="56"/>
  <c r="O28" i="31"/>
  <c r="K47" i="56"/>
  <c r="N10" i="37"/>
  <c r="N9" i="19" s="1"/>
  <c r="K5" i="56" s="1"/>
  <c r="N10" i="39"/>
  <c r="N78" i="19"/>
  <c r="O32" i="31"/>
  <c r="N12" i="23"/>
  <c r="N43" i="23" s="1"/>
  <c r="K3" i="55"/>
  <c r="K4" i="56"/>
  <c r="K148" i="56" s="1"/>
  <c r="N8" i="31"/>
  <c r="K41" i="56"/>
  <c r="D33" i="56"/>
  <c r="O27" i="31"/>
  <c r="N20" i="19"/>
  <c r="M35" i="40"/>
  <c r="M27" i="40" s="1"/>
  <c r="M63" i="20" s="1"/>
  <c r="M68" i="20" s="1"/>
  <c r="J5" i="57" s="1"/>
  <c r="J11" i="57" s="1"/>
  <c r="N15" i="44"/>
  <c r="F50" i="56"/>
  <c r="F33" i="56"/>
  <c r="H50" i="56"/>
  <c r="H33" i="56"/>
  <c r="J32" i="56"/>
  <c r="J49" i="56"/>
  <c r="M12" i="52"/>
  <c r="G50" i="56"/>
  <c r="G33" i="56"/>
  <c r="N30" i="19"/>
  <c r="N74" i="19"/>
  <c r="O5" i="31"/>
  <c r="P10" i="31"/>
  <c r="L8" i="56"/>
  <c r="L151" i="56" s="1"/>
  <c r="O9" i="31"/>
  <c r="N13" i="44"/>
  <c r="E33" i="56"/>
  <c r="E50" i="56"/>
  <c r="J4" i="55"/>
  <c r="J14" i="55"/>
  <c r="J15" i="55" s="1"/>
  <c r="L14" i="55"/>
  <c r="L15" i="55" s="1"/>
  <c r="P200" i="14"/>
  <c r="J83" i="43"/>
  <c r="O32" i="23" s="1"/>
  <c r="N13" i="23"/>
  <c r="N33" i="23" s="1"/>
  <c r="H105" i="43"/>
  <c r="O33" i="31"/>
  <c r="M64" i="43"/>
  <c r="N64" i="43"/>
  <c r="O64" i="43"/>
  <c r="G188" i="14"/>
  <c r="G186" i="14" s="1"/>
  <c r="G47" i="17" s="1"/>
  <c r="G32" i="23" s="1"/>
  <c r="K105" i="43"/>
  <c r="H69" i="43"/>
  <c r="I62" i="43"/>
  <c r="I67" i="43" s="1"/>
  <c r="R73" i="43"/>
  <c r="K47" i="17"/>
  <c r="K32" i="23" s="1"/>
  <c r="K47" i="43"/>
  <c r="K83" i="43" s="1"/>
  <c r="H43" i="43"/>
  <c r="G85" i="43"/>
  <c r="S33" i="43"/>
  <c r="R33" i="43"/>
  <c r="I105" i="43"/>
  <c r="I47" i="17"/>
  <c r="I32" i="23" s="1"/>
  <c r="I10" i="43"/>
  <c r="I83" i="43" s="1"/>
  <c r="R21" i="43"/>
  <c r="S21" i="43"/>
  <c r="L105" i="43"/>
  <c r="H47" i="17"/>
  <c r="H32" i="23" s="1"/>
  <c r="J35" i="43"/>
  <c r="J37" i="43"/>
  <c r="R19" i="43"/>
  <c r="S19" i="43"/>
  <c r="P8" i="43" s="1"/>
  <c r="P81" i="43" s="1"/>
  <c r="J105" i="43"/>
  <c r="N11" i="40"/>
  <c r="M9" i="38"/>
  <c r="M24" i="20"/>
  <c r="N5" i="38"/>
  <c r="O25" i="44"/>
  <c r="O38" i="19"/>
  <c r="L15" i="56" s="1"/>
  <c r="O33" i="19"/>
  <c r="O13" i="44"/>
  <c r="O19" i="44"/>
  <c r="O17" i="44"/>
  <c r="O15" i="44"/>
  <c r="P23" i="44"/>
  <c r="P9" i="43"/>
  <c r="P5" i="44"/>
  <c r="P64" i="43"/>
  <c r="O7" i="40"/>
  <c r="O9" i="40" s="1"/>
  <c r="P7" i="40" s="1"/>
  <c r="P17" i="40"/>
  <c r="Q15" i="40"/>
  <c r="N18" i="23"/>
  <c r="O42" i="31"/>
  <c r="H114" i="14"/>
  <c r="H99" i="17"/>
  <c r="H64" i="23" s="1"/>
  <c r="K114" i="14"/>
  <c r="K99" i="17"/>
  <c r="K64" i="23" s="1"/>
  <c r="L114" i="14"/>
  <c r="L99" i="17"/>
  <c r="L64" i="23" s="1"/>
  <c r="I114" i="14"/>
  <c r="I99" i="17"/>
  <c r="I64" i="23" s="1"/>
  <c r="G100" i="17"/>
  <c r="H147" i="14"/>
  <c r="H100" i="17"/>
  <c r="I147" i="14"/>
  <c r="I100" i="17"/>
  <c r="K147" i="14"/>
  <c r="K100" i="17"/>
  <c r="J65" i="23"/>
  <c r="L147" i="14"/>
  <c r="L100" i="17"/>
  <c r="Q5" i="35"/>
  <c r="P7" i="19"/>
  <c r="P8" i="39"/>
  <c r="P18" i="19" s="1"/>
  <c r="P7" i="39"/>
  <c r="P17" i="19" s="1"/>
  <c r="P6" i="39"/>
  <c r="P16" i="19" s="1"/>
  <c r="M7" i="56" s="1"/>
  <c r="P8" i="37"/>
  <c r="P91" i="19" s="1"/>
  <c r="P6" i="37"/>
  <c r="P7" i="37"/>
  <c r="P90" i="19" s="1"/>
  <c r="P27" i="31"/>
  <c r="P5" i="31"/>
  <c r="O74" i="19"/>
  <c r="P56" i="31"/>
  <c r="P120" i="31" s="1"/>
  <c r="P28" i="31"/>
  <c r="J289" i="14"/>
  <c r="J271" i="14"/>
  <c r="J298" i="14"/>
  <c r="J273" i="14"/>
  <c r="J274" i="14"/>
  <c r="J281" i="14"/>
  <c r="J275" i="14"/>
  <c r="J294" i="14"/>
  <c r="J282" i="14"/>
  <c r="J291" i="14"/>
  <c r="J272" i="14"/>
  <c r="J276" i="14"/>
  <c r="J280" i="14"/>
  <c r="J295" i="14"/>
  <c r="J278" i="14"/>
  <c r="J297" i="14"/>
  <c r="J293" i="14"/>
  <c r="J299" i="14"/>
  <c r="J283" i="14"/>
  <c r="J203" i="14"/>
  <c r="P201" i="14" s="1"/>
  <c r="J110" i="14"/>
  <c r="H44" i="17"/>
  <c r="J47" i="17"/>
  <c r="J32" i="23" s="1"/>
  <c r="K181" i="14"/>
  <c r="K44" i="17"/>
  <c r="I181" i="14"/>
  <c r="I44" i="17"/>
  <c r="L181" i="14"/>
  <c r="L44" i="17"/>
  <c r="J279" i="14"/>
  <c r="J296" i="14"/>
  <c r="J147" i="14"/>
  <c r="T201" i="14"/>
  <c r="J181" i="14"/>
  <c r="T202" i="14"/>
  <c r="G273" i="14"/>
  <c r="G271" i="14"/>
  <c r="G272" i="14"/>
  <c r="G275" i="14"/>
  <c r="G296" i="14"/>
  <c r="G294" i="14"/>
  <c r="G298" i="14"/>
  <c r="G281" i="14"/>
  <c r="G276" i="14"/>
  <c r="G280" i="14"/>
  <c r="G279" i="14"/>
  <c r="G283" i="14"/>
  <c r="G289" i="14"/>
  <c r="G293" i="14"/>
  <c r="G297" i="14"/>
  <c r="G292" i="14"/>
  <c r="G291" i="14"/>
  <c r="G278" i="14"/>
  <c r="G282" i="14"/>
  <c r="G295" i="14"/>
  <c r="G274" i="14"/>
  <c r="G299" i="14"/>
  <c r="I274" i="14"/>
  <c r="I294" i="14"/>
  <c r="I281" i="14"/>
  <c r="I280" i="14"/>
  <c r="I291" i="14"/>
  <c r="I295" i="14"/>
  <c r="I299" i="14"/>
  <c r="I278" i="14"/>
  <c r="I282" i="14"/>
  <c r="I273" i="14"/>
  <c r="I298" i="14"/>
  <c r="I293" i="14"/>
  <c r="I297" i="14"/>
  <c r="I276" i="14"/>
  <c r="I272" i="14"/>
  <c r="I271" i="14"/>
  <c r="I296" i="14"/>
  <c r="I283" i="14"/>
  <c r="I275" i="14"/>
  <c r="I292" i="14"/>
  <c r="I279" i="14"/>
  <c r="I289" i="14"/>
  <c r="H328" i="14"/>
  <c r="H318" i="14"/>
  <c r="H316" i="14"/>
  <c r="H310" i="14"/>
  <c r="H329" i="14"/>
  <c r="H317" i="14"/>
  <c r="H333" i="14"/>
  <c r="H319" i="14"/>
  <c r="H311" i="14"/>
  <c r="H327" i="14"/>
  <c r="H326" i="14"/>
  <c r="H330" i="14"/>
  <c r="H332" i="14"/>
  <c r="H334" i="14"/>
  <c r="H309" i="14"/>
  <c r="H320" i="14"/>
  <c r="H331" i="14"/>
  <c r="L293" i="14"/>
  <c r="L297" i="14"/>
  <c r="L280" i="14"/>
  <c r="L296" i="14"/>
  <c r="L291" i="14"/>
  <c r="L295" i="14"/>
  <c r="L289" i="14"/>
  <c r="L275" i="14"/>
  <c r="L279" i="14"/>
  <c r="L283" i="14"/>
  <c r="L274" i="14"/>
  <c r="L299" i="14"/>
  <c r="L278" i="14"/>
  <c r="L282" i="14"/>
  <c r="L273" i="14"/>
  <c r="L292" i="14"/>
  <c r="L294" i="14"/>
  <c r="L281" i="14"/>
  <c r="L272" i="14"/>
  <c r="L271" i="14"/>
  <c r="L298" i="14"/>
  <c r="L276" i="14"/>
  <c r="K289" i="14"/>
  <c r="K275" i="14"/>
  <c r="K299" i="14"/>
  <c r="K278" i="14"/>
  <c r="K292" i="14"/>
  <c r="K296" i="14"/>
  <c r="K279" i="14"/>
  <c r="K283" i="14"/>
  <c r="K291" i="14"/>
  <c r="K295" i="14"/>
  <c r="K273" i="14"/>
  <c r="K274" i="14"/>
  <c r="K282" i="14"/>
  <c r="K294" i="14"/>
  <c r="K298" i="14"/>
  <c r="K276" i="14"/>
  <c r="K281" i="14"/>
  <c r="K293" i="14"/>
  <c r="K272" i="14"/>
  <c r="K271" i="14"/>
  <c r="K297" i="14"/>
  <c r="K280" i="14"/>
  <c r="H291" i="14"/>
  <c r="H295" i="14"/>
  <c r="H299" i="14"/>
  <c r="H278" i="14"/>
  <c r="H282" i="14"/>
  <c r="H275" i="14"/>
  <c r="H276" i="14"/>
  <c r="H273" i="14"/>
  <c r="H294" i="14"/>
  <c r="H298" i="14"/>
  <c r="H272" i="14"/>
  <c r="H271" i="14"/>
  <c r="H293" i="14"/>
  <c r="H297" i="14"/>
  <c r="H289" i="14"/>
  <c r="H281" i="14"/>
  <c r="H280" i="14"/>
  <c r="H274" i="14"/>
  <c r="H292" i="14"/>
  <c r="H279" i="14"/>
  <c r="H283" i="14"/>
  <c r="H296" i="14"/>
  <c r="G77" i="14"/>
  <c r="G331" i="14"/>
  <c r="G319" i="14"/>
  <c r="G309" i="14"/>
  <c r="G333" i="14"/>
  <c r="G326" i="14"/>
  <c r="G318" i="14"/>
  <c r="G328" i="14"/>
  <c r="G310" i="14"/>
  <c r="G332" i="14"/>
  <c r="G316" i="14"/>
  <c r="G334" i="14"/>
  <c r="G327" i="14"/>
  <c r="G317" i="14"/>
  <c r="G329" i="14"/>
  <c r="G320" i="14"/>
  <c r="G330" i="14"/>
  <c r="G311" i="14"/>
  <c r="J77" i="14"/>
  <c r="J326" i="14"/>
  <c r="J334" i="14"/>
  <c r="J317" i="14"/>
  <c r="J328" i="14"/>
  <c r="J332" i="14"/>
  <c r="J316" i="14"/>
  <c r="J331" i="14"/>
  <c r="J320" i="14"/>
  <c r="J309" i="14"/>
  <c r="J333" i="14"/>
  <c r="J319" i="14"/>
  <c r="J330" i="14"/>
  <c r="J327" i="14"/>
  <c r="J311" i="14"/>
  <c r="J318" i="14"/>
  <c r="J310" i="14"/>
  <c r="J329" i="14"/>
  <c r="I331" i="14"/>
  <c r="I320" i="14"/>
  <c r="I309" i="14"/>
  <c r="I333" i="14"/>
  <c r="I327" i="14"/>
  <c r="I332" i="14"/>
  <c r="I310" i="14"/>
  <c r="I328" i="14"/>
  <c r="I319" i="14"/>
  <c r="I311" i="14"/>
  <c r="I330" i="14"/>
  <c r="I316" i="14"/>
  <c r="I318" i="14"/>
  <c r="I329" i="14"/>
  <c r="I317" i="14"/>
  <c r="I326" i="14"/>
  <c r="I334" i="14"/>
  <c r="L332" i="14"/>
  <c r="L316" i="14"/>
  <c r="L310" i="14"/>
  <c r="L319" i="14"/>
  <c r="L329" i="14"/>
  <c r="L326" i="14"/>
  <c r="L309" i="14"/>
  <c r="L328" i="14"/>
  <c r="L311" i="14"/>
  <c r="L330" i="14"/>
  <c r="L334" i="14"/>
  <c r="L317" i="14"/>
  <c r="L331" i="14"/>
  <c r="L320" i="14"/>
  <c r="L333" i="14"/>
  <c r="L318" i="14"/>
  <c r="L327" i="14"/>
  <c r="K329" i="14"/>
  <c r="K320" i="14"/>
  <c r="K309" i="14"/>
  <c r="K333" i="14"/>
  <c r="K326" i="14"/>
  <c r="K334" i="14"/>
  <c r="K317" i="14"/>
  <c r="K328" i="14"/>
  <c r="K319" i="14"/>
  <c r="K311" i="14"/>
  <c r="K331" i="14"/>
  <c r="K330" i="14"/>
  <c r="K327" i="14"/>
  <c r="K318" i="14"/>
  <c r="K310" i="14"/>
  <c r="K316" i="14"/>
  <c r="K332" i="14"/>
  <c r="H205" i="14"/>
  <c r="H207" i="14" s="1"/>
  <c r="I205" i="14"/>
  <c r="I207" i="14" s="1"/>
  <c r="L77" i="14"/>
  <c r="H77" i="14"/>
  <c r="K205" i="14"/>
  <c r="K207" i="14" s="1"/>
  <c r="K77" i="14"/>
  <c r="L205" i="14"/>
  <c r="L207" i="14" s="1"/>
  <c r="I77" i="14"/>
  <c r="G205" i="14"/>
  <c r="G177" i="14"/>
  <c r="G44" i="17" s="1"/>
  <c r="H181" i="14"/>
  <c r="N70" i="11"/>
  <c r="K136" i="11"/>
  <c r="K141" i="11" s="1"/>
  <c r="K143" i="11" s="1"/>
  <c r="K145" i="11" s="1"/>
  <c r="J136" i="11"/>
  <c r="J141" i="11" s="1"/>
  <c r="J143" i="11" s="1"/>
  <c r="J145" i="11" s="1"/>
  <c r="L141" i="11"/>
  <c r="L143" i="11" s="1"/>
  <c r="L145" i="11" s="1"/>
  <c r="M141" i="11"/>
  <c r="M143" i="11" s="1"/>
  <c r="M145" i="11" s="1"/>
  <c r="J26" i="11"/>
  <c r="J10" i="11"/>
  <c r="J167" i="11" s="1"/>
  <c r="K10" i="11"/>
  <c r="K167" i="11" s="1"/>
  <c r="L10" i="11"/>
  <c r="L167" i="11" s="1"/>
  <c r="I136" i="11"/>
  <c r="I141" i="11" s="1"/>
  <c r="I143" i="11" s="1"/>
  <c r="I145" i="11" s="1"/>
  <c r="I41" i="11"/>
  <c r="I43" i="19" s="1"/>
  <c r="F17" i="56" s="1"/>
  <c r="H26" i="11"/>
  <c r="I26" i="11"/>
  <c r="K26" i="11"/>
  <c r="L26" i="11"/>
  <c r="I10" i="11"/>
  <c r="I167" i="11" s="1"/>
  <c r="I114" i="11"/>
  <c r="I111" i="11" s="1"/>
  <c r="I122" i="11" s="1"/>
  <c r="N69" i="11"/>
  <c r="H136" i="11"/>
  <c r="H141" i="11" s="1"/>
  <c r="H143" i="11" s="1"/>
  <c r="H145" i="11" s="1"/>
  <c r="G136" i="11"/>
  <c r="G141" i="11" s="1"/>
  <c r="G143" i="11" s="1"/>
  <c r="G145" i="11" s="1"/>
  <c r="H130" i="11"/>
  <c r="I130" i="11"/>
  <c r="J130" i="11"/>
  <c r="K130" i="11"/>
  <c r="L130" i="11"/>
  <c r="M130" i="11"/>
  <c r="G130" i="11"/>
  <c r="H114" i="11"/>
  <c r="H111" i="11" s="1"/>
  <c r="H122" i="11" s="1"/>
  <c r="J114" i="11"/>
  <c r="J111" i="11" s="1"/>
  <c r="K114" i="11"/>
  <c r="K111" i="11" s="1"/>
  <c r="K122" i="11" s="1"/>
  <c r="L114" i="11"/>
  <c r="L111" i="11" s="1"/>
  <c r="L122" i="11" s="1"/>
  <c r="M114" i="11"/>
  <c r="M111" i="11" s="1"/>
  <c r="M122" i="11" s="1"/>
  <c r="G114" i="11"/>
  <c r="G111" i="11" s="1"/>
  <c r="G122" i="11" s="1"/>
  <c r="G119" i="11" s="1"/>
  <c r="H41" i="11"/>
  <c r="H43" i="19" s="1"/>
  <c r="E17" i="56" s="1"/>
  <c r="G41" i="11"/>
  <c r="G43" i="19" s="1"/>
  <c r="D17" i="56" s="1"/>
  <c r="D34" i="56" s="1"/>
  <c r="J41" i="11"/>
  <c r="J43" i="19" s="1"/>
  <c r="G17" i="56" s="1"/>
  <c r="K41" i="11"/>
  <c r="K43" i="19" s="1"/>
  <c r="H17" i="56" s="1"/>
  <c r="L41" i="11"/>
  <c r="L43" i="19" s="1"/>
  <c r="I17" i="56" s="1"/>
  <c r="H61" i="11"/>
  <c r="I61" i="11"/>
  <c r="J61" i="11"/>
  <c r="K61" i="11"/>
  <c r="L61" i="11"/>
  <c r="G61" i="11"/>
  <c r="H10" i="11"/>
  <c r="G10" i="11"/>
  <c r="O14" i="9"/>
  <c r="M19" i="40" l="1"/>
  <c r="M75" i="19"/>
  <c r="K151" i="56"/>
  <c r="K149" i="56"/>
  <c r="M11" i="19"/>
  <c r="N23" i="31"/>
  <c r="N6" i="31"/>
  <c r="O93" i="19"/>
  <c r="M87" i="19"/>
  <c r="J22" i="56"/>
  <c r="N79" i="19"/>
  <c r="J6" i="56"/>
  <c r="J23" i="56" s="1"/>
  <c r="J120" i="56"/>
  <c r="J119" i="56"/>
  <c r="J118" i="56"/>
  <c r="K152" i="56"/>
  <c r="O10" i="37"/>
  <c r="O35" i="40" s="1"/>
  <c r="O8" i="31"/>
  <c r="K116" i="56"/>
  <c r="K118" i="56" s="1"/>
  <c r="K154" i="56"/>
  <c r="K150" i="56"/>
  <c r="K42" i="56"/>
  <c r="K25" i="56"/>
  <c r="K119" i="56"/>
  <c r="E18" i="56"/>
  <c r="E34" i="56"/>
  <c r="K38" i="56"/>
  <c r="K21" i="56"/>
  <c r="K22" i="56"/>
  <c r="K26" i="56"/>
  <c r="K120" i="56"/>
  <c r="F18" i="56"/>
  <c r="G52" i="56" s="1"/>
  <c r="F34" i="56"/>
  <c r="L25" i="56"/>
  <c r="I18" i="56"/>
  <c r="I35" i="56" s="1"/>
  <c r="I34" i="56"/>
  <c r="L21" i="56"/>
  <c r="K30" i="56"/>
  <c r="G18" i="56"/>
  <c r="G34" i="56"/>
  <c r="K24" i="56"/>
  <c r="H18" i="56"/>
  <c r="H35" i="56" s="1"/>
  <c r="H34" i="56"/>
  <c r="L9" i="56"/>
  <c r="L152" i="56" s="1"/>
  <c r="P203" i="14"/>
  <c r="D18" i="56"/>
  <c r="D35" i="56" s="1"/>
  <c r="O10" i="39"/>
  <c r="K6" i="56"/>
  <c r="K39" i="56"/>
  <c r="M3" i="55"/>
  <c r="M14" i="55" s="1"/>
  <c r="M15" i="55" s="1"/>
  <c r="M4" i="56"/>
  <c r="M148" i="56" s="1"/>
  <c r="I51" i="56"/>
  <c r="N12" i="52"/>
  <c r="L13" i="56"/>
  <c r="L154" i="56" s="1"/>
  <c r="K32" i="56"/>
  <c r="L49" i="56"/>
  <c r="L32" i="56"/>
  <c r="O25" i="31"/>
  <c r="L42" i="56"/>
  <c r="N15" i="38"/>
  <c r="N7" i="38" s="1"/>
  <c r="N76" i="19"/>
  <c r="J10" i="56"/>
  <c r="K4" i="55"/>
  <c r="K14" i="55"/>
  <c r="K15" i="55" s="1"/>
  <c r="P26" i="31"/>
  <c r="L7" i="56"/>
  <c r="L150" i="56" s="1"/>
  <c r="L4" i="55"/>
  <c r="G51" i="56"/>
  <c r="F51" i="56"/>
  <c r="Q10" i="31"/>
  <c r="M8" i="56"/>
  <c r="N35" i="40"/>
  <c r="M29" i="40"/>
  <c r="L38" i="56"/>
  <c r="H51" i="56"/>
  <c r="K43" i="56"/>
  <c r="E51" i="56"/>
  <c r="Q11" i="31"/>
  <c r="M9" i="56"/>
  <c r="J205" i="14"/>
  <c r="N73" i="43"/>
  <c r="M73" i="43"/>
  <c r="P73" i="43"/>
  <c r="O73" i="43"/>
  <c r="O79" i="19"/>
  <c r="O13" i="23"/>
  <c r="O33" i="23" s="1"/>
  <c r="G31" i="23"/>
  <c r="P32" i="23"/>
  <c r="P32" i="31"/>
  <c r="O12" i="23"/>
  <c r="O43" i="23" s="1"/>
  <c r="P33" i="31"/>
  <c r="J285" i="14"/>
  <c r="Q17" i="40"/>
  <c r="J301" i="14"/>
  <c r="N13" i="40"/>
  <c r="I69" i="43"/>
  <c r="J62" i="43"/>
  <c r="J67" i="43" s="1"/>
  <c r="H79" i="43"/>
  <c r="H56" i="43"/>
  <c r="H49" i="43"/>
  <c r="M8" i="43"/>
  <c r="M81" i="43" s="1"/>
  <c r="N8" i="43"/>
  <c r="N81" i="43" s="1"/>
  <c r="O8" i="43"/>
  <c r="O81" i="43" s="1"/>
  <c r="H35" i="43"/>
  <c r="M32" i="23"/>
  <c r="H37" i="43"/>
  <c r="H12" i="43"/>
  <c r="H14" i="43" s="1"/>
  <c r="N32" i="23"/>
  <c r="I35" i="43"/>
  <c r="I37" i="43"/>
  <c r="N87" i="19"/>
  <c r="O6" i="31"/>
  <c r="O23" i="31"/>
  <c r="N11" i="19"/>
  <c r="N75" i="19"/>
  <c r="Q9" i="31"/>
  <c r="P20" i="19"/>
  <c r="P25" i="44"/>
  <c r="P38" i="19"/>
  <c r="M15" i="56" s="1"/>
  <c r="P10" i="37"/>
  <c r="P89" i="19"/>
  <c r="P93" i="19" s="1"/>
  <c r="P33" i="19"/>
  <c r="M13" i="56" s="1"/>
  <c r="P19" i="44"/>
  <c r="P13" i="44"/>
  <c r="P15" i="44"/>
  <c r="P17" i="44"/>
  <c r="O20" i="19"/>
  <c r="L116" i="56" s="1"/>
  <c r="L119" i="56" s="1"/>
  <c r="P9" i="31"/>
  <c r="M12" i="19"/>
  <c r="M22" i="19"/>
  <c r="N123" i="31" s="1"/>
  <c r="N24" i="31"/>
  <c r="N7" i="31"/>
  <c r="P19" i="43"/>
  <c r="N41" i="31"/>
  <c r="M17" i="23"/>
  <c r="M11" i="38" s="1"/>
  <c r="O27" i="20"/>
  <c r="O18" i="23" s="1"/>
  <c r="Q8" i="43"/>
  <c r="Q81" i="43" s="1"/>
  <c r="Q23" i="44"/>
  <c r="Q9" i="43"/>
  <c r="Q5" i="44"/>
  <c r="Q64" i="43"/>
  <c r="O11" i="40"/>
  <c r="P29" i="43"/>
  <c r="P33" i="43"/>
  <c r="O30" i="19"/>
  <c r="O78" i="19"/>
  <c r="P15" i="31"/>
  <c r="N19" i="40"/>
  <c r="O80" i="31"/>
  <c r="O91" i="31" s="1"/>
  <c r="P9" i="40"/>
  <c r="G101" i="17"/>
  <c r="G66" i="23" s="1"/>
  <c r="J114" i="14"/>
  <c r="J99" i="17"/>
  <c r="K103" i="17"/>
  <c r="K65" i="23"/>
  <c r="K68" i="23" s="1"/>
  <c r="L65" i="23"/>
  <c r="L68" i="23" s="1"/>
  <c r="L103" i="17"/>
  <c r="H103" i="17"/>
  <c r="H65" i="23"/>
  <c r="H68" i="23" s="1"/>
  <c r="I103" i="17"/>
  <c r="I65" i="23"/>
  <c r="I68" i="23" s="1"/>
  <c r="G65" i="23"/>
  <c r="P10" i="39"/>
  <c r="Q27" i="31"/>
  <c r="Q56" i="31"/>
  <c r="Q120" i="31" s="1"/>
  <c r="Q5" i="31"/>
  <c r="Q26" i="31"/>
  <c r="Q28" i="31"/>
  <c r="P74" i="19"/>
  <c r="Q7" i="19"/>
  <c r="Q8" i="37"/>
  <c r="Q91" i="19" s="1"/>
  <c r="Q8" i="39"/>
  <c r="Q18" i="19" s="1"/>
  <c r="N9" i="56" s="1"/>
  <c r="Q7" i="37"/>
  <c r="Q90" i="19" s="1"/>
  <c r="Q6" i="37"/>
  <c r="Q89" i="19" s="1"/>
  <c r="Q7" i="39"/>
  <c r="Q17" i="19" s="1"/>
  <c r="N8" i="56" s="1"/>
  <c r="Q6" i="39"/>
  <c r="Q16" i="19" s="1"/>
  <c r="N7" i="56" s="1"/>
  <c r="H183" i="11"/>
  <c r="H68" i="19"/>
  <c r="K183" i="11"/>
  <c r="K68" i="19"/>
  <c r="J183" i="11"/>
  <c r="J68" i="19"/>
  <c r="H80" i="19"/>
  <c r="H47" i="19"/>
  <c r="H25" i="43" s="1"/>
  <c r="H44" i="19"/>
  <c r="I47" i="19"/>
  <c r="I25" i="43" s="1"/>
  <c r="I80" i="19"/>
  <c r="I44" i="19"/>
  <c r="G47" i="19"/>
  <c r="G80" i="19"/>
  <c r="G44" i="19"/>
  <c r="K80" i="19"/>
  <c r="K47" i="19"/>
  <c r="K25" i="43" s="1"/>
  <c r="K44" i="19"/>
  <c r="J47" i="19"/>
  <c r="J25" i="43" s="1"/>
  <c r="J80" i="19"/>
  <c r="J44" i="19"/>
  <c r="I183" i="11"/>
  <c r="I68" i="19"/>
  <c r="L80" i="19"/>
  <c r="L47" i="19"/>
  <c r="L25" i="43" s="1"/>
  <c r="L44" i="19"/>
  <c r="K14" i="52" s="1"/>
  <c r="L183" i="11"/>
  <c r="L68" i="19"/>
  <c r="J44" i="17"/>
  <c r="J49" i="17" s="1"/>
  <c r="T200" i="14"/>
  <c r="T203" i="14" s="1"/>
  <c r="H49" i="17"/>
  <c r="G49" i="17"/>
  <c r="G53" i="17"/>
  <c r="G34" i="23" s="1"/>
  <c r="H53" i="17"/>
  <c r="H34" i="23" s="1"/>
  <c r="G28" i="11"/>
  <c r="G185" i="11" s="1"/>
  <c r="G167" i="11"/>
  <c r="H167" i="11"/>
  <c r="H210" i="11"/>
  <c r="H322" i="14"/>
  <c r="I312" i="14"/>
  <c r="I53" i="17"/>
  <c r="I34" i="23" s="1"/>
  <c r="I49" i="17"/>
  <c r="L49" i="17"/>
  <c r="L53" i="17"/>
  <c r="L34" i="23" s="1"/>
  <c r="K49" i="17"/>
  <c r="K53" i="17"/>
  <c r="K34" i="23" s="1"/>
  <c r="I210" i="11"/>
  <c r="H301" i="14"/>
  <c r="L226" i="11"/>
  <c r="K226" i="11"/>
  <c r="L210" i="11"/>
  <c r="K210" i="11"/>
  <c r="L241" i="11"/>
  <c r="H241" i="11"/>
  <c r="K241" i="11"/>
  <c r="I226" i="11"/>
  <c r="I322" i="14"/>
  <c r="L322" i="14"/>
  <c r="J312" i="14"/>
  <c r="I241" i="11"/>
  <c r="J210" i="11"/>
  <c r="J241" i="11"/>
  <c r="J226" i="11"/>
  <c r="H226" i="11"/>
  <c r="K132" i="11"/>
  <c r="M132" i="11"/>
  <c r="K285" i="14"/>
  <c r="I285" i="14"/>
  <c r="K301" i="14"/>
  <c r="I301" i="14"/>
  <c r="K336" i="14"/>
  <c r="G312" i="14"/>
  <c r="H312" i="14"/>
  <c r="K322" i="14"/>
  <c r="H285" i="14"/>
  <c r="L312" i="14"/>
  <c r="J336" i="14"/>
  <c r="G322" i="14"/>
  <c r="G285" i="14"/>
  <c r="H336" i="14"/>
  <c r="G336" i="14"/>
  <c r="G301" i="14"/>
  <c r="I336" i="14"/>
  <c r="L301" i="14"/>
  <c r="L336" i="14"/>
  <c r="K312" i="14"/>
  <c r="J322" i="14"/>
  <c r="L285" i="14"/>
  <c r="L132" i="11"/>
  <c r="H132" i="11"/>
  <c r="I132" i="11"/>
  <c r="G132" i="11"/>
  <c r="G207" i="14"/>
  <c r="J122" i="11"/>
  <c r="J132" i="11" s="1"/>
  <c r="I28" i="11"/>
  <c r="I185" i="11" s="1"/>
  <c r="H119" i="11"/>
  <c r="L119" i="11"/>
  <c r="K119" i="11"/>
  <c r="M119" i="11"/>
  <c r="I119" i="11"/>
  <c r="L28" i="11"/>
  <c r="L185" i="11" s="1"/>
  <c r="H28" i="11"/>
  <c r="H185" i="11" s="1"/>
  <c r="K28" i="11"/>
  <c r="K185" i="11" s="1"/>
  <c r="J28" i="11"/>
  <c r="J185" i="11" s="1"/>
  <c r="O9" i="19" l="1"/>
  <c r="H52" i="56"/>
  <c r="M151" i="56"/>
  <c r="G35" i="56"/>
  <c r="J40" i="56"/>
  <c r="L5" i="56"/>
  <c r="L39" i="56" s="1"/>
  <c r="P76" i="19"/>
  <c r="M116" i="56"/>
  <c r="M118" i="56" s="1"/>
  <c r="F35" i="56"/>
  <c r="M150" i="56"/>
  <c r="L43" i="56"/>
  <c r="M154" i="56"/>
  <c r="O15" i="38"/>
  <c r="M152" i="56"/>
  <c r="F52" i="56"/>
  <c r="M30" i="56"/>
  <c r="I52" i="56"/>
  <c r="M21" i="56"/>
  <c r="M25" i="56"/>
  <c r="E35" i="56"/>
  <c r="E52" i="56"/>
  <c r="L30" i="56"/>
  <c r="M26" i="56"/>
  <c r="L118" i="56"/>
  <c r="L24" i="56"/>
  <c r="L120" i="56"/>
  <c r="L26" i="56"/>
  <c r="M24" i="56"/>
  <c r="N43" i="56"/>
  <c r="M47" i="56"/>
  <c r="M43" i="56"/>
  <c r="L41" i="56"/>
  <c r="J27" i="56"/>
  <c r="J44" i="56"/>
  <c r="M4" i="55"/>
  <c r="N3" i="55"/>
  <c r="N4" i="55" s="1"/>
  <c r="N4" i="56"/>
  <c r="N148" i="56" s="1"/>
  <c r="M42" i="56"/>
  <c r="N42" i="56"/>
  <c r="M41" i="56"/>
  <c r="L47" i="56"/>
  <c r="N41" i="56"/>
  <c r="M32" i="56"/>
  <c r="M49" i="56"/>
  <c r="M38" i="56"/>
  <c r="K23" i="56"/>
  <c r="K10" i="56"/>
  <c r="K40" i="56"/>
  <c r="P12" i="23"/>
  <c r="P43" i="23" s="1"/>
  <c r="O12" i="52"/>
  <c r="G62" i="23"/>
  <c r="F10" i="52"/>
  <c r="I85" i="19"/>
  <c r="J105" i="31" s="1"/>
  <c r="H14" i="52"/>
  <c r="K85" i="19"/>
  <c r="L105" i="31" s="1"/>
  <c r="J14" i="52"/>
  <c r="G85" i="19"/>
  <c r="F14" i="52"/>
  <c r="H85" i="19"/>
  <c r="I104" i="31" s="1"/>
  <c r="E7" i="58" s="1"/>
  <c r="G14" i="52"/>
  <c r="J85" i="19"/>
  <c r="K104" i="31" s="1"/>
  <c r="G7" i="58" s="1"/>
  <c r="I14" i="52"/>
  <c r="Q73" i="43"/>
  <c r="J304" i="14"/>
  <c r="Q33" i="31"/>
  <c r="P13" i="23"/>
  <c r="P33" i="23" s="1"/>
  <c r="G32" i="11"/>
  <c r="G36" i="11" s="1"/>
  <c r="G193" i="11" s="1"/>
  <c r="L85" i="19"/>
  <c r="M104" i="31" s="1"/>
  <c r="I7" i="58" s="1"/>
  <c r="C13" i="49"/>
  <c r="C15" i="49" s="1"/>
  <c r="C23" i="49" s="1"/>
  <c r="F3" i="52" s="1"/>
  <c r="Q32" i="31"/>
  <c r="P79" i="19"/>
  <c r="U17" i="31"/>
  <c r="Q8" i="31"/>
  <c r="P42" i="31"/>
  <c r="P80" i="31" s="1"/>
  <c r="P91" i="31" s="1"/>
  <c r="G103" i="17"/>
  <c r="G68" i="23"/>
  <c r="J69" i="43"/>
  <c r="K62" i="43"/>
  <c r="K67" i="43" s="1"/>
  <c r="I43" i="43"/>
  <c r="H51" i="43"/>
  <c r="H87" i="43" s="1"/>
  <c r="H85" i="43"/>
  <c r="I6" i="43"/>
  <c r="S37" i="43"/>
  <c r="M10" i="43" s="1"/>
  <c r="M83" i="43" s="1"/>
  <c r="R37" i="43"/>
  <c r="S35" i="43"/>
  <c r="R35" i="43"/>
  <c r="O19" i="43"/>
  <c r="O33" i="43"/>
  <c r="N33" i="43"/>
  <c r="N19" i="43"/>
  <c r="G36" i="23"/>
  <c r="G38" i="23" s="1"/>
  <c r="M33" i="43"/>
  <c r="M19" i="43"/>
  <c r="Q93" i="19"/>
  <c r="N79" i="31"/>
  <c r="N90" i="31" s="1"/>
  <c r="M17" i="38"/>
  <c r="N12" i="19"/>
  <c r="O7" i="31"/>
  <c r="O24" i="31"/>
  <c r="N22" i="19"/>
  <c r="O123" i="31" s="1"/>
  <c r="R11" i="31"/>
  <c r="X11" i="31"/>
  <c r="Q33" i="19"/>
  <c r="Q15" i="44"/>
  <c r="Q17" i="44"/>
  <c r="Q19" i="44"/>
  <c r="Q13" i="44"/>
  <c r="N9" i="38"/>
  <c r="N24" i="20"/>
  <c r="O5" i="38"/>
  <c r="M21" i="43"/>
  <c r="M31" i="43"/>
  <c r="N12" i="31"/>
  <c r="M23" i="19"/>
  <c r="N29" i="31"/>
  <c r="P30" i="19"/>
  <c r="P78" i="19"/>
  <c r="Q15" i="31"/>
  <c r="O87" i="19"/>
  <c r="P6" i="31"/>
  <c r="O11" i="19"/>
  <c r="O75" i="19"/>
  <c r="P23" i="31"/>
  <c r="Q29" i="43"/>
  <c r="Q33" i="43"/>
  <c r="O13" i="40"/>
  <c r="Q38" i="19"/>
  <c r="N15" i="56" s="1"/>
  <c r="Q25" i="44"/>
  <c r="P8" i="31"/>
  <c r="P25" i="31"/>
  <c r="O76" i="19"/>
  <c r="P9" i="19"/>
  <c r="P35" i="40"/>
  <c r="P15" i="38"/>
  <c r="R9" i="31"/>
  <c r="W9" i="31" s="1"/>
  <c r="Q20" i="19"/>
  <c r="X9" i="31"/>
  <c r="R10" i="31"/>
  <c r="X10" i="31"/>
  <c r="Q25" i="31"/>
  <c r="Q19" i="43"/>
  <c r="R25" i="43"/>
  <c r="S25" i="43"/>
  <c r="P11" i="40"/>
  <c r="P27" i="20"/>
  <c r="Q7" i="40"/>
  <c r="Q9" i="40" s="1"/>
  <c r="J53" i="17"/>
  <c r="J34" i="23" s="1"/>
  <c r="J64" i="23"/>
  <c r="J68" i="23" s="1"/>
  <c r="J103" i="17"/>
  <c r="Q10" i="39"/>
  <c r="Q10" i="37"/>
  <c r="R27" i="31"/>
  <c r="W27" i="31" s="1"/>
  <c r="R5" i="31"/>
  <c r="V5" i="31" s="1"/>
  <c r="R56" i="31"/>
  <c r="R120" i="31" s="1"/>
  <c r="R28" i="31"/>
  <c r="W28" i="31" s="1"/>
  <c r="Q74" i="19"/>
  <c r="R26" i="31"/>
  <c r="W26" i="31" s="1"/>
  <c r="X5" i="31"/>
  <c r="G52" i="19"/>
  <c r="G61" i="19"/>
  <c r="H35" i="31"/>
  <c r="G48" i="19"/>
  <c r="H52" i="19"/>
  <c r="I17" i="31"/>
  <c r="H61" i="19"/>
  <c r="I101" i="31"/>
  <c r="E4" i="58" s="1"/>
  <c r="I102" i="31"/>
  <c r="E5" i="58" s="1"/>
  <c r="I35" i="31"/>
  <c r="H48" i="19"/>
  <c r="L52" i="19"/>
  <c r="M118" i="31" s="1"/>
  <c r="L48" i="19"/>
  <c r="M102" i="31"/>
  <c r="I5" i="58" s="1"/>
  <c r="M17" i="31"/>
  <c r="M101" i="31"/>
  <c r="I4" i="58" s="1"/>
  <c r="M35" i="31"/>
  <c r="L61" i="19"/>
  <c r="J52" i="19"/>
  <c r="J61" i="19"/>
  <c r="J48" i="19"/>
  <c r="K17" i="31"/>
  <c r="K102" i="31"/>
  <c r="G5" i="58" s="1"/>
  <c r="K35" i="31"/>
  <c r="K101" i="31"/>
  <c r="G4" i="58" s="1"/>
  <c r="I52" i="19"/>
  <c r="J102" i="31"/>
  <c r="F5" i="58" s="1"/>
  <c r="I61" i="19"/>
  <c r="J101" i="31"/>
  <c r="F4" i="58" s="1"/>
  <c r="J17" i="31"/>
  <c r="I48" i="19"/>
  <c r="J35" i="31"/>
  <c r="K52" i="19"/>
  <c r="K48" i="19"/>
  <c r="L35" i="31"/>
  <c r="K61" i="19"/>
  <c r="L101" i="31"/>
  <c r="H4" i="58" s="1"/>
  <c r="L17" i="31"/>
  <c r="L102" i="31"/>
  <c r="H5" i="58" s="1"/>
  <c r="H304" i="14"/>
  <c r="I339" i="14"/>
  <c r="L304" i="14"/>
  <c r="J339" i="14"/>
  <c r="K32" i="11"/>
  <c r="K189" i="11" s="1"/>
  <c r="K228" i="11"/>
  <c r="H32" i="11"/>
  <c r="H189" i="11" s="1"/>
  <c r="H228" i="11"/>
  <c r="I32" i="11"/>
  <c r="I189" i="11" s="1"/>
  <c r="I228" i="11"/>
  <c r="L32" i="11"/>
  <c r="L189" i="11" s="1"/>
  <c r="L228" i="11"/>
  <c r="J32" i="11"/>
  <c r="J189" i="11" s="1"/>
  <c r="J228" i="11"/>
  <c r="H339" i="14"/>
  <c r="G339" i="14"/>
  <c r="G304" i="14"/>
  <c r="L339" i="14"/>
  <c r="K339" i="14"/>
  <c r="I304" i="14"/>
  <c r="K304" i="14"/>
  <c r="J119" i="11"/>
  <c r="M120" i="56" l="1"/>
  <c r="N24" i="56"/>
  <c r="M119" i="56"/>
  <c r="N151" i="56"/>
  <c r="Q76" i="19"/>
  <c r="N116" i="56"/>
  <c r="N26" i="56"/>
  <c r="N152" i="56"/>
  <c r="M5" i="56"/>
  <c r="M39" i="56" s="1"/>
  <c r="N25" i="56"/>
  <c r="O7" i="38"/>
  <c r="O24" i="20" s="1"/>
  <c r="N150" i="56"/>
  <c r="L149" i="56"/>
  <c r="L22" i="56"/>
  <c r="L6" i="56"/>
  <c r="N21" i="56"/>
  <c r="N14" i="55"/>
  <c r="N15" i="55" s="1"/>
  <c r="I105" i="31"/>
  <c r="N32" i="56"/>
  <c r="N49" i="56"/>
  <c r="P12" i="52"/>
  <c r="N13" i="56"/>
  <c r="N154" i="56" s="1"/>
  <c r="K44" i="56"/>
  <c r="K27" i="56"/>
  <c r="N38" i="56"/>
  <c r="K105" i="31"/>
  <c r="L104" i="31"/>
  <c r="H7" i="58" s="1"/>
  <c r="N24" i="52"/>
  <c r="N26" i="52" s="1"/>
  <c r="M24" i="52"/>
  <c r="M26" i="52" s="1"/>
  <c r="L24" i="52"/>
  <c r="L26" i="52" s="1"/>
  <c r="P24" i="52"/>
  <c r="P26" i="52" s="1"/>
  <c r="O24" i="52"/>
  <c r="O26" i="52" s="1"/>
  <c r="J104" i="31"/>
  <c r="F7" i="58" s="1"/>
  <c r="M105" i="31"/>
  <c r="G189" i="11"/>
  <c r="H31" i="23"/>
  <c r="H36" i="23" s="1"/>
  <c r="H38" i="23" s="1"/>
  <c r="R33" i="31"/>
  <c r="V33" i="31" s="1"/>
  <c r="Q13" i="23"/>
  <c r="Q33" i="23" s="1"/>
  <c r="O19" i="40"/>
  <c r="R32" i="31"/>
  <c r="W32" i="31" s="1"/>
  <c r="Q12" i="23"/>
  <c r="Q43" i="23" s="1"/>
  <c r="H56" i="19"/>
  <c r="H82" i="19" s="1"/>
  <c r="H5" i="45"/>
  <c r="J56" i="19"/>
  <c r="J82" i="19" s="1"/>
  <c r="J5" i="45"/>
  <c r="K56" i="19"/>
  <c r="K82" i="19" s="1"/>
  <c r="K5" i="45"/>
  <c r="G56" i="19"/>
  <c r="G82" i="19" s="1"/>
  <c r="G5" i="45"/>
  <c r="L56" i="19"/>
  <c r="L82" i="19" s="1"/>
  <c r="L5" i="45"/>
  <c r="I56" i="19"/>
  <c r="I82" i="19" s="1"/>
  <c r="I5" i="45"/>
  <c r="Q79" i="19"/>
  <c r="G7" i="17"/>
  <c r="G43" i="11"/>
  <c r="L62" i="43"/>
  <c r="L67" i="43" s="1"/>
  <c r="K69" i="43"/>
  <c r="I49" i="43"/>
  <c r="I56" i="43"/>
  <c r="N10" i="43"/>
  <c r="N83" i="43" s="1"/>
  <c r="O10" i="43"/>
  <c r="O83" i="43" s="1"/>
  <c r="P10" i="43"/>
  <c r="P83" i="43" s="1"/>
  <c r="Q10" i="43"/>
  <c r="Q83" i="43" s="1"/>
  <c r="I12" i="43"/>
  <c r="I79" i="43"/>
  <c r="I85" i="43" s="1"/>
  <c r="Q9" i="19"/>
  <c r="N5" i="56" s="1"/>
  <c r="N149" i="56" s="1"/>
  <c r="Q35" i="40"/>
  <c r="Q15" i="38"/>
  <c r="N21" i="43"/>
  <c r="N31" i="43"/>
  <c r="N23" i="19"/>
  <c r="O12" i="31"/>
  <c r="O29" i="31"/>
  <c r="Q30" i="19"/>
  <c r="Q78" i="19"/>
  <c r="R15" i="31"/>
  <c r="W15" i="31" s="1"/>
  <c r="X15" i="31"/>
  <c r="V9" i="31"/>
  <c r="P87" i="19"/>
  <c r="Q6" i="31"/>
  <c r="P75" i="19"/>
  <c r="P11" i="19"/>
  <c r="Q23" i="31"/>
  <c r="N17" i="23"/>
  <c r="N11" i="38" s="1"/>
  <c r="O41" i="31"/>
  <c r="R8" i="31"/>
  <c r="W8" i="31" s="1"/>
  <c r="X8" i="31"/>
  <c r="U18" i="31"/>
  <c r="O12" i="19"/>
  <c r="P24" i="31"/>
  <c r="P7" i="31"/>
  <c r="O22" i="19"/>
  <c r="P123" i="31" s="1"/>
  <c r="R25" i="31"/>
  <c r="W25" i="31" s="1"/>
  <c r="W10" i="31"/>
  <c r="V10" i="31"/>
  <c r="V11" i="31"/>
  <c r="W11" i="31"/>
  <c r="S101" i="31"/>
  <c r="T101" i="31"/>
  <c r="P18" i="23"/>
  <c r="P13" i="40" s="1"/>
  <c r="Q42" i="31"/>
  <c r="Q11" i="40"/>
  <c r="Q27" i="20"/>
  <c r="T102" i="31"/>
  <c r="S102" i="31"/>
  <c r="V28" i="31"/>
  <c r="V27" i="31"/>
  <c r="V26" i="31"/>
  <c r="W5" i="31"/>
  <c r="S35" i="31"/>
  <c r="T35" i="31"/>
  <c r="S17" i="31"/>
  <c r="T17" i="31"/>
  <c r="H54" i="31"/>
  <c r="G81" i="19"/>
  <c r="H36" i="31"/>
  <c r="H37" i="31" s="1"/>
  <c r="L54" i="31"/>
  <c r="L36" i="31"/>
  <c r="L37" i="31" s="1"/>
  <c r="K81" i="19"/>
  <c r="L18" i="31"/>
  <c r="J18" i="31"/>
  <c r="J54" i="31"/>
  <c r="J36" i="31"/>
  <c r="J37" i="31" s="1"/>
  <c r="K106" i="31" s="1"/>
  <c r="I81" i="19"/>
  <c r="K36" i="31"/>
  <c r="K37" i="31" s="1"/>
  <c r="L106" i="31" s="1"/>
  <c r="K54" i="31"/>
  <c r="J81" i="19"/>
  <c r="K18" i="31"/>
  <c r="M36" i="31"/>
  <c r="M37" i="31" s="1"/>
  <c r="L81" i="19"/>
  <c r="M54" i="31"/>
  <c r="M18" i="31"/>
  <c r="I54" i="31"/>
  <c r="I18" i="31"/>
  <c r="H81" i="19"/>
  <c r="I36" i="31"/>
  <c r="I37" i="31" s="1"/>
  <c r="J107" i="31" s="1"/>
  <c r="G45" i="11"/>
  <c r="G69" i="19" s="1"/>
  <c r="L36" i="11"/>
  <c r="L193" i="11" s="1"/>
  <c r="L232" i="11"/>
  <c r="I36" i="11"/>
  <c r="I193" i="11" s="1"/>
  <c r="I232" i="11"/>
  <c r="H36" i="11"/>
  <c r="H193" i="11" s="1"/>
  <c r="H232" i="11"/>
  <c r="J36" i="11"/>
  <c r="J193" i="11" s="1"/>
  <c r="J232" i="11"/>
  <c r="K36" i="11"/>
  <c r="K193" i="11" s="1"/>
  <c r="K232" i="11"/>
  <c r="P5" i="38" l="1"/>
  <c r="P7" i="38" s="1"/>
  <c r="N22" i="56"/>
  <c r="O9" i="38"/>
  <c r="L40" i="56"/>
  <c r="L23" i="56"/>
  <c r="L10" i="56"/>
  <c r="T105" i="31"/>
  <c r="M149" i="56"/>
  <c r="M22" i="56"/>
  <c r="M6" i="56"/>
  <c r="N118" i="56"/>
  <c r="N120" i="56"/>
  <c r="N119" i="56"/>
  <c r="N30" i="56"/>
  <c r="S104" i="31"/>
  <c r="N39" i="56"/>
  <c r="N47" i="56"/>
  <c r="N6" i="56"/>
  <c r="S105" i="31"/>
  <c r="M107" i="31"/>
  <c r="W33" i="31"/>
  <c r="T104" i="31"/>
  <c r="V32" i="31"/>
  <c r="H62" i="23"/>
  <c r="G10" i="52"/>
  <c r="G17" i="17"/>
  <c r="G14" i="23" s="1"/>
  <c r="G25" i="23" s="1"/>
  <c r="F8" i="52" s="1"/>
  <c r="F16" i="52" s="1"/>
  <c r="G52" i="11"/>
  <c r="G60" i="11" s="1"/>
  <c r="K107" i="31"/>
  <c r="G49" i="11"/>
  <c r="G200" i="11"/>
  <c r="L69" i="43"/>
  <c r="M62" i="43"/>
  <c r="M67" i="43" s="1"/>
  <c r="J43" i="43"/>
  <c r="I51" i="43"/>
  <c r="J6" i="43"/>
  <c r="I14" i="43"/>
  <c r="O37" i="43"/>
  <c r="O35" i="43"/>
  <c r="N35" i="43"/>
  <c r="N37" i="43"/>
  <c r="Q35" i="43"/>
  <c r="Q37" i="43"/>
  <c r="P35" i="43"/>
  <c r="P37" i="43"/>
  <c r="M37" i="43"/>
  <c r="M35" i="43"/>
  <c r="Q24" i="31"/>
  <c r="P12" i="19"/>
  <c r="P22" i="19"/>
  <c r="Q123" i="31" s="1"/>
  <c r="Q7" i="31"/>
  <c r="P41" i="31"/>
  <c r="O17" i="23"/>
  <c r="O11" i="38" s="1"/>
  <c r="X6" i="31"/>
  <c r="Q87" i="19"/>
  <c r="R6" i="31"/>
  <c r="W6" i="31" s="1"/>
  <c r="R23" i="31"/>
  <c r="V23" i="31" s="1"/>
  <c r="Q11" i="19"/>
  <c r="Q75" i="19"/>
  <c r="N17" i="38"/>
  <c r="O79" i="31"/>
  <c r="O90" i="31" s="1"/>
  <c r="V8" i="31"/>
  <c r="P9" i="38"/>
  <c r="Q5" i="38"/>
  <c r="Q7" i="38" s="1"/>
  <c r="P24" i="20"/>
  <c r="O21" i="43"/>
  <c r="O31" i="43"/>
  <c r="P29" i="31"/>
  <c r="P12" i="31"/>
  <c r="O23" i="19"/>
  <c r="V15" i="31"/>
  <c r="V25" i="31"/>
  <c r="P19" i="40"/>
  <c r="Q80" i="31"/>
  <c r="R42" i="31"/>
  <c r="Q18" i="23"/>
  <c r="Q13" i="40" s="1"/>
  <c r="I106" i="31"/>
  <c r="S36" i="31"/>
  <c r="T36" i="31"/>
  <c r="S18" i="31"/>
  <c r="T18" i="31"/>
  <c r="M106" i="31"/>
  <c r="J106" i="31"/>
  <c r="L107" i="31"/>
  <c r="I7" i="17"/>
  <c r="I43" i="11"/>
  <c r="J7" i="17"/>
  <c r="J43" i="11"/>
  <c r="H7" i="17"/>
  <c r="H43" i="11"/>
  <c r="K7" i="17"/>
  <c r="K43" i="11"/>
  <c r="L7" i="17"/>
  <c r="L43" i="11"/>
  <c r="J45" i="11"/>
  <c r="J236" i="11"/>
  <c r="H45" i="11"/>
  <c r="H69" i="19" s="1"/>
  <c r="H236" i="11"/>
  <c r="I45" i="11"/>
  <c r="I236" i="11"/>
  <c r="K45" i="11"/>
  <c r="K236" i="11"/>
  <c r="L45" i="11"/>
  <c r="L236" i="11"/>
  <c r="L27" i="56" l="1"/>
  <c r="L44" i="56"/>
  <c r="M23" i="56"/>
  <c r="M10" i="56"/>
  <c r="M40" i="56"/>
  <c r="N23" i="56"/>
  <c r="N10" i="56"/>
  <c r="N40" i="56"/>
  <c r="G69" i="11"/>
  <c r="G80" i="11" s="1"/>
  <c r="G83" i="11" s="1"/>
  <c r="G22" i="17"/>
  <c r="G70" i="11"/>
  <c r="I31" i="23"/>
  <c r="H10" i="52" s="1"/>
  <c r="I87" i="43"/>
  <c r="G27" i="23"/>
  <c r="G61" i="23"/>
  <c r="H114" i="31" s="1"/>
  <c r="G60" i="23"/>
  <c r="J49" i="43"/>
  <c r="J56" i="43"/>
  <c r="J12" i="43"/>
  <c r="J79" i="43"/>
  <c r="J85" i="43" s="1"/>
  <c r="P31" i="43"/>
  <c r="P21" i="43"/>
  <c r="P23" i="19"/>
  <c r="Q29" i="31"/>
  <c r="Q12" i="31"/>
  <c r="O17" i="38"/>
  <c r="P79" i="31"/>
  <c r="P90" i="31" s="1"/>
  <c r="P17" i="23"/>
  <c r="P11" i="38" s="1"/>
  <c r="Q41" i="31"/>
  <c r="R24" i="31"/>
  <c r="R7" i="31"/>
  <c r="W7" i="31" s="1"/>
  <c r="Q22" i="19"/>
  <c r="P20" i="52" s="1"/>
  <c r="Q12" i="19"/>
  <c r="X7" i="31"/>
  <c r="Q24" i="20"/>
  <c r="Q9" i="38"/>
  <c r="W23" i="31"/>
  <c r="V6" i="31"/>
  <c r="S106" i="31"/>
  <c r="T106" i="31"/>
  <c r="Q19" i="40"/>
  <c r="R80" i="31"/>
  <c r="R91" i="31" s="1"/>
  <c r="Q91" i="31"/>
  <c r="G54" i="23"/>
  <c r="H111" i="31"/>
  <c r="H112" i="31"/>
  <c r="H59" i="31"/>
  <c r="I107" i="31"/>
  <c r="T37" i="31"/>
  <c r="S37" i="31"/>
  <c r="J200" i="11"/>
  <c r="J69" i="19"/>
  <c r="I200" i="11"/>
  <c r="I69" i="19"/>
  <c r="L200" i="11"/>
  <c r="L69" i="19"/>
  <c r="K200" i="11"/>
  <c r="K69" i="19"/>
  <c r="H17" i="17"/>
  <c r="H14" i="23" s="1"/>
  <c r="J17" i="17"/>
  <c r="J14" i="23" s="1"/>
  <c r="L17" i="17"/>
  <c r="L14" i="23" s="1"/>
  <c r="I17" i="17"/>
  <c r="I14" i="23" s="1"/>
  <c r="K17" i="17"/>
  <c r="K14" i="23" s="1"/>
  <c r="H243" i="11"/>
  <c r="H200" i="11"/>
  <c r="K243" i="11"/>
  <c r="K49" i="11"/>
  <c r="K52" i="11"/>
  <c r="I243" i="11"/>
  <c r="I49" i="11"/>
  <c r="I52" i="11"/>
  <c r="H49" i="11"/>
  <c r="H52" i="11"/>
  <c r="L243" i="11"/>
  <c r="L49" i="11"/>
  <c r="L52" i="11"/>
  <c r="J243" i="11"/>
  <c r="J49" i="11"/>
  <c r="J52" i="11"/>
  <c r="M27" i="56" l="1"/>
  <c r="M44" i="56"/>
  <c r="N44" i="56"/>
  <c r="N27" i="56"/>
  <c r="I36" i="23"/>
  <c r="I38" i="23" s="1"/>
  <c r="G82" i="11"/>
  <c r="I62" i="23"/>
  <c r="R123" i="31"/>
  <c r="P30" i="52"/>
  <c r="L39" i="52" s="1"/>
  <c r="H58" i="31"/>
  <c r="H113" i="31"/>
  <c r="K43" i="43"/>
  <c r="J51" i="43"/>
  <c r="K6" i="43"/>
  <c r="J14" i="43"/>
  <c r="Q17" i="23"/>
  <c r="Q11" i="38" s="1"/>
  <c r="R41" i="31"/>
  <c r="P17" i="38"/>
  <c r="Q79" i="31"/>
  <c r="V24" i="31"/>
  <c r="W24" i="31"/>
  <c r="V7" i="31"/>
  <c r="Q21" i="43"/>
  <c r="Q31" i="43"/>
  <c r="X12" i="31"/>
  <c r="R29" i="31"/>
  <c r="W29" i="31" s="1"/>
  <c r="R12" i="31"/>
  <c r="Q23" i="19"/>
  <c r="S107" i="31"/>
  <c r="T107" i="31"/>
  <c r="V91" i="31"/>
  <c r="W91" i="31"/>
  <c r="W80" i="31"/>
  <c r="V80" i="31"/>
  <c r="K25" i="23"/>
  <c r="L25" i="23"/>
  <c r="I25" i="23"/>
  <c r="J25" i="23"/>
  <c r="H25" i="23"/>
  <c r="K22" i="17"/>
  <c r="I22" i="17"/>
  <c r="J22" i="17"/>
  <c r="L22" i="17"/>
  <c r="H22" i="17"/>
  <c r="J60" i="11"/>
  <c r="J70" i="11"/>
  <c r="J69" i="11"/>
  <c r="I70" i="11"/>
  <c r="I69" i="11"/>
  <c r="I60" i="11"/>
  <c r="L70" i="11"/>
  <c r="L69" i="11"/>
  <c r="L60" i="11"/>
  <c r="K70" i="11"/>
  <c r="K60" i="11"/>
  <c r="K69" i="11"/>
  <c r="H70" i="11"/>
  <c r="H60" i="11"/>
  <c r="H69" i="11"/>
  <c r="J31" i="23" l="1"/>
  <c r="I10" i="52" s="1"/>
  <c r="J27" i="23"/>
  <c r="I8" i="52"/>
  <c r="I16" i="52" s="1"/>
  <c r="I27" i="23"/>
  <c r="H8" i="52"/>
  <c r="H16" i="52" s="1"/>
  <c r="L27" i="23"/>
  <c r="K8" i="52"/>
  <c r="K27" i="23"/>
  <c r="J8" i="52"/>
  <c r="H27" i="23"/>
  <c r="G8" i="52"/>
  <c r="G16" i="52" s="1"/>
  <c r="J87" i="43"/>
  <c r="J62" i="23"/>
  <c r="J36" i="23"/>
  <c r="J38" i="23" s="1"/>
  <c r="I23" i="43"/>
  <c r="J23" i="43"/>
  <c r="L23" i="43"/>
  <c r="H23" i="43"/>
  <c r="K61" i="23"/>
  <c r="L58" i="31" s="1"/>
  <c r="L59" i="31"/>
  <c r="L111" i="31"/>
  <c r="K23" i="43"/>
  <c r="K49" i="43"/>
  <c r="K56" i="43"/>
  <c r="K12" i="43"/>
  <c r="K79" i="43"/>
  <c r="K85" i="43" s="1"/>
  <c r="Q90" i="31"/>
  <c r="R79" i="31"/>
  <c r="R90" i="31" s="1"/>
  <c r="Q17" i="38"/>
  <c r="V12" i="31"/>
  <c r="W12" i="31"/>
  <c r="V29" i="31"/>
  <c r="L112" i="31"/>
  <c r="L61" i="23"/>
  <c r="M58" i="31" s="1"/>
  <c r="M121" i="31" s="1"/>
  <c r="M59" i="31"/>
  <c r="M122" i="31" s="1"/>
  <c r="H61" i="23"/>
  <c r="I58" i="31" s="1"/>
  <c r="I59" i="31"/>
  <c r="J61" i="23"/>
  <c r="K58" i="31" s="1"/>
  <c r="K59" i="31"/>
  <c r="I61" i="23"/>
  <c r="J58" i="31" s="1"/>
  <c r="J59" i="31"/>
  <c r="I60" i="23"/>
  <c r="H60" i="23"/>
  <c r="J60" i="23"/>
  <c r="K111" i="31"/>
  <c r="K112" i="31"/>
  <c r="J54" i="23"/>
  <c r="J111" i="31"/>
  <c r="J112" i="31"/>
  <c r="I54" i="23"/>
  <c r="I111" i="31"/>
  <c r="I112" i="31"/>
  <c r="H54" i="23"/>
  <c r="M112" i="31"/>
  <c r="M111" i="31"/>
  <c r="L80" i="11"/>
  <c r="L83" i="11" s="1"/>
  <c r="L82" i="11"/>
  <c r="H80" i="11"/>
  <c r="H83" i="11" s="1"/>
  <c r="H82" i="11"/>
  <c r="I80" i="11"/>
  <c r="I83" i="11" s="1"/>
  <c r="I82" i="11"/>
  <c r="K80" i="11"/>
  <c r="K83" i="11" s="1"/>
  <c r="K82" i="11"/>
  <c r="J82" i="11"/>
  <c r="J80" i="11"/>
  <c r="J83" i="11" s="1"/>
  <c r="L113" i="31" l="1"/>
  <c r="L114" i="31"/>
  <c r="R23" i="43"/>
  <c r="S23" i="43"/>
  <c r="V90" i="31"/>
  <c r="L43" i="43"/>
  <c r="K51" i="43"/>
  <c r="K14" i="43"/>
  <c r="L6" i="43"/>
  <c r="W79" i="31"/>
  <c r="V79" i="31"/>
  <c r="W90" i="31"/>
  <c r="S111" i="31"/>
  <c r="T111" i="31"/>
  <c r="S112" i="31"/>
  <c r="T112" i="31"/>
  <c r="I114" i="31"/>
  <c r="I113" i="31"/>
  <c r="J114" i="31"/>
  <c r="J113" i="31"/>
  <c r="K114" i="31"/>
  <c r="K113" i="31"/>
  <c r="M114" i="31"/>
  <c r="M113" i="31"/>
  <c r="K87" i="43" l="1"/>
  <c r="K31" i="23"/>
  <c r="J10" i="52" s="1"/>
  <c r="J16" i="52" s="1"/>
  <c r="L49" i="43"/>
  <c r="L56" i="43"/>
  <c r="L12" i="43"/>
  <c r="L79" i="43"/>
  <c r="L85" i="43" s="1"/>
  <c r="T113" i="31"/>
  <c r="S113" i="31"/>
  <c r="T114" i="31"/>
  <c r="S114" i="31"/>
  <c r="K62" i="23" l="1"/>
  <c r="K36" i="23"/>
  <c r="K60" i="23"/>
  <c r="R56" i="43"/>
  <c r="S56" i="43"/>
  <c r="M43" i="43"/>
  <c r="L51" i="43"/>
  <c r="M6" i="43"/>
  <c r="L14" i="43"/>
  <c r="L87" i="43" l="1"/>
  <c r="K38" i="23"/>
  <c r="K54" i="23"/>
  <c r="L31" i="23"/>
  <c r="K10" i="52" s="1"/>
  <c r="K16" i="52" s="1"/>
  <c r="M46" i="43"/>
  <c r="M82" i="43" s="1"/>
  <c r="M79" i="43"/>
  <c r="M12" i="43"/>
  <c r="M77" i="20"/>
  <c r="N45" i="31" s="1"/>
  <c r="N83" i="31" s="1"/>
  <c r="N43" i="31"/>
  <c r="M19" i="23"/>
  <c r="N75" i="31"/>
  <c r="L62" i="23" l="1"/>
  <c r="L36" i="23"/>
  <c r="L60" i="23"/>
  <c r="M56" i="43"/>
  <c r="M25" i="19"/>
  <c r="M49" i="43"/>
  <c r="M7" i="20"/>
  <c r="N46" i="31" s="1"/>
  <c r="N84" i="31" s="1"/>
  <c r="N6" i="43"/>
  <c r="N12" i="43" s="1"/>
  <c r="M14" i="43"/>
  <c r="N81" i="31"/>
  <c r="N92" i="31" s="1"/>
  <c r="M37" i="40"/>
  <c r="M31" i="40"/>
  <c r="N25" i="40"/>
  <c r="N27" i="40" s="1"/>
  <c r="N94" i="31"/>
  <c r="M11" i="23" l="1"/>
  <c r="J11" i="56"/>
  <c r="J153" i="56" s="1"/>
  <c r="L38" i="23"/>
  <c r="L54" i="23"/>
  <c r="M64" i="23"/>
  <c r="M93" i="20"/>
  <c r="M16" i="20" s="1"/>
  <c r="N43" i="43"/>
  <c r="M51" i="43"/>
  <c r="M65" i="23" s="1"/>
  <c r="M77" i="19"/>
  <c r="N13" i="31"/>
  <c r="N30" i="31"/>
  <c r="M27" i="19"/>
  <c r="N124" i="31" s="1"/>
  <c r="O6" i="43"/>
  <c r="O12" i="43" s="1"/>
  <c r="N14" i="43"/>
  <c r="N7" i="20"/>
  <c r="O46" i="31" s="1"/>
  <c r="O84" i="31" s="1"/>
  <c r="M27" i="43"/>
  <c r="N95" i="31"/>
  <c r="N63" i="20"/>
  <c r="N68" i="20" s="1"/>
  <c r="K5" i="57" s="1"/>
  <c r="K11" i="57" s="1"/>
  <c r="O25" i="40"/>
  <c r="O27" i="40" s="1"/>
  <c r="N29" i="40"/>
  <c r="J28" i="56" l="1"/>
  <c r="J45" i="56"/>
  <c r="J12" i="56"/>
  <c r="N64" i="23"/>
  <c r="N31" i="31"/>
  <c r="N68" i="31"/>
  <c r="M35" i="19"/>
  <c r="M28" i="19"/>
  <c r="N14" i="31"/>
  <c r="N46" i="43"/>
  <c r="O7" i="20"/>
  <c r="P46" i="31" s="1"/>
  <c r="P84" i="31" s="1"/>
  <c r="P6" i="43"/>
  <c r="P12" i="43" s="1"/>
  <c r="O14" i="43"/>
  <c r="N27" i="43"/>
  <c r="O95" i="31"/>
  <c r="P25" i="40"/>
  <c r="P27" i="40" s="1"/>
  <c r="O63" i="20"/>
  <c r="O68" i="20" s="1"/>
  <c r="L5" i="57" s="1"/>
  <c r="L11" i="57" s="1"/>
  <c r="O29" i="40"/>
  <c r="O75" i="31"/>
  <c r="N77" i="20"/>
  <c r="O45" i="31" s="1"/>
  <c r="O83" i="31" s="1"/>
  <c r="O43" i="31"/>
  <c r="N19" i="23"/>
  <c r="J46" i="56" l="1"/>
  <c r="J14" i="56"/>
  <c r="J155" i="56" s="1"/>
  <c r="J29" i="56"/>
  <c r="N49" i="43"/>
  <c r="N93" i="20" s="1"/>
  <c r="N16" i="20" s="1"/>
  <c r="N82" i="43"/>
  <c r="N25" i="19" s="1"/>
  <c r="O64" i="23"/>
  <c r="M41" i="19"/>
  <c r="M36" i="19"/>
  <c r="N56" i="43"/>
  <c r="P14" i="43"/>
  <c r="Q6" i="43"/>
  <c r="Q12" i="43" s="1"/>
  <c r="P7" i="20"/>
  <c r="Q46" i="31" s="1"/>
  <c r="Q84" i="31" s="1"/>
  <c r="P95" i="31"/>
  <c r="O27" i="43"/>
  <c r="O94" i="31"/>
  <c r="O19" i="23"/>
  <c r="P43" i="31"/>
  <c r="P75" i="31"/>
  <c r="O77" i="20"/>
  <c r="P45" i="31" s="1"/>
  <c r="P83" i="31" s="1"/>
  <c r="P94" i="31" s="1"/>
  <c r="Q25" i="40"/>
  <c r="Q27" i="40" s="1"/>
  <c r="P29" i="40"/>
  <c r="P63" i="20"/>
  <c r="P68" i="20" s="1"/>
  <c r="M5" i="57" s="1"/>
  <c r="M11" i="57" s="1"/>
  <c r="O81" i="31"/>
  <c r="N37" i="40"/>
  <c r="N31" i="40"/>
  <c r="N11" i="23" l="1"/>
  <c r="K11" i="56"/>
  <c r="K153" i="56" s="1"/>
  <c r="O43" i="43"/>
  <c r="N51" i="43"/>
  <c r="N65" i="23" s="1"/>
  <c r="J31" i="56"/>
  <c r="J16" i="56"/>
  <c r="J48" i="56"/>
  <c r="P64" i="23"/>
  <c r="M43" i="19"/>
  <c r="J17" i="56" s="1"/>
  <c r="J34" i="56" s="1"/>
  <c r="M8" i="23"/>
  <c r="O13" i="31"/>
  <c r="N77" i="19"/>
  <c r="O30" i="31"/>
  <c r="N27" i="19"/>
  <c r="O124" i="31" s="1"/>
  <c r="O46" i="43"/>
  <c r="O82" i="43" s="1"/>
  <c r="N34" i="31"/>
  <c r="N16" i="31"/>
  <c r="Q7" i="20"/>
  <c r="R46" i="31" s="1"/>
  <c r="R84" i="31" s="1"/>
  <c r="Q14" i="43"/>
  <c r="P27" i="43"/>
  <c r="Q95" i="31"/>
  <c r="Q29" i="40"/>
  <c r="Q63" i="20"/>
  <c r="Q68" i="20" s="1"/>
  <c r="N5" i="57" s="1"/>
  <c r="N11" i="57" s="1"/>
  <c r="O37" i="40"/>
  <c r="P81" i="31"/>
  <c r="P92" i="31" s="1"/>
  <c r="O31" i="40"/>
  <c r="O92" i="31"/>
  <c r="P19" i="23"/>
  <c r="Q43" i="31"/>
  <c r="Q75" i="31"/>
  <c r="P77" i="20"/>
  <c r="Q45" i="31" s="1"/>
  <c r="Q83" i="31" s="1"/>
  <c r="Q94" i="31" s="1"/>
  <c r="K28" i="56" l="1"/>
  <c r="J50" i="56"/>
  <c r="J18" i="56"/>
  <c r="J33" i="56"/>
  <c r="J51" i="56"/>
  <c r="K45" i="56"/>
  <c r="K12" i="56"/>
  <c r="Q64" i="23"/>
  <c r="M44" i="19"/>
  <c r="M23" i="23"/>
  <c r="M25" i="23" s="1"/>
  <c r="L8" i="52" s="1"/>
  <c r="O56" i="43"/>
  <c r="O25" i="19"/>
  <c r="O49" i="43"/>
  <c r="O68" i="31"/>
  <c r="O31" i="31"/>
  <c r="O14" i="31"/>
  <c r="N28" i="19"/>
  <c r="N35" i="19"/>
  <c r="M47" i="19"/>
  <c r="V84" i="31"/>
  <c r="Q27" i="43"/>
  <c r="R95" i="31"/>
  <c r="W84" i="31"/>
  <c r="P37" i="40"/>
  <c r="Q81" i="31"/>
  <c r="P31" i="40"/>
  <c r="Q19" i="23"/>
  <c r="R43" i="31"/>
  <c r="Q77" i="20"/>
  <c r="R45" i="31" s="1"/>
  <c r="R83" i="31" s="1"/>
  <c r="R75" i="31"/>
  <c r="O11" i="23" l="1"/>
  <c r="L11" i="56"/>
  <c r="L153" i="56" s="1"/>
  <c r="J52" i="56"/>
  <c r="J35" i="56"/>
  <c r="K29" i="56"/>
  <c r="K46" i="56"/>
  <c r="K14" i="56"/>
  <c r="K155" i="56" s="1"/>
  <c r="M85" i="19"/>
  <c r="L14" i="52"/>
  <c r="N111" i="31"/>
  <c r="M61" i="23"/>
  <c r="N59" i="31"/>
  <c r="N122" i="31" s="1"/>
  <c r="M23" i="43"/>
  <c r="M52" i="19"/>
  <c r="M5" i="45" s="1"/>
  <c r="M9" i="45" s="1"/>
  <c r="M61" i="19"/>
  <c r="M48" i="19"/>
  <c r="N18" i="31" s="1"/>
  <c r="N17" i="31"/>
  <c r="N35" i="31"/>
  <c r="M25" i="43"/>
  <c r="N112" i="31"/>
  <c r="N114" i="31"/>
  <c r="N36" i="19"/>
  <c r="N41" i="19"/>
  <c r="N8" i="23" s="1"/>
  <c r="P13" i="31"/>
  <c r="O77" i="19"/>
  <c r="P30" i="31"/>
  <c r="O27" i="19"/>
  <c r="P124" i="31" s="1"/>
  <c r="O93" i="20"/>
  <c r="O16" i="20" s="1"/>
  <c r="P43" i="43"/>
  <c r="O51" i="43"/>
  <c r="V95" i="31"/>
  <c r="W95" i="31"/>
  <c r="R94" i="31"/>
  <c r="V83" i="31"/>
  <c r="W83" i="31"/>
  <c r="Q92" i="31"/>
  <c r="Q37" i="40"/>
  <c r="R81" i="31"/>
  <c r="R92" i="31" s="1"/>
  <c r="Q31" i="40"/>
  <c r="L28" i="56" l="1"/>
  <c r="K31" i="56"/>
  <c r="K48" i="56"/>
  <c r="K16" i="56"/>
  <c r="L45" i="56"/>
  <c r="L12" i="56"/>
  <c r="O65" i="23"/>
  <c r="N58" i="31"/>
  <c r="N121" i="31" s="1"/>
  <c r="N113" i="31"/>
  <c r="N43" i="19"/>
  <c r="K17" i="56" s="1"/>
  <c r="K34" i="56" s="1"/>
  <c r="O16" i="31"/>
  <c r="O34" i="31"/>
  <c r="N47" i="19"/>
  <c r="P46" i="43"/>
  <c r="P82" i="43" s="1"/>
  <c r="P14" i="31"/>
  <c r="P31" i="31"/>
  <c r="P68" i="31"/>
  <c r="O28" i="19"/>
  <c r="O35" i="19"/>
  <c r="M54" i="19"/>
  <c r="M46" i="23" s="1"/>
  <c r="M49" i="23" s="1"/>
  <c r="N118" i="31"/>
  <c r="N54" i="31"/>
  <c r="W92" i="31"/>
  <c r="V92" i="31"/>
  <c r="V94" i="31"/>
  <c r="W94" i="31"/>
  <c r="W81" i="31"/>
  <c r="V81" i="31"/>
  <c r="K50" i="56" l="1"/>
  <c r="K18" i="56"/>
  <c r="K33" i="56"/>
  <c r="K51" i="56"/>
  <c r="L29" i="56"/>
  <c r="L14" i="56"/>
  <c r="L155" i="56" s="1"/>
  <c r="L46" i="56"/>
  <c r="N44" i="19"/>
  <c r="N23" i="23"/>
  <c r="N25" i="23" s="1"/>
  <c r="O41" i="19"/>
  <c r="O8" i="23" s="1"/>
  <c r="O36" i="19"/>
  <c r="O17" i="31"/>
  <c r="N52" i="19"/>
  <c r="N5" i="45" s="1"/>
  <c r="N14" i="45" s="1"/>
  <c r="N18" i="45" s="1"/>
  <c r="N20" i="45" s="1"/>
  <c r="N48" i="19"/>
  <c r="N61" i="19"/>
  <c r="O35" i="31"/>
  <c r="N25" i="43"/>
  <c r="M56" i="19"/>
  <c r="N36" i="31"/>
  <c r="N19" i="31"/>
  <c r="P56" i="43"/>
  <c r="P25" i="19"/>
  <c r="P49" i="43"/>
  <c r="K52" i="56" l="1"/>
  <c r="K35" i="56"/>
  <c r="P11" i="23"/>
  <c r="M11" i="56"/>
  <c r="M153" i="56" s="1"/>
  <c r="L48" i="56"/>
  <c r="L16" i="56"/>
  <c r="L31" i="56"/>
  <c r="M41" i="20"/>
  <c r="M44" i="20" s="1"/>
  <c r="M72" i="20" s="1"/>
  <c r="O112" i="31"/>
  <c r="M8" i="52"/>
  <c r="N85" i="19"/>
  <c r="M14" i="52"/>
  <c r="O59" i="31"/>
  <c r="O122" i="31" s="1"/>
  <c r="N23" i="43"/>
  <c r="O111" i="31"/>
  <c r="N61" i="23"/>
  <c r="F66" i="45"/>
  <c r="G66" i="45" s="1"/>
  <c r="F54" i="45"/>
  <c r="G54" i="45" s="1"/>
  <c r="F62" i="45"/>
  <c r="G62" i="45" s="1"/>
  <c r="F68" i="45"/>
  <c r="G68" i="45" s="1"/>
  <c r="F56" i="45"/>
  <c r="G56" i="45" s="1"/>
  <c r="F50" i="45"/>
  <c r="G50" i="45" s="1"/>
  <c r="F67" i="45"/>
  <c r="G67" i="45" s="1"/>
  <c r="F69" i="45"/>
  <c r="G69" i="45" s="1"/>
  <c r="F57" i="45"/>
  <c r="G57" i="45" s="1"/>
  <c r="F65" i="45"/>
  <c r="G65" i="45" s="1"/>
  <c r="N9" i="45"/>
  <c r="F70" i="45"/>
  <c r="G70" i="45" s="1"/>
  <c r="F58" i="45"/>
  <c r="G58" i="45" s="1"/>
  <c r="F53" i="45"/>
  <c r="G53" i="45" s="1"/>
  <c r="F55" i="45"/>
  <c r="G55" i="45" s="1"/>
  <c r="F63" i="45"/>
  <c r="G63" i="45" s="1"/>
  <c r="F51" i="45"/>
  <c r="G51" i="45" s="1"/>
  <c r="F59" i="45"/>
  <c r="G59" i="45" s="1"/>
  <c r="F64" i="45"/>
  <c r="G64" i="45" s="1"/>
  <c r="F52" i="45"/>
  <c r="G52" i="45" s="1"/>
  <c r="F60" i="45"/>
  <c r="G60" i="45" s="1"/>
  <c r="F61" i="45"/>
  <c r="G61" i="45" s="1"/>
  <c r="Q13" i="31"/>
  <c r="Q30" i="31"/>
  <c r="P77" i="19"/>
  <c r="P27" i="19"/>
  <c r="Q124" i="31" s="1"/>
  <c r="N37" i="31"/>
  <c r="M82" i="19"/>
  <c r="O54" i="31"/>
  <c r="O18" i="31"/>
  <c r="O118" i="31"/>
  <c r="N54" i="19"/>
  <c r="N46" i="23" s="1"/>
  <c r="N49" i="23" s="1"/>
  <c r="P93" i="20"/>
  <c r="P16" i="20" s="1"/>
  <c r="Q43" i="43"/>
  <c r="P51" i="43"/>
  <c r="O43" i="19"/>
  <c r="L17" i="56" s="1"/>
  <c r="L34" i="56" s="1"/>
  <c r="P34" i="31"/>
  <c r="P16" i="31"/>
  <c r="M85" i="43"/>
  <c r="M28" i="56" l="1"/>
  <c r="L33" i="56"/>
  <c r="L18" i="56"/>
  <c r="L50" i="56"/>
  <c r="L51" i="56"/>
  <c r="M45" i="56"/>
  <c r="M12" i="56"/>
  <c r="P65" i="23"/>
  <c r="O44" i="19"/>
  <c r="O23" i="23"/>
  <c r="O25" i="23" s="1"/>
  <c r="N8" i="52" s="1"/>
  <c r="O113" i="31"/>
  <c r="O58" i="31"/>
  <c r="O121" i="31" s="1"/>
  <c r="O114" i="31"/>
  <c r="Q14" i="31"/>
  <c r="P35" i="19"/>
  <c r="Q31" i="31"/>
  <c r="Q68" i="31"/>
  <c r="P28" i="19"/>
  <c r="Q46" i="43"/>
  <c r="Q82" i="43" s="1"/>
  <c r="N62" i="31"/>
  <c r="N67" i="31"/>
  <c r="M79" i="20"/>
  <c r="N49" i="31" s="1"/>
  <c r="J11" i="58" s="1"/>
  <c r="N65" i="31"/>
  <c r="O47" i="19"/>
  <c r="N56" i="19"/>
  <c r="O19" i="31"/>
  <c r="O36" i="31"/>
  <c r="M69" i="43"/>
  <c r="M87" i="43" s="1"/>
  <c r="M10" i="20"/>
  <c r="N62" i="43"/>
  <c r="N67" i="43" s="1"/>
  <c r="L35" i="56" l="1"/>
  <c r="L52" i="56"/>
  <c r="M29" i="56"/>
  <c r="M46" i="56"/>
  <c r="M14" i="56"/>
  <c r="M155" i="56" s="1"/>
  <c r="O85" i="19"/>
  <c r="N14" i="52"/>
  <c r="M66" i="23"/>
  <c r="M68" i="23" s="1"/>
  <c r="M31" i="23"/>
  <c r="L10" i="52" s="1"/>
  <c r="L16" i="52" s="1"/>
  <c r="L28" i="52" s="1"/>
  <c r="P59" i="31"/>
  <c r="P122" i="31" s="1"/>
  <c r="P111" i="31"/>
  <c r="O61" i="23"/>
  <c r="P114" i="31" s="1"/>
  <c r="O23" i="43"/>
  <c r="N82" i="19"/>
  <c r="N41" i="20"/>
  <c r="N44" i="20" s="1"/>
  <c r="N72" i="20" s="1"/>
  <c r="P36" i="19"/>
  <c r="P41" i="19"/>
  <c r="P8" i="23" s="1"/>
  <c r="M78" i="20"/>
  <c r="N48" i="31" s="1"/>
  <c r="J10" i="58" s="1"/>
  <c r="M81" i="20"/>
  <c r="N57" i="31" s="1"/>
  <c r="N119" i="31" s="1"/>
  <c r="Q56" i="43"/>
  <c r="Q25" i="19"/>
  <c r="O48" i="19"/>
  <c r="P35" i="31"/>
  <c r="P17" i="31"/>
  <c r="O61" i="19"/>
  <c r="O25" i="43"/>
  <c r="O52" i="19"/>
  <c r="P112" i="31"/>
  <c r="Q49" i="43"/>
  <c r="O37" i="31"/>
  <c r="N105" i="31"/>
  <c r="N101" i="31"/>
  <c r="J4" i="58" s="1"/>
  <c r="N79" i="43"/>
  <c r="N85" i="43" s="1"/>
  <c r="N10" i="20"/>
  <c r="Q11" i="23" l="1"/>
  <c r="N11" i="56"/>
  <c r="N153" i="56" s="1"/>
  <c r="M31" i="56"/>
  <c r="M16" i="56"/>
  <c r="M48" i="56"/>
  <c r="M62" i="23"/>
  <c r="M36" i="23"/>
  <c r="M54" i="23" s="1"/>
  <c r="M26" i="20" s="1"/>
  <c r="M60" i="23"/>
  <c r="P113" i="31"/>
  <c r="P58" i="31"/>
  <c r="P121" i="31" s="1"/>
  <c r="O54" i="19"/>
  <c r="O46" i="23" s="1"/>
  <c r="O49" i="23" s="1"/>
  <c r="P54" i="31"/>
  <c r="P118" i="31"/>
  <c r="P18" i="31"/>
  <c r="Q93" i="20"/>
  <c r="Q16" i="20" s="1"/>
  <c r="Q51" i="43"/>
  <c r="R13" i="31"/>
  <c r="R30" i="31"/>
  <c r="Q77" i="19"/>
  <c r="Q27" i="19"/>
  <c r="R124" i="31" s="1"/>
  <c r="X13" i="31"/>
  <c r="N79" i="20"/>
  <c r="O49" i="31" s="1"/>
  <c r="K11" i="58" s="1"/>
  <c r="O67" i="31"/>
  <c r="O62" i="31"/>
  <c r="O65" i="31"/>
  <c r="N86" i="31"/>
  <c r="N103" i="31"/>
  <c r="J6" i="58" s="1"/>
  <c r="N104" i="31"/>
  <c r="J7" i="58" s="1"/>
  <c r="N106" i="31"/>
  <c r="P43" i="19"/>
  <c r="M17" i="56" s="1"/>
  <c r="M34" i="56" s="1"/>
  <c r="Q34" i="31"/>
  <c r="Q16" i="31"/>
  <c r="N107" i="31"/>
  <c r="N69" i="43"/>
  <c r="N87" i="43" s="1"/>
  <c r="O62" i="43"/>
  <c r="O67" i="43" s="1"/>
  <c r="N28" i="56" l="1"/>
  <c r="N45" i="56"/>
  <c r="N12" i="56"/>
  <c r="M51" i="56"/>
  <c r="M50" i="56"/>
  <c r="M18" i="56"/>
  <c r="M33" i="56"/>
  <c r="M32" i="20"/>
  <c r="N66" i="23"/>
  <c r="N68" i="23" s="1"/>
  <c r="N31" i="23"/>
  <c r="M10" i="52" s="1"/>
  <c r="M16" i="52" s="1"/>
  <c r="M28" i="52" s="1"/>
  <c r="Q65" i="23"/>
  <c r="P44" i="19"/>
  <c r="P23" i="23"/>
  <c r="P25" i="23" s="1"/>
  <c r="O8" i="52" s="1"/>
  <c r="O56" i="19"/>
  <c r="O82" i="19" s="1"/>
  <c r="P47" i="19"/>
  <c r="N97" i="31"/>
  <c r="O101" i="31"/>
  <c r="K4" i="58" s="1"/>
  <c r="O105" i="31"/>
  <c r="R14" i="31"/>
  <c r="Q35" i="19"/>
  <c r="Q28" i="19"/>
  <c r="R31" i="31"/>
  <c r="R68" i="31"/>
  <c r="X14" i="31"/>
  <c r="N81" i="20"/>
  <c r="O57" i="31" s="1"/>
  <c r="O119" i="31" s="1"/>
  <c r="N78" i="20"/>
  <c r="O48" i="31" s="1"/>
  <c r="K10" i="58" s="1"/>
  <c r="W30" i="31"/>
  <c r="V30" i="31"/>
  <c r="W13" i="31"/>
  <c r="V13" i="31"/>
  <c r="P36" i="31"/>
  <c r="P19" i="31"/>
  <c r="O79" i="43"/>
  <c r="O85" i="43" s="1"/>
  <c r="O10" i="20"/>
  <c r="N46" i="56" l="1"/>
  <c r="N14" i="56"/>
  <c r="N155" i="56" s="1"/>
  <c r="N29" i="56"/>
  <c r="M52" i="56"/>
  <c r="M35" i="56"/>
  <c r="M13" i="20"/>
  <c r="M18" i="20" s="1"/>
  <c r="M36" i="20" s="1"/>
  <c r="J4" i="57" s="1"/>
  <c r="P85" i="19"/>
  <c r="O14" i="52"/>
  <c r="N62" i="23"/>
  <c r="N36" i="23"/>
  <c r="N54" i="23" s="1"/>
  <c r="N26" i="20" s="1"/>
  <c r="N60" i="23"/>
  <c r="O41" i="20"/>
  <c r="Q59" i="31"/>
  <c r="Q122" i="31" s="1"/>
  <c r="Q111" i="31"/>
  <c r="P61" i="23"/>
  <c r="Q114" i="31" s="1"/>
  <c r="P23" i="43"/>
  <c r="O86" i="31"/>
  <c r="O103" i="31"/>
  <c r="K6" i="58" s="1"/>
  <c r="O104" i="31"/>
  <c r="K7" i="58" s="1"/>
  <c r="P52" i="19"/>
  <c r="P48" i="19"/>
  <c r="P25" i="43"/>
  <c r="Q35" i="31"/>
  <c r="P61" i="19"/>
  <c r="Q17" i="31"/>
  <c r="Q112" i="31"/>
  <c r="O106" i="31"/>
  <c r="W31" i="31"/>
  <c r="V31" i="31"/>
  <c r="P37" i="31"/>
  <c r="Q41" i="19"/>
  <c r="Q8" i="23" s="1"/>
  <c r="Q36" i="19"/>
  <c r="W14" i="31"/>
  <c r="V14" i="31"/>
  <c r="O107" i="31"/>
  <c r="P62" i="43"/>
  <c r="P67" i="43" s="1"/>
  <c r="O69" i="43"/>
  <c r="O87" i="43" s="1"/>
  <c r="J6" i="57" l="1"/>
  <c r="J12" i="57" s="1"/>
  <c r="J10" i="57"/>
  <c r="N31" i="56"/>
  <c r="N16" i="56"/>
  <c r="N48" i="56"/>
  <c r="N32" i="20"/>
  <c r="N13" i="20" s="1"/>
  <c r="N18" i="20" s="1"/>
  <c r="O74" i="31"/>
  <c r="P67" i="31"/>
  <c r="O44" i="20"/>
  <c r="O72" i="20" s="1"/>
  <c r="P65" i="31"/>
  <c r="O79" i="20"/>
  <c r="P49" i="31" s="1"/>
  <c r="P62" i="31"/>
  <c r="O66" i="23"/>
  <c r="O68" i="23" s="1"/>
  <c r="O31" i="23"/>
  <c r="N10" i="52" s="1"/>
  <c r="N16" i="52" s="1"/>
  <c r="N28" i="52" s="1"/>
  <c r="Q58" i="31"/>
  <c r="Q121" i="31" s="1"/>
  <c r="Q113" i="31"/>
  <c r="Q43" i="19"/>
  <c r="N17" i="56" s="1"/>
  <c r="N34" i="56" s="1"/>
  <c r="R34" i="31"/>
  <c r="R16" i="31"/>
  <c r="X16" i="31"/>
  <c r="Q18" i="31"/>
  <c r="Q54" i="31"/>
  <c r="P54" i="19"/>
  <c r="P46" i="23" s="1"/>
  <c r="P49" i="23" s="1"/>
  <c r="Q118" i="31"/>
  <c r="O97" i="31"/>
  <c r="P10" i="20"/>
  <c r="P79" i="43"/>
  <c r="P85" i="43" s="1"/>
  <c r="P101" i="31" l="1"/>
  <c r="L4" i="58" s="1"/>
  <c r="L11" i="58"/>
  <c r="J7" i="57"/>
  <c r="N51" i="56"/>
  <c r="N50" i="56"/>
  <c r="N18" i="56"/>
  <c r="N33" i="56"/>
  <c r="P105" i="31"/>
  <c r="P107" i="31" s="1"/>
  <c r="O72" i="31"/>
  <c r="N76" i="20"/>
  <c r="O73" i="31"/>
  <c r="N36" i="20"/>
  <c r="K4" i="57" s="1"/>
  <c r="O81" i="20"/>
  <c r="P57" i="31" s="1"/>
  <c r="P119" i="31" s="1"/>
  <c r="O78" i="20"/>
  <c r="P48" i="31" s="1"/>
  <c r="O62" i="23"/>
  <c r="O36" i="23"/>
  <c r="O54" i="23" s="1"/>
  <c r="O26" i="20" s="1"/>
  <c r="O60" i="23"/>
  <c r="Q44" i="19"/>
  <c r="Q23" i="23"/>
  <c r="Q25" i="23" s="1"/>
  <c r="P8" i="52" s="1"/>
  <c r="P106" i="31"/>
  <c r="W16" i="31"/>
  <c r="V16" i="31"/>
  <c r="Q47" i="19"/>
  <c r="P56" i="19"/>
  <c r="Q19" i="31"/>
  <c r="Q36" i="31"/>
  <c r="W34" i="31"/>
  <c r="V34" i="31"/>
  <c r="P69" i="43"/>
  <c r="P87" i="43" s="1"/>
  <c r="Q62" i="43"/>
  <c r="Q67" i="43" s="1"/>
  <c r="P86" i="31" l="1"/>
  <c r="L10" i="58"/>
  <c r="K6" i="57"/>
  <c r="K12" i="57" s="1"/>
  <c r="K7" i="57"/>
  <c r="K10" i="57"/>
  <c r="N52" i="56"/>
  <c r="N35" i="56"/>
  <c r="P104" i="31"/>
  <c r="L7" i="58" s="1"/>
  <c r="P103" i="31"/>
  <c r="L6" i="58" s="1"/>
  <c r="Q85" i="19"/>
  <c r="P14" i="52"/>
  <c r="P66" i="23"/>
  <c r="P68" i="23" s="1"/>
  <c r="P31" i="23"/>
  <c r="O10" i="52" s="1"/>
  <c r="O16" i="52" s="1"/>
  <c r="O28" i="52" s="1"/>
  <c r="Q23" i="43"/>
  <c r="R59" i="31"/>
  <c r="R122" i="31" s="1"/>
  <c r="Q61" i="23"/>
  <c r="R111" i="31"/>
  <c r="Q37" i="31"/>
  <c r="P97" i="31"/>
  <c r="P82" i="19"/>
  <c r="P41" i="20"/>
  <c r="P44" i="20" s="1"/>
  <c r="P72" i="20" s="1"/>
  <c r="Q48" i="19"/>
  <c r="R35" i="31"/>
  <c r="Q61" i="19"/>
  <c r="Q25" i="43"/>
  <c r="Q52" i="19"/>
  <c r="R17" i="31"/>
  <c r="X17" i="31"/>
  <c r="R112" i="31"/>
  <c r="Q79" i="43"/>
  <c r="Q85" i="43" s="1"/>
  <c r="O32" i="20" l="1"/>
  <c r="O13" i="20" s="1"/>
  <c r="O18" i="20" s="1"/>
  <c r="P74" i="31"/>
  <c r="P62" i="23"/>
  <c r="P36" i="23"/>
  <c r="P54" i="23" s="1"/>
  <c r="P26" i="20" s="1"/>
  <c r="P60" i="23"/>
  <c r="R58" i="31"/>
  <c r="R121" i="31" s="1"/>
  <c r="R113" i="31"/>
  <c r="R114" i="31"/>
  <c r="V114" i="31" s="1"/>
  <c r="V111" i="31"/>
  <c r="W111" i="31"/>
  <c r="W112" i="31"/>
  <c r="V112" i="31"/>
  <c r="Q67" i="31"/>
  <c r="P79" i="20"/>
  <c r="Q49" i="31" s="1"/>
  <c r="M11" i="58" s="1"/>
  <c r="Q62" i="31"/>
  <c r="Q65" i="31"/>
  <c r="W35" i="31"/>
  <c r="V35" i="31"/>
  <c r="W17" i="31"/>
  <c r="V17" i="31"/>
  <c r="Q54" i="19"/>
  <c r="Q46" i="23" s="1"/>
  <c r="Q49" i="23" s="1"/>
  <c r="R18" i="31"/>
  <c r="R118" i="31"/>
  <c r="R54" i="31"/>
  <c r="X18" i="31"/>
  <c r="Q69" i="43"/>
  <c r="Q87" i="43" s="1"/>
  <c r="Q10" i="20"/>
  <c r="P73" i="31" l="1"/>
  <c r="O76" i="20"/>
  <c r="P44" i="31" s="1"/>
  <c r="P82" i="31" s="1"/>
  <c r="P93" i="31" s="1"/>
  <c r="P72" i="31"/>
  <c r="O36" i="20"/>
  <c r="Q66" i="23"/>
  <c r="Q68" i="23" s="1"/>
  <c r="Q31" i="23"/>
  <c r="P10" i="52" s="1"/>
  <c r="P16" i="52" s="1"/>
  <c r="P18" i="52" s="1"/>
  <c r="W114" i="31"/>
  <c r="W113" i="31"/>
  <c r="V113" i="31"/>
  <c r="W18" i="31"/>
  <c r="V18" i="31"/>
  <c r="Q105" i="31"/>
  <c r="Q101" i="31"/>
  <c r="M4" i="58" s="1"/>
  <c r="R19" i="31"/>
  <c r="R36" i="31"/>
  <c r="X19" i="31"/>
  <c r="Q56" i="19"/>
  <c r="P81" i="20"/>
  <c r="Q57" i="31" s="1"/>
  <c r="Q119" i="31" s="1"/>
  <c r="P78" i="20"/>
  <c r="Q48" i="31" s="1"/>
  <c r="M10" i="58" s="1"/>
  <c r="O74" i="20" l="1"/>
  <c r="L4" i="57"/>
  <c r="P29" i="52"/>
  <c r="G39" i="52" s="1"/>
  <c r="P28" i="52"/>
  <c r="G38" i="52" s="1"/>
  <c r="Q62" i="23"/>
  <c r="Q36" i="23"/>
  <c r="Q54" i="23" s="1"/>
  <c r="Q26" i="20" s="1"/>
  <c r="Q60" i="23"/>
  <c r="Q82" i="19"/>
  <c r="Q41" i="20"/>
  <c r="R37" i="31"/>
  <c r="V36" i="31"/>
  <c r="W36" i="31"/>
  <c r="V19" i="31"/>
  <c r="W19" i="31"/>
  <c r="Q106" i="31"/>
  <c r="Q107" i="31"/>
  <c r="Q86" i="31"/>
  <c r="Q103" i="31"/>
  <c r="M6" i="58" s="1"/>
  <c r="Q104" i="31"/>
  <c r="M7" i="58" s="1"/>
  <c r="L6" i="57" l="1"/>
  <c r="L12" i="57" s="1"/>
  <c r="L10" i="57"/>
  <c r="L7" i="57"/>
  <c r="R65" i="31"/>
  <c r="Q44" i="20"/>
  <c r="Q72" i="20" s="1"/>
  <c r="L38" i="52"/>
  <c r="L40" i="52" s="1"/>
  <c r="L43" i="52" s="1"/>
  <c r="L45" i="52" s="1"/>
  <c r="G40" i="52"/>
  <c r="G43" i="52" s="1"/>
  <c r="G45" i="52" s="1"/>
  <c r="Q97" i="31"/>
  <c r="V37" i="31"/>
  <c r="W37" i="31"/>
  <c r="R62" i="31"/>
  <c r="R67" i="31"/>
  <c r="Q79" i="20"/>
  <c r="R49" i="31" s="1"/>
  <c r="N11" i="58" s="1"/>
  <c r="N74" i="31"/>
  <c r="N73" i="31"/>
  <c r="M88" i="20"/>
  <c r="L48" i="52" l="1"/>
  <c r="L50" i="52" s="1"/>
  <c r="G48" i="52"/>
  <c r="P32" i="20"/>
  <c r="P13" i="20" s="1"/>
  <c r="P18" i="20" s="1"/>
  <c r="Q74" i="31"/>
  <c r="R105" i="31"/>
  <c r="R101" i="31"/>
  <c r="N4" i="58" s="1"/>
  <c r="Q81" i="20"/>
  <c r="R57" i="31" s="1"/>
  <c r="R119" i="31" s="1"/>
  <c r="Q78" i="20"/>
  <c r="R48" i="31" s="1"/>
  <c r="N10" i="58" s="1"/>
  <c r="M76" i="20"/>
  <c r="N72" i="31"/>
  <c r="F57" i="52" l="1"/>
  <c r="G50" i="52"/>
  <c r="F72" i="52" s="1"/>
  <c r="F88" i="52"/>
  <c r="F112" i="52"/>
  <c r="Q72" i="31"/>
  <c r="P76" i="20"/>
  <c r="Q44" i="31" s="1"/>
  <c r="Q82" i="31" s="1"/>
  <c r="Q93" i="31" s="1"/>
  <c r="Q73" i="31"/>
  <c r="P36" i="20"/>
  <c r="M4" i="57" s="1"/>
  <c r="R86" i="31"/>
  <c r="R103" i="31"/>
  <c r="N6" i="58" s="1"/>
  <c r="R104" i="31"/>
  <c r="N7" i="58" s="1"/>
  <c r="R106" i="31"/>
  <c r="W101" i="31"/>
  <c r="V101" i="31"/>
  <c r="R107" i="31"/>
  <c r="W105" i="31"/>
  <c r="V105" i="31"/>
  <c r="N44" i="31"/>
  <c r="N82" i="31" s="1"/>
  <c r="O44" i="31"/>
  <c r="O82" i="31" s="1"/>
  <c r="O93" i="31" s="1"/>
  <c r="M6" i="57" l="1"/>
  <c r="M12" i="57" s="1"/>
  <c r="M7" i="57"/>
  <c r="M10" i="57"/>
  <c r="W106" i="31"/>
  <c r="V106" i="31"/>
  <c r="W104" i="31"/>
  <c r="V104" i="31"/>
  <c r="W103" i="31"/>
  <c r="V103" i="31"/>
  <c r="V107" i="31"/>
  <c r="W107" i="31"/>
  <c r="R97" i="31"/>
  <c r="V86" i="31"/>
  <c r="W86" i="31"/>
  <c r="N93" i="31"/>
  <c r="Q32" i="20" l="1"/>
  <c r="Q13" i="20" s="1"/>
  <c r="Q18" i="20" s="1"/>
  <c r="R74" i="31"/>
  <c r="W97" i="31"/>
  <c r="V97" i="31"/>
  <c r="R73" i="31" l="1"/>
  <c r="Q76" i="20"/>
  <c r="R44" i="31" s="1"/>
  <c r="R82" i="31" s="1"/>
  <c r="R72" i="31"/>
  <c r="Q36" i="20"/>
  <c r="N4" i="57" s="1"/>
  <c r="N74" i="20"/>
  <c r="N6" i="57" l="1"/>
  <c r="N12" i="57" s="1"/>
  <c r="N10" i="57"/>
  <c r="N7" i="57"/>
  <c r="R93" i="31"/>
  <c r="W82" i="31"/>
  <c r="V82" i="31"/>
  <c r="N101" i="20"/>
  <c r="O101" i="20"/>
  <c r="O63" i="31"/>
  <c r="O64" i="31"/>
  <c r="O66" i="31"/>
  <c r="P66" i="31"/>
  <c r="P63" i="31"/>
  <c r="P64" i="31"/>
  <c r="P47" i="31"/>
  <c r="L9" i="58" s="1"/>
  <c r="P74" i="20"/>
  <c r="Q74" i="20"/>
  <c r="W93" i="31" l="1"/>
  <c r="V93" i="31"/>
  <c r="Q101" i="20"/>
  <c r="P101" i="20"/>
  <c r="R64" i="31"/>
  <c r="R47" i="31"/>
  <c r="N9" i="58" s="1"/>
  <c r="R66" i="31"/>
  <c r="R63" i="31"/>
  <c r="Q66" i="31"/>
  <c r="Q63" i="31"/>
  <c r="Q47" i="31"/>
  <c r="M9" i="58" s="1"/>
  <c r="Q64" i="31"/>
  <c r="P85" i="31"/>
  <c r="P96" i="31" s="1"/>
  <c r="P102" i="31"/>
  <c r="L5" i="58" s="1"/>
  <c r="R85" i="31" l="1"/>
  <c r="R96" i="31" s="1"/>
  <c r="R102" i="31"/>
  <c r="N5" i="58" s="1"/>
  <c r="Q85" i="31"/>
  <c r="Q96" i="31" s="1"/>
  <c r="Q102" i="31"/>
  <c r="M5" i="58" s="1"/>
  <c r="M74" i="20"/>
  <c r="N47" i="31" l="1"/>
  <c r="J9" i="58" s="1"/>
  <c r="N63" i="31"/>
  <c r="N66" i="31"/>
  <c r="M101" i="20"/>
  <c r="N64" i="31"/>
  <c r="O47" i="31"/>
  <c r="K9" i="58" s="1"/>
  <c r="O85" i="31" l="1"/>
  <c r="O96" i="31" s="1"/>
  <c r="O102" i="31"/>
  <c r="K5" i="58" s="1"/>
  <c r="N85" i="31"/>
  <c r="N102" i="31"/>
  <c r="J5" i="58" s="1"/>
  <c r="V102" i="31" l="1"/>
  <c r="W102" i="31"/>
  <c r="V85" i="31"/>
  <c r="N96" i="31"/>
  <c r="W85" i="31"/>
  <c r="V96" i="31" l="1"/>
  <c r="W96" i="3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<sst xmlns="http://schemas.openxmlformats.org/spreadsheetml/2006/main" count="2387" uniqueCount="1134">
  <si>
    <t>Name</t>
  </si>
  <si>
    <t>Key stock data</t>
  </si>
  <si>
    <t>Dabur India Ltd</t>
  </si>
  <si>
    <t>NSE code</t>
  </si>
  <si>
    <t>DABUR</t>
  </si>
  <si>
    <t>Founder</t>
  </si>
  <si>
    <t>SK Burman</t>
  </si>
  <si>
    <t>Mkt cap</t>
  </si>
  <si>
    <t>Free float Mkt cap</t>
  </si>
  <si>
    <t>CMP</t>
  </si>
  <si>
    <t>Date</t>
  </si>
  <si>
    <t>52 week high</t>
  </si>
  <si>
    <t>(7-12-22)</t>
  </si>
  <si>
    <t>(13-11-23)</t>
  </si>
  <si>
    <t>52 week low</t>
  </si>
  <si>
    <t>(5-5-23)</t>
  </si>
  <si>
    <t>ISIN</t>
  </si>
  <si>
    <t>INE016A01026</t>
  </si>
  <si>
    <t>Industry Classification</t>
  </si>
  <si>
    <t>(NSE)</t>
  </si>
  <si>
    <t>Sector</t>
  </si>
  <si>
    <t>Fast Moving Consumer Goods</t>
  </si>
  <si>
    <t>Industry</t>
  </si>
  <si>
    <t>Personal Care</t>
  </si>
  <si>
    <t>Shareholding Data</t>
  </si>
  <si>
    <t>Dabur stock price 1year data</t>
  </si>
  <si>
    <t>(Ref: GROWW.IN)</t>
  </si>
  <si>
    <t>Promoter</t>
  </si>
  <si>
    <t>FII</t>
  </si>
  <si>
    <t>Retail</t>
  </si>
  <si>
    <t>DII</t>
  </si>
  <si>
    <t>Mutual fund</t>
  </si>
  <si>
    <r>
      <t>As of 30</t>
    </r>
    <r>
      <rPr>
        <b/>
        <vertAlign val="superscript"/>
        <sz val="12"/>
        <color theme="1"/>
        <rFont val="Calibri "/>
      </rPr>
      <t>th</t>
    </r>
    <r>
      <rPr>
        <b/>
        <sz val="12"/>
        <color theme="1"/>
        <rFont val="Calibri "/>
      </rPr>
      <t xml:space="preserve"> September,23</t>
    </r>
  </si>
  <si>
    <t>LIC</t>
  </si>
  <si>
    <t>(As of 30th September , 23)</t>
  </si>
  <si>
    <t>NPS TRUST</t>
  </si>
  <si>
    <t>First Sentier investors</t>
  </si>
  <si>
    <t>Vanguard group</t>
  </si>
  <si>
    <t xml:space="preserve"> Non promoter shareholders with above 1% holding</t>
  </si>
  <si>
    <t>Model by</t>
  </si>
  <si>
    <t>Piyush Anand</t>
  </si>
  <si>
    <t>FY 18</t>
  </si>
  <si>
    <t>FY 19</t>
  </si>
  <si>
    <t>FY 20</t>
  </si>
  <si>
    <t>FY 21</t>
  </si>
  <si>
    <t>FY 22</t>
  </si>
  <si>
    <t>FY 23</t>
  </si>
  <si>
    <t>Revenue from operations</t>
  </si>
  <si>
    <t>Other income</t>
  </si>
  <si>
    <t>Total income</t>
  </si>
  <si>
    <t>Expenses</t>
  </si>
  <si>
    <t>Cost of materials consumed</t>
  </si>
  <si>
    <t>Excise duty</t>
  </si>
  <si>
    <t>Purchases of stock-in-trade</t>
  </si>
  <si>
    <t>Employee benefits expense</t>
  </si>
  <si>
    <t>Finance costs</t>
  </si>
  <si>
    <t>Depreciation and amortization expense</t>
  </si>
  <si>
    <t>Other expenses</t>
  </si>
  <si>
    <t>Advertisement and publicity</t>
  </si>
  <si>
    <t>Others</t>
  </si>
  <si>
    <t>Total expenses</t>
  </si>
  <si>
    <t>Share of profit of joint venture</t>
  </si>
  <si>
    <t>Profit before exceptional items and tax</t>
  </si>
  <si>
    <t>Exceptional items</t>
  </si>
  <si>
    <t>Profit before tax</t>
  </si>
  <si>
    <t>Tax expense</t>
  </si>
  <si>
    <t>Current tax</t>
  </si>
  <si>
    <t>Deferred tax</t>
  </si>
  <si>
    <t>Total tax expense</t>
  </si>
  <si>
    <t>Net profit for the year</t>
  </si>
  <si>
    <t>Other comprehensive income</t>
  </si>
  <si>
    <t>Total comprehensive income for the year</t>
  </si>
  <si>
    <t>Net profit attributable to:</t>
  </si>
  <si>
    <t>Owners of the Holding Company</t>
  </si>
  <si>
    <t>Non-controlling interest</t>
  </si>
  <si>
    <t>Other comprehensive income attributable to:</t>
  </si>
  <si>
    <t>Total comprehensive income attributable to:</t>
  </si>
  <si>
    <t>Earnings per equity share</t>
  </si>
  <si>
    <t>Particulars</t>
  </si>
  <si>
    <t xml:space="preserve">Changes in inventories </t>
  </si>
  <si>
    <t>Basic</t>
  </si>
  <si>
    <t>Diluted</t>
  </si>
  <si>
    <t>(in INR Crores)</t>
  </si>
  <si>
    <t>Profit before share of profit from JV &amp; EX items</t>
  </si>
  <si>
    <t>Total equity shares</t>
  </si>
  <si>
    <t>EXTRA NOTES</t>
  </si>
  <si>
    <t>NET sales</t>
  </si>
  <si>
    <t>Operating revenue</t>
  </si>
  <si>
    <t>Other operating revenue</t>
  </si>
  <si>
    <t>Other operating revenue include subsidy , scrap sales , export subsidy etc</t>
  </si>
  <si>
    <t>Discounts/rebates</t>
  </si>
  <si>
    <t>Contracted sales</t>
  </si>
  <si>
    <t>Net operating revenue</t>
  </si>
  <si>
    <t>Breakup</t>
  </si>
  <si>
    <t>Consumer care</t>
  </si>
  <si>
    <t>Food</t>
  </si>
  <si>
    <t>Other segment</t>
  </si>
  <si>
    <t>Change in inventories include WIP , finished good and stock in trade</t>
  </si>
  <si>
    <t>Other expenses ex advertising</t>
  </si>
  <si>
    <t>power</t>
  </si>
  <si>
    <t>Freight</t>
  </si>
  <si>
    <t>R&amp;D</t>
  </si>
  <si>
    <t>If diluted</t>
  </si>
  <si>
    <t>(FV=1)</t>
  </si>
  <si>
    <t>(net profi for owner/equity shareholder)</t>
  </si>
  <si>
    <t>Other comp income is hardcoded to avoid confusion</t>
  </si>
  <si>
    <t>ASSETS</t>
  </si>
  <si>
    <t>NON CURRENT ASSETS</t>
  </si>
  <si>
    <t>Investment property</t>
  </si>
  <si>
    <t>Goodwill</t>
  </si>
  <si>
    <t>Other intangible assets</t>
  </si>
  <si>
    <t>Financial assets</t>
  </si>
  <si>
    <t>i) Investments</t>
  </si>
  <si>
    <t>ii) Loans</t>
  </si>
  <si>
    <t>iii) Others</t>
  </si>
  <si>
    <t>Non-current tax assets (net)</t>
  </si>
  <si>
    <t>Other non-current assets</t>
  </si>
  <si>
    <t>PPE</t>
  </si>
  <si>
    <t>CWIP</t>
  </si>
  <si>
    <t>CURRENT ASSETS</t>
  </si>
  <si>
    <t>Inventories</t>
  </si>
  <si>
    <t>(i) Investments</t>
  </si>
  <si>
    <t>(ii) Trade receivables</t>
  </si>
  <si>
    <t>(iv) Bank balances</t>
  </si>
  <si>
    <t>(v) Loans</t>
  </si>
  <si>
    <t>(vi) Others</t>
  </si>
  <si>
    <t>Other current assets</t>
  </si>
  <si>
    <t>Asset held for sale</t>
  </si>
  <si>
    <t xml:space="preserve">Current tax assets </t>
  </si>
  <si>
    <t>TOAL ASSETS</t>
  </si>
  <si>
    <t>EQUITY &amp; LIABILITY</t>
  </si>
  <si>
    <t>EQUITY</t>
  </si>
  <si>
    <t>Share capital</t>
  </si>
  <si>
    <t>Other</t>
  </si>
  <si>
    <t>TOAL EQUITY</t>
  </si>
  <si>
    <t>NON CURRENT LIABILITY</t>
  </si>
  <si>
    <t>(i) Borrowings</t>
  </si>
  <si>
    <t>(ii) Other financial liabilities</t>
  </si>
  <si>
    <t xml:space="preserve"> Financial liabilities</t>
  </si>
  <si>
    <t xml:space="preserve"> Provisions</t>
  </si>
  <si>
    <t xml:space="preserve"> Deferred tax liabilities (net)</t>
  </si>
  <si>
    <t>TOTAL NCL</t>
  </si>
  <si>
    <t>CURRENT LIABILITY</t>
  </si>
  <si>
    <t>Financial liabilities</t>
  </si>
  <si>
    <t>i) Borrowings</t>
  </si>
  <si>
    <t>ii) Trade payables</t>
  </si>
  <si>
    <t>Due to micro and small</t>
  </si>
  <si>
    <t>Due to others</t>
  </si>
  <si>
    <t>iii) Other financial liabilities</t>
  </si>
  <si>
    <t>Other current liabilities</t>
  </si>
  <si>
    <t>Provisions</t>
  </si>
  <si>
    <t>Current tax liabilities (net)</t>
  </si>
  <si>
    <t>TOTAL CL</t>
  </si>
  <si>
    <t>TOTAL CA</t>
  </si>
  <si>
    <t>TOTAL NCA</t>
  </si>
  <si>
    <t>TOTAL EQUITY AND LIABILITY</t>
  </si>
  <si>
    <t>NCI</t>
  </si>
  <si>
    <t>GROSS BLOCK</t>
  </si>
  <si>
    <t>-</t>
  </si>
  <si>
    <t>Opening bal</t>
  </si>
  <si>
    <t>NET BLOCK</t>
  </si>
  <si>
    <t>ADD</t>
  </si>
  <si>
    <t>GROSS CAPEX</t>
  </si>
  <si>
    <t>Closing Bal</t>
  </si>
  <si>
    <t>ACC dep</t>
  </si>
  <si>
    <t>FY17</t>
  </si>
  <si>
    <t>NET CAPEX</t>
  </si>
  <si>
    <t>CHECK 1</t>
  </si>
  <si>
    <t>CHECK 2</t>
  </si>
  <si>
    <t>(IN NET BLOCK=B/S PPE)</t>
  </si>
  <si>
    <t>(IF PREV YEAR NET BLOCK-CAPEX=NEXT YEAR NET BLOCK)</t>
  </si>
  <si>
    <t>Depreciation &amp; Disposal</t>
  </si>
  <si>
    <t>AS OF</t>
  </si>
  <si>
    <t>(Gross capital expenditure during the year)</t>
  </si>
  <si>
    <t>(depreciation, disposals during the year)</t>
  </si>
  <si>
    <t>(Net capital expenditure during the year)</t>
  </si>
  <si>
    <t>Increase in acc depreciation</t>
  </si>
  <si>
    <t>INVESTMENT PROPERTY</t>
  </si>
  <si>
    <t>INTANGIBLE ASSETS</t>
  </si>
  <si>
    <t>Amortisation and disposal</t>
  </si>
  <si>
    <t>(amortisation)</t>
  </si>
  <si>
    <t>Total D&amp;A</t>
  </si>
  <si>
    <t>Total Gross capex</t>
  </si>
  <si>
    <t>Total dep and other activities</t>
  </si>
  <si>
    <t>B/S CONSOLIDATED</t>
  </si>
  <si>
    <t>Inventories are valued at lower of cost &amp; net realisable value</t>
  </si>
  <si>
    <t>(iii) Cash and cash eq</t>
  </si>
  <si>
    <t>Cash and Cash eq includes cash in hand , cash at bank, cash in cheques and DD , cash in TD of less than 3 months of maturity</t>
  </si>
  <si>
    <t>Bank balance include TD with +3 but below 12 months of maturity(also unpaid dividend)</t>
  </si>
  <si>
    <t>INVENTORIES</t>
  </si>
  <si>
    <t>Raw materials</t>
  </si>
  <si>
    <t>Packing materials</t>
  </si>
  <si>
    <t>Work-in-progress</t>
  </si>
  <si>
    <t>Finished goods</t>
  </si>
  <si>
    <t>Stores and spares</t>
  </si>
  <si>
    <t xml:space="preserve">Stock-in-trade </t>
  </si>
  <si>
    <t>Stock-in-trade (transit)</t>
  </si>
  <si>
    <t>TOTAL</t>
  </si>
  <si>
    <t>OTHER EQUITY</t>
  </si>
  <si>
    <t>Reserves and surplus</t>
  </si>
  <si>
    <t>Capital reserve</t>
  </si>
  <si>
    <t>Securities premium</t>
  </si>
  <si>
    <t>Statutory reserve</t>
  </si>
  <si>
    <t>Special fund</t>
  </si>
  <si>
    <t>Employee housing reserve</t>
  </si>
  <si>
    <t>Share option outstanding account</t>
  </si>
  <si>
    <t>General reserve</t>
  </si>
  <si>
    <t>Retained earnings</t>
  </si>
  <si>
    <t>Foreign currency translation difference</t>
  </si>
  <si>
    <t>Debt instruments through OCI</t>
  </si>
  <si>
    <t>TOTAL OTHER EQUITY</t>
  </si>
  <si>
    <t>Investment in JV</t>
  </si>
  <si>
    <t>Deffered Tax asset</t>
  </si>
  <si>
    <t>LEASED PPE</t>
  </si>
  <si>
    <t>EXCEL ERROR</t>
  </si>
  <si>
    <t>(NET BLOCK)</t>
  </si>
  <si>
    <t>FOR 31-3-2021</t>
  </si>
  <si>
    <t>(iii) Lease liabilities</t>
  </si>
  <si>
    <t>iv) Lease liabilities</t>
  </si>
  <si>
    <t>DATA</t>
  </si>
  <si>
    <t>Current investment matures or converted into cash within 12 months</t>
  </si>
  <si>
    <t>Depreciation (as in P&amp;L statement)</t>
  </si>
  <si>
    <t>Amortsation (as in P&amp;L statement)</t>
  </si>
  <si>
    <t>(ACC-Accumulated)</t>
  </si>
  <si>
    <t>D&amp;A CHECK , TOTAL NET CAPEX, NET CAPEX CHECK</t>
  </si>
  <si>
    <t>(Press "+" icon to ungroup/unlock cells )</t>
  </si>
  <si>
    <t>(click "+" icon to ungroup cells</t>
  </si>
  <si>
    <t>COMMON SIZE STATEMENT</t>
  </si>
  <si>
    <t>Common size statement</t>
  </si>
  <si>
    <t>FY18</t>
  </si>
  <si>
    <t>FY19</t>
  </si>
  <si>
    <t>FY20</t>
  </si>
  <si>
    <t>FY21</t>
  </si>
  <si>
    <t>FY22</t>
  </si>
  <si>
    <t>FY23</t>
  </si>
  <si>
    <t>Divdend per equity Share</t>
  </si>
  <si>
    <t>Interim</t>
  </si>
  <si>
    <t>Special</t>
  </si>
  <si>
    <t>Final</t>
  </si>
  <si>
    <t>(final dividend is paid in the next FY)</t>
  </si>
  <si>
    <t>Retained earning per share</t>
  </si>
  <si>
    <t>Dividend %</t>
  </si>
  <si>
    <t>Retention%</t>
  </si>
  <si>
    <t>NOTE NO.</t>
  </si>
  <si>
    <t>Annual growth percentage table</t>
  </si>
  <si>
    <t>TAX%</t>
  </si>
  <si>
    <t>(rise in loss)</t>
  </si>
  <si>
    <t>TOPIC</t>
  </si>
  <si>
    <t xml:space="preserve">Other op revenue </t>
  </si>
  <si>
    <t>CLICK 1st "+" icon</t>
  </si>
  <si>
    <t>CLICK 2nd "+" icon</t>
  </si>
  <si>
    <t>CLICK 3rd "+" icon</t>
  </si>
  <si>
    <t>CLICK 4th "+" icon</t>
  </si>
  <si>
    <t>CLICK 5th "+" icon</t>
  </si>
  <si>
    <t>CLICK 6th "+" icon</t>
  </si>
  <si>
    <t>Discount,rebates to arrive at operating revenue and segment breakup of operating revenue</t>
  </si>
  <si>
    <t>Breakup of other expenses ex marketing</t>
  </si>
  <si>
    <t>Profit breakup before JV and unallocated expense</t>
  </si>
  <si>
    <t>PPE Gross capex , depreciation , net capex with checks</t>
  </si>
  <si>
    <t>Investment property gross capex , depreciation , net capex with checks</t>
  </si>
  <si>
    <t>Intangible assets Gross capex , depreciation , net capex with checks</t>
  </si>
  <si>
    <t>Total net capex , gross capex and depreciation</t>
  </si>
  <si>
    <t>Inventory breakup</t>
  </si>
  <si>
    <t>Other equity breakup</t>
  </si>
  <si>
    <t>Leased ppe</t>
  </si>
  <si>
    <t>CLICK 7th "+" icon</t>
  </si>
  <si>
    <t>CLICK 8th "+" icon</t>
  </si>
  <si>
    <t>Manual Check for error</t>
  </si>
  <si>
    <t>Gross capex</t>
  </si>
  <si>
    <t>Dep</t>
  </si>
  <si>
    <t>Net capex</t>
  </si>
  <si>
    <t>Net capex for</t>
  </si>
  <si>
    <t>investment property</t>
  </si>
  <si>
    <t>intangible assets</t>
  </si>
  <si>
    <t>OK</t>
  </si>
  <si>
    <t>(see manual error check)</t>
  </si>
  <si>
    <t>Contingent liabilities</t>
  </si>
  <si>
    <t>CLICK 9th "+" icon</t>
  </si>
  <si>
    <t>In FY 23 , Dabur bought 51% stake in Badshah Masala pvt ltd</t>
  </si>
  <si>
    <t>SOURCES</t>
  </si>
  <si>
    <t>CASH FLOW CONSOLIDATED</t>
  </si>
  <si>
    <t>Operating Activities</t>
  </si>
  <si>
    <t>PBT</t>
  </si>
  <si>
    <t>D&amp;A</t>
  </si>
  <si>
    <t>Interest paid</t>
  </si>
  <si>
    <t>other borrowing cost</t>
  </si>
  <si>
    <t>Other finance cost</t>
  </si>
  <si>
    <t>Interest income</t>
  </si>
  <si>
    <t>Dividend income</t>
  </si>
  <si>
    <t>Other income breakup</t>
  </si>
  <si>
    <t>Other Income</t>
  </si>
  <si>
    <t>BREAKUP</t>
  </si>
  <si>
    <t>Other gains</t>
  </si>
  <si>
    <t>FVTOCI debt instrumenta</t>
  </si>
  <si>
    <t>Other assets at amortised cost</t>
  </si>
  <si>
    <t>FVTPL Debt insruments</t>
  </si>
  <si>
    <t>Other non op income</t>
  </si>
  <si>
    <t>Dividend received</t>
  </si>
  <si>
    <t>Operating Profit</t>
  </si>
  <si>
    <t>before WC changes</t>
  </si>
  <si>
    <t>Other adjustments</t>
  </si>
  <si>
    <t>Working Capital adjustments</t>
  </si>
  <si>
    <t>Adjustments For</t>
  </si>
  <si>
    <t>Change in inventories</t>
  </si>
  <si>
    <t>Caution</t>
  </si>
  <si>
    <t>To search for references Open all grouped cells</t>
  </si>
  <si>
    <t>Trade recievables</t>
  </si>
  <si>
    <t>Trade Payables</t>
  </si>
  <si>
    <t>Chages in other assets</t>
  </si>
  <si>
    <t>Cash flow generated</t>
  </si>
  <si>
    <t>post WC changes</t>
  </si>
  <si>
    <t>Taxes Paid</t>
  </si>
  <si>
    <t>(net of refunds)</t>
  </si>
  <si>
    <t>OCF</t>
  </si>
  <si>
    <t>Investment Activities</t>
  </si>
  <si>
    <t>Change in ppe</t>
  </si>
  <si>
    <t>depr</t>
  </si>
  <si>
    <t>disposal</t>
  </si>
  <si>
    <t>(Formula used = gross capex-dep-disposals)</t>
  </si>
  <si>
    <t>(NET CAPEX+DEP)</t>
  </si>
  <si>
    <t>(Check if  capex+disposals equal to Gross capex)</t>
  </si>
  <si>
    <t>(Includes capex of PPE , intangible assets , investment asset</t>
  </si>
  <si>
    <t>Interest received</t>
  </si>
  <si>
    <t>CASH FROM INVESTING</t>
  </si>
  <si>
    <t>Net Change in Investments</t>
  </si>
  <si>
    <t>(Purchase-sale of investments)</t>
  </si>
  <si>
    <t>Financing Activities</t>
  </si>
  <si>
    <t>Finance cost</t>
  </si>
  <si>
    <t>(Interest paid + other finance cost)</t>
  </si>
  <si>
    <t>Equity raised</t>
  </si>
  <si>
    <t>Net debt raised/repaid</t>
  </si>
  <si>
    <t>Dividend paid</t>
  </si>
  <si>
    <t>NOTES</t>
  </si>
  <si>
    <t>Debt issued</t>
  </si>
  <si>
    <t>Debt repaid</t>
  </si>
  <si>
    <t>W/N 1</t>
  </si>
  <si>
    <t>NET DEBT RAISED</t>
  </si>
  <si>
    <t>Other net cashflow</t>
  </si>
  <si>
    <t>(generally leasing expense)</t>
  </si>
  <si>
    <t>In FY 20-21 , Dividend distribution tax was removed</t>
  </si>
  <si>
    <t>Dividend dist  tax</t>
  </si>
  <si>
    <t>CASH FROM FINANCING</t>
  </si>
  <si>
    <t>NET CASH FLOWS</t>
  </si>
  <si>
    <t>W/N1</t>
  </si>
  <si>
    <t>SEE</t>
  </si>
  <si>
    <t>(Due to the forex effect and change in the structure of assets that could be considered "Cash and Cash equivalents , change in cash through balance sheet would not match with cash flow statement)</t>
  </si>
  <si>
    <t>Change in cash in B/S</t>
  </si>
  <si>
    <t>Forex and other effects</t>
  </si>
  <si>
    <t>(WITH FORECASTS)</t>
  </si>
  <si>
    <t xml:space="preserve">FY 24 </t>
  </si>
  <si>
    <t>A</t>
  </si>
  <si>
    <t>E</t>
  </si>
  <si>
    <t>FY 25</t>
  </si>
  <si>
    <t>FY 26</t>
  </si>
  <si>
    <t>FY 27</t>
  </si>
  <si>
    <t>FY 28</t>
  </si>
  <si>
    <t>CONSOLIDATED P&amp;L</t>
  </si>
  <si>
    <t>OUTPUT</t>
  </si>
  <si>
    <t>P&amp;L CONSOLIDATED</t>
  </si>
  <si>
    <t>Profit before JV and other expenes</t>
  </si>
  <si>
    <t>FOR THE YEAR ENDING ON</t>
  </si>
  <si>
    <t>COGS</t>
  </si>
  <si>
    <t>Gross Profit</t>
  </si>
  <si>
    <t>Net Revenue from Operations</t>
  </si>
  <si>
    <t>Operating  expense</t>
  </si>
  <si>
    <t>COMMENTS</t>
  </si>
  <si>
    <t>Margin%</t>
  </si>
  <si>
    <t>Other operating expenses</t>
  </si>
  <si>
    <t>Total operating expense</t>
  </si>
  <si>
    <t>Total finance cost</t>
  </si>
  <si>
    <t>Both finance cost and interest paid are subtracted from EBIT to get to PBT</t>
  </si>
  <si>
    <t>Tax%</t>
  </si>
  <si>
    <t>EBITDA before other income &amp; expenses</t>
  </si>
  <si>
    <t>EBIT before other income &amp; expenses</t>
  </si>
  <si>
    <t>PBT before other income &amp; expenses</t>
  </si>
  <si>
    <t xml:space="preserve">Other income </t>
  </si>
  <si>
    <t>Other expenses/exceptional expenses</t>
  </si>
  <si>
    <t xml:space="preserve">PBT </t>
  </si>
  <si>
    <t>TAX</t>
  </si>
  <si>
    <t>Cost Check</t>
  </si>
  <si>
    <t>KPIs</t>
  </si>
  <si>
    <t>Revenue Growth%</t>
  </si>
  <si>
    <t>COGS%</t>
  </si>
  <si>
    <t>Op exp%</t>
  </si>
  <si>
    <t>D&amp;A%</t>
  </si>
  <si>
    <t>Interest%</t>
  </si>
  <si>
    <t>On PBT</t>
  </si>
  <si>
    <t>CONSOLIDATED B/S</t>
  </si>
  <si>
    <t>(recognized Rs 875 cr as trademark and distribution network value and paid goodwill  of 154.21 cr on growth prospects)</t>
  </si>
  <si>
    <t>ii) Investments</t>
  </si>
  <si>
    <t>iii) other finacial assets</t>
  </si>
  <si>
    <t>Tax assets</t>
  </si>
  <si>
    <t>CHECK</t>
  </si>
  <si>
    <t xml:space="preserve"> CURRENT ASSETS</t>
  </si>
  <si>
    <t>Remaining non current assets</t>
  </si>
  <si>
    <t>i) Cash+Bank+investment</t>
  </si>
  <si>
    <t>ii) Trade Recievables</t>
  </si>
  <si>
    <t>iii) other current financial assets</t>
  </si>
  <si>
    <t>Current tax assets</t>
  </si>
  <si>
    <t>Remaining Current assets</t>
  </si>
  <si>
    <t>TOTAL ASSETS</t>
  </si>
  <si>
    <t>Share Capital</t>
  </si>
  <si>
    <t>Other equity</t>
  </si>
  <si>
    <t>TOTAL EQUITY</t>
  </si>
  <si>
    <t>Financial liabilties</t>
  </si>
  <si>
    <t>i) Borrowing</t>
  </si>
  <si>
    <t>ii) Lease</t>
  </si>
  <si>
    <t>iii) Other</t>
  </si>
  <si>
    <t>Remaining NCL</t>
  </si>
  <si>
    <t>iii) Lease</t>
  </si>
  <si>
    <t>iv) Other</t>
  </si>
  <si>
    <t>Remaining CL</t>
  </si>
  <si>
    <t>CONSOLIDATED CASH FLOW STATEMENT</t>
  </si>
  <si>
    <t>Operating Cash flow</t>
  </si>
  <si>
    <t>ADJUSTMENTS</t>
  </si>
  <si>
    <t>Include other adjustments , dividend income and other non op income</t>
  </si>
  <si>
    <t>Changes in WC</t>
  </si>
  <si>
    <t>Taxes paid</t>
  </si>
  <si>
    <t>(check for accuracy)</t>
  </si>
  <si>
    <t>Investing Cash flow</t>
  </si>
  <si>
    <t>Capex</t>
  </si>
  <si>
    <t>Net change in investment</t>
  </si>
  <si>
    <t>(Net capex+depreciation)</t>
  </si>
  <si>
    <t>CASH GENERATED FROM INVESTMENT ACTIVITIES</t>
  </si>
  <si>
    <t>Financing Cash flow</t>
  </si>
  <si>
    <t>Dividend expenses</t>
  </si>
  <si>
    <t>(Tax+dividend paid)</t>
  </si>
  <si>
    <t>(interest+other fin cost)</t>
  </si>
  <si>
    <t>CASH GENERATED FROM FINANCING ACTIVITIES</t>
  </si>
  <si>
    <t>NET CASH GENERATED</t>
  </si>
  <si>
    <t>Revenue</t>
  </si>
  <si>
    <t>HDFC sec</t>
  </si>
  <si>
    <t>Bobcaps</t>
  </si>
  <si>
    <t>General consensus</t>
  </si>
  <si>
    <t>Growth%</t>
  </si>
  <si>
    <t>Axis Sec.</t>
  </si>
  <si>
    <t>PL India</t>
  </si>
  <si>
    <t>Comments</t>
  </si>
  <si>
    <t>Genral consenus data is taken from Moneycontrol PRO ; PL-Prabhudas Lilladher</t>
  </si>
  <si>
    <t>EBITDA</t>
  </si>
  <si>
    <t>NA</t>
  </si>
  <si>
    <t>General Consensus data not available</t>
  </si>
  <si>
    <t>Depreciation</t>
  </si>
  <si>
    <t>HDFC SEC data and General consensus data not available</t>
  </si>
  <si>
    <t>Depreciation/revenue</t>
  </si>
  <si>
    <t>EBIT</t>
  </si>
  <si>
    <t>EBIT=EBITDA - D&amp;A</t>
  </si>
  <si>
    <t>ICICI sec</t>
  </si>
  <si>
    <t>Other income%</t>
  </si>
  <si>
    <t>Other income less JV /revenue</t>
  </si>
  <si>
    <t>Revenue%</t>
  </si>
  <si>
    <t>EPS</t>
  </si>
  <si>
    <t>Ratio analysis</t>
  </si>
  <si>
    <t>Dabur have 20% stake in aviation joint venture called forum 1 aviation pvt ltd (valued using equity method)</t>
  </si>
  <si>
    <t>PAT EX JV</t>
  </si>
  <si>
    <t>Excludes income recived from associates and includes income that bwlongs to NCI</t>
  </si>
  <si>
    <t>Net profit check (ex JV)</t>
  </si>
  <si>
    <t>EPS(Ex JV income)</t>
  </si>
  <si>
    <t>Income from JV</t>
  </si>
  <si>
    <t xml:space="preserve">PAT </t>
  </si>
  <si>
    <t>Important note</t>
  </si>
  <si>
    <t>Target Price</t>
  </si>
  <si>
    <t>FY 24 Fwd P/E</t>
  </si>
  <si>
    <t>Mean</t>
  </si>
  <si>
    <t>Median</t>
  </si>
  <si>
    <t>F</t>
  </si>
  <si>
    <t>Gross profit</t>
  </si>
  <si>
    <t>Ad expenses</t>
  </si>
  <si>
    <t>employee expense</t>
  </si>
  <si>
    <t>FY 25 Fwd P/E</t>
  </si>
  <si>
    <t>(they are ready to pay)</t>
  </si>
  <si>
    <t>Other op expenses</t>
  </si>
  <si>
    <t>Operating expense</t>
  </si>
  <si>
    <t>PAT</t>
  </si>
  <si>
    <t>DIVIDEND</t>
  </si>
  <si>
    <t>(before other income/expen)</t>
  </si>
  <si>
    <t>(Ex JV)</t>
  </si>
  <si>
    <t>GP%</t>
  </si>
  <si>
    <t>OPEX%</t>
  </si>
  <si>
    <t>Employee expense%</t>
  </si>
  <si>
    <t>Ad expenses%</t>
  </si>
  <si>
    <t>Other op expenses%</t>
  </si>
  <si>
    <t>EBITDA%</t>
  </si>
  <si>
    <t>EBIT%</t>
  </si>
  <si>
    <t>FINANCE COST%</t>
  </si>
  <si>
    <t>PBT%</t>
  </si>
  <si>
    <t>PAT%</t>
  </si>
  <si>
    <t>OTHER INCOME%</t>
  </si>
  <si>
    <t>Margins%</t>
  </si>
  <si>
    <t>Solvency ratios</t>
  </si>
  <si>
    <t>Averages</t>
  </si>
  <si>
    <t>Total Debt/assets</t>
  </si>
  <si>
    <t>Total liabilities/assets</t>
  </si>
  <si>
    <t>(includes only borrowing)</t>
  </si>
  <si>
    <t>Equity ratio</t>
  </si>
  <si>
    <t>(Equity/total assets)</t>
  </si>
  <si>
    <t>NCL/Total equity less NCI</t>
  </si>
  <si>
    <t>Total Debt/equity less NCI</t>
  </si>
  <si>
    <t>Total liabilities/Equty less NCI</t>
  </si>
  <si>
    <t>Interest Coverage ratio</t>
  </si>
  <si>
    <t>Liquidity ratio</t>
  </si>
  <si>
    <t>Current ratio</t>
  </si>
  <si>
    <t>Quick ratio</t>
  </si>
  <si>
    <t>TR/TP</t>
  </si>
  <si>
    <t>Super quick ratio</t>
  </si>
  <si>
    <t>Average inventory</t>
  </si>
  <si>
    <t>Inventory turnover</t>
  </si>
  <si>
    <t>(COGS/avg inventory)</t>
  </si>
  <si>
    <t>Inventory days</t>
  </si>
  <si>
    <t>Recievables turnover</t>
  </si>
  <si>
    <t>(Revenue/avg recievables)</t>
  </si>
  <si>
    <t>Average recievables</t>
  </si>
  <si>
    <t>Recievables days</t>
  </si>
  <si>
    <t>Payables turnover</t>
  </si>
  <si>
    <t>(COGS/payables)</t>
  </si>
  <si>
    <t>Average payables</t>
  </si>
  <si>
    <t>Payable days</t>
  </si>
  <si>
    <t>Average working capital</t>
  </si>
  <si>
    <t>Working Captial</t>
  </si>
  <si>
    <t>Working capital turnover</t>
  </si>
  <si>
    <t>Average net working capital</t>
  </si>
  <si>
    <t>Net working capital</t>
  </si>
  <si>
    <t>Working capital days</t>
  </si>
  <si>
    <t>(Revenue/avg wc)</t>
  </si>
  <si>
    <t>Net working capital turnover</t>
  </si>
  <si>
    <t>Net working capital days</t>
  </si>
  <si>
    <t>(Revenue/avg net wc)</t>
  </si>
  <si>
    <t>Caution notes</t>
  </si>
  <si>
    <t>We used COGS in payables turnover data due to non availibilty of explicit purchase data</t>
  </si>
  <si>
    <t>We used sales in recievables turnover ratio due to non availibilty of credit sale data</t>
  </si>
  <si>
    <t>Average fixed assets</t>
  </si>
  <si>
    <t>(Include PPE only)</t>
  </si>
  <si>
    <t>Fixed asset turnover</t>
  </si>
  <si>
    <t>Average total assets</t>
  </si>
  <si>
    <t>Asset turnover</t>
  </si>
  <si>
    <t>(Revenue/avg fixed asset)</t>
  </si>
  <si>
    <t>(Revenue/avg assets)</t>
  </si>
  <si>
    <t>Fixed asset turnover days</t>
  </si>
  <si>
    <t>Asset turnover days</t>
  </si>
  <si>
    <t>Capital employed turnover</t>
  </si>
  <si>
    <t>(Revenue/cap employed)</t>
  </si>
  <si>
    <t>Capital employed</t>
  </si>
  <si>
    <t>(NCL+Shareholder equity-NCI)</t>
  </si>
  <si>
    <t>Average Capital employed</t>
  </si>
  <si>
    <t>Days</t>
  </si>
  <si>
    <t xml:space="preserve">Turnover Ratios </t>
  </si>
  <si>
    <t>Capital employed turnover days</t>
  </si>
  <si>
    <t>Return ratios</t>
  </si>
  <si>
    <t>ROE</t>
  </si>
  <si>
    <t>Average shareholder equity</t>
  </si>
  <si>
    <t>(Equity-NCI)</t>
  </si>
  <si>
    <t>Shareholder equity</t>
  </si>
  <si>
    <t>(Net profit/avg shareholder equity)</t>
  </si>
  <si>
    <t>ROA</t>
  </si>
  <si>
    <t>(Net profit/avg total assets)</t>
  </si>
  <si>
    <t>ROCE</t>
  </si>
  <si>
    <t>(EBIT/avg capital employed)</t>
  </si>
  <si>
    <t>NOPAT</t>
  </si>
  <si>
    <t>ROIC I</t>
  </si>
  <si>
    <t>ROIC II</t>
  </si>
  <si>
    <t xml:space="preserve">(NOPAT/Avg eqt+ avg interest bearing debt) </t>
  </si>
  <si>
    <t>(Short+long term)</t>
  </si>
  <si>
    <t>(NOPAT/Average capital employed)</t>
  </si>
  <si>
    <t>Interest bearing debt</t>
  </si>
  <si>
    <t>Average Interest bearing Debt</t>
  </si>
  <si>
    <t>Cash flow ratios</t>
  </si>
  <si>
    <t>OCF II</t>
  </si>
  <si>
    <t>(OCF/avg Net revenue)</t>
  </si>
  <si>
    <t>(OCF/avg Net profit)</t>
  </si>
  <si>
    <t>FCF</t>
  </si>
  <si>
    <t>CAPEX</t>
  </si>
  <si>
    <t>W/N2</t>
  </si>
  <si>
    <t>TOTAL CAPEX</t>
  </si>
  <si>
    <t>Adjusted FCF</t>
  </si>
  <si>
    <t>(adjusted FCF/Net revenue)</t>
  </si>
  <si>
    <t>FCF I</t>
  </si>
  <si>
    <t>FCFII</t>
  </si>
  <si>
    <t>(adjusted FCF/Net profit)</t>
  </si>
  <si>
    <t>Valuation ratios</t>
  </si>
  <si>
    <t>P/E</t>
  </si>
  <si>
    <t>Assumed price</t>
  </si>
  <si>
    <t>P/B</t>
  </si>
  <si>
    <t>Book value</t>
  </si>
  <si>
    <t>BVPS</t>
  </si>
  <si>
    <t>(Shareholder equity-NCI) , excludes Investment value of JV</t>
  </si>
  <si>
    <t>Additional data</t>
  </si>
  <si>
    <t>Total outstanding share</t>
  </si>
  <si>
    <t>Dividend yield%</t>
  </si>
  <si>
    <t>P/S</t>
  </si>
  <si>
    <t>Sales/share</t>
  </si>
  <si>
    <t>Enterprise value</t>
  </si>
  <si>
    <t>Common stock value</t>
  </si>
  <si>
    <t>(Price/ diluted EPS)</t>
  </si>
  <si>
    <t>(Price/BVPS)</t>
  </si>
  <si>
    <t>(Price/Sales per share)</t>
  </si>
  <si>
    <t>(Price/FCF per share)</t>
  </si>
  <si>
    <t>P/OCF</t>
  </si>
  <si>
    <t>Badshaah Pvt Ltd</t>
  </si>
  <si>
    <t>Ownership%</t>
  </si>
  <si>
    <t>Dabur Nepal pvt Ltd</t>
  </si>
  <si>
    <t>This sheet will estimate NCI as of 31 March FY 23</t>
  </si>
  <si>
    <t>Basis of valuation</t>
  </si>
  <si>
    <t>Deal Value</t>
  </si>
  <si>
    <t>Deal value</t>
  </si>
  <si>
    <t>NCI Valuation (in INR crore)</t>
  </si>
  <si>
    <t>Deal was valued at 19.6x multiple</t>
  </si>
  <si>
    <t>Value</t>
  </si>
  <si>
    <t>Net assets</t>
  </si>
  <si>
    <t>(Price assumed Rs 560)</t>
  </si>
  <si>
    <t>Total debt</t>
  </si>
  <si>
    <t>Per share data</t>
  </si>
  <si>
    <t>DPS</t>
  </si>
  <si>
    <t>Adjusted FCF per share</t>
  </si>
  <si>
    <t>P/FCF</t>
  </si>
  <si>
    <t>OCF Per share</t>
  </si>
  <si>
    <t>(Price/OCF per share</t>
  </si>
  <si>
    <t>(Total borrowing)</t>
  </si>
  <si>
    <t>LESS</t>
  </si>
  <si>
    <t>Cash</t>
  </si>
  <si>
    <t>ENTERPRISE VALUE</t>
  </si>
  <si>
    <t>EV/EBITDA</t>
  </si>
  <si>
    <t>EV/EBIT</t>
  </si>
  <si>
    <t>(EV/EBITDA)</t>
  </si>
  <si>
    <t>(EV/EBIT before other income)</t>
  </si>
  <si>
    <t>OCF I</t>
  </si>
  <si>
    <t>DPS%</t>
  </si>
  <si>
    <t>(DPS/EPS)</t>
  </si>
  <si>
    <t>(CA/CL)</t>
  </si>
  <si>
    <t>(CA-Inventory/CL)</t>
  </si>
  <si>
    <t>(Cash/CL)</t>
  </si>
  <si>
    <t>Retention ratio</t>
  </si>
  <si>
    <t>Self sustained growth rate%</t>
  </si>
  <si>
    <t>(ROE*Retention rate)</t>
  </si>
  <si>
    <t>Self sustained growth rate% (2)</t>
  </si>
  <si>
    <t>(1-DPS)</t>
  </si>
  <si>
    <t>purple for hardcode with formulas</t>
  </si>
  <si>
    <t>(ROIC II*Retention rate)</t>
  </si>
  <si>
    <t>Best</t>
  </si>
  <si>
    <t>Base</t>
  </si>
  <si>
    <t>Choose</t>
  </si>
  <si>
    <t>Id</t>
  </si>
  <si>
    <t>Revenue Forecast</t>
  </si>
  <si>
    <t>Net revenue</t>
  </si>
  <si>
    <t>Cases</t>
  </si>
  <si>
    <t xml:space="preserve">Worst </t>
  </si>
  <si>
    <t>Selected Case</t>
  </si>
  <si>
    <t>Base Case</t>
  </si>
  <si>
    <t>Best Case</t>
  </si>
  <si>
    <t>Worst Case</t>
  </si>
  <si>
    <t>Forecasts till FY 25</t>
  </si>
  <si>
    <t>Median street estimate+1%</t>
  </si>
  <si>
    <t>Median street estimate</t>
  </si>
  <si>
    <t>Median Street estimate-1.5%</t>
  </si>
  <si>
    <t>Forecasts for</t>
  </si>
  <si>
    <t>FY26</t>
  </si>
  <si>
    <t>FY27</t>
  </si>
  <si>
    <t>FY28</t>
  </si>
  <si>
    <t>ACTUAL PERIOD</t>
  </si>
  <si>
    <t>In B/S include WIP , Raw materials , finished goods , stock in trade</t>
  </si>
  <si>
    <t>Closing inventory</t>
  </si>
  <si>
    <t>Opening inventory</t>
  </si>
  <si>
    <t>Change in inventory</t>
  </si>
  <si>
    <t>Check</t>
  </si>
  <si>
    <t>Inventory Turnover ratio</t>
  </si>
  <si>
    <t>Average Inventory</t>
  </si>
  <si>
    <t>COGS Forecast</t>
  </si>
  <si>
    <t>COGS Breakup</t>
  </si>
  <si>
    <t>Cost of Material consumed</t>
  </si>
  <si>
    <t>Purchase of stock in trade</t>
  </si>
  <si>
    <t>Change in invenory</t>
  </si>
  <si>
    <t>Cost Of Material Consumed</t>
  </si>
  <si>
    <t>Purchase of Stock in trade</t>
  </si>
  <si>
    <t>Sales%</t>
  </si>
  <si>
    <t>Total Cost of Goods sold</t>
  </si>
  <si>
    <t>Adjusted FCF used only PPE capex as it is the only consistent form of capex and is forecasteable in nature</t>
  </si>
  <si>
    <t>Total Capex</t>
  </si>
  <si>
    <t>CAPEX BREAKUP</t>
  </si>
  <si>
    <t>CAGR</t>
  </si>
  <si>
    <t>CAGR calculation uses data of P&amp;L (Output)</t>
  </si>
  <si>
    <t>FORECASTED PERIOD</t>
  </si>
  <si>
    <t>Operating Expenses Forecast</t>
  </si>
  <si>
    <t>OPEX</t>
  </si>
  <si>
    <t>Employee benefit expenses</t>
  </si>
  <si>
    <t>Advertisement &amp; publicity</t>
  </si>
  <si>
    <t>Other Operating expenses</t>
  </si>
  <si>
    <t>Total Opex</t>
  </si>
  <si>
    <t>DON'T MANAULLY CHANGE THE CASE NUMBER , USE FORECASTING SHEET</t>
  </si>
  <si>
    <t>Best Case (Case 1)</t>
  </si>
  <si>
    <t>Base Case(Case 2)</t>
  </si>
  <si>
    <t>Worst Case(Case 3)</t>
  </si>
  <si>
    <t>BEST CASE (Case 1)</t>
  </si>
  <si>
    <t>Total COGS%</t>
  </si>
  <si>
    <t>BASE CASE (Case 2)</t>
  </si>
  <si>
    <t>WORST CASE (Case 3)</t>
  </si>
  <si>
    <t>FY24</t>
  </si>
  <si>
    <t>FY25</t>
  </si>
  <si>
    <t>Cost of material consumed</t>
  </si>
  <si>
    <t xml:space="preserve">Assumed -0.77% till FY 28 as Median sales% is -0.77% </t>
  </si>
  <si>
    <t>Other operating expense</t>
  </si>
  <si>
    <t>Total OPEX%</t>
  </si>
  <si>
    <t>Assumed 11% as sales% median till FY23 is 11%</t>
  </si>
  <si>
    <t>Assumed 9% till FY 28 as Median sales% is 8.9% (It was rounded it up to 9% as a conservative measure</t>
  </si>
  <si>
    <t>Employee benefit% will be lowest in FY24 and is assumed to rise 30 bps due to expected global economy recovery-will lead to higher wages</t>
  </si>
  <si>
    <t>Ad spends will be bumped up in FY24 to recover from slow volume growth, it would remain elevated in fy 25 and is assumed to be at 7.5% in FY28</t>
  </si>
  <si>
    <t>Assumed same as in Base case</t>
  </si>
  <si>
    <t>In best case , it is assumed ad spends may not be required much due to high pricing power due to premium goods.</t>
  </si>
  <si>
    <t>In best case , it is assumed employee benefit% would go even lower</t>
  </si>
  <si>
    <t>In best case scenario ,raw material prices would stabilise much quickly and it is assumed company would become more efficient with better pricing power earlier than expected</t>
  </si>
  <si>
    <t>In worst case prices take a long time to stabilise and company is now unable to touch its pre covid margins due to high competitive intensity</t>
  </si>
  <si>
    <t>In worst case , Employee expenses were lowest in FY23 and rose till 10.5%-near pre covid expense</t>
  </si>
  <si>
    <t>In worst case , Ads spends remain elevated due to slower volume growth</t>
  </si>
  <si>
    <t>Inventory turnover ratio = COGS/Avg inventory)</t>
  </si>
  <si>
    <t>Important</t>
  </si>
  <si>
    <t>Closing inventory is calculated using average inventory (which is calculated with assumed ITR)</t>
  </si>
  <si>
    <t>Trade Recievables</t>
  </si>
  <si>
    <t>Opening TR</t>
  </si>
  <si>
    <t>Closing TR</t>
  </si>
  <si>
    <t>Change in TR</t>
  </si>
  <si>
    <t>Recievable turnover ratio</t>
  </si>
  <si>
    <t>ITR assumed at 3.19x (Mean invenotry turnover ratio)</t>
  </si>
  <si>
    <t>Recievable turnover ratio assumed at 13.79x (Mean turnover ratio)</t>
  </si>
  <si>
    <t>TR &amp; TP Forecast</t>
  </si>
  <si>
    <t>Opening TP</t>
  </si>
  <si>
    <t>Closing TP</t>
  </si>
  <si>
    <t>Change in TP</t>
  </si>
  <si>
    <t>Payable turnover ratio</t>
  </si>
  <si>
    <t>Average Payables</t>
  </si>
  <si>
    <t>Payable turnover ratio assumed at 2.92x (Mean turnover ratio)</t>
  </si>
  <si>
    <t>Trade recievable turnover ratio=Sales/avg recievables</t>
  </si>
  <si>
    <t>Trade Paybles turnover ratio=COGS/avg payables</t>
  </si>
  <si>
    <t>Closing TR/TP is calculated using average TR/TP (which is calculated with assumed Turnover ratio)</t>
  </si>
  <si>
    <t>Fixed asset schedule</t>
  </si>
  <si>
    <t>Opening Net Block</t>
  </si>
  <si>
    <t>Gross Capex</t>
  </si>
  <si>
    <t>Closing Net block</t>
  </si>
  <si>
    <t>Data Taken directly from BS sheet (Data section)</t>
  </si>
  <si>
    <t>Change In Net Block (Net  Capex)</t>
  </si>
  <si>
    <t>Gross Capex/sales %</t>
  </si>
  <si>
    <t>Gross Capex/EBITDA %</t>
  </si>
  <si>
    <t>Gross Capex/OCF%</t>
  </si>
  <si>
    <t>Gross Capex/Net Profit</t>
  </si>
  <si>
    <t>STD dev (Till FY 23)</t>
  </si>
  <si>
    <t>Depreciation/sales%</t>
  </si>
  <si>
    <t>Depreciation/EBITDA%</t>
  </si>
  <si>
    <t>Depreciation/Gross capex%</t>
  </si>
  <si>
    <t>Investment Property</t>
  </si>
  <si>
    <t>Depreciation/Net Block %</t>
  </si>
  <si>
    <t>Intangible assets</t>
  </si>
  <si>
    <t>Average</t>
  </si>
  <si>
    <t>Amortisation-write off/adjustments ; Data taken directly from BS sheet (Data section)</t>
  </si>
  <si>
    <t>Other effects</t>
  </si>
  <si>
    <t>other effectss</t>
  </si>
  <si>
    <t>other effects/Depreciation%</t>
  </si>
  <si>
    <t>other effects/sales%</t>
  </si>
  <si>
    <t>Fixed asset turnover ratio</t>
  </si>
  <si>
    <t>Less</t>
  </si>
  <si>
    <t>Closing Net Block</t>
  </si>
  <si>
    <t>Combined</t>
  </si>
  <si>
    <t>Net Amortisation/Sales</t>
  </si>
  <si>
    <t>FY 23 excludes 25 crores worth of Net amortisation due to business combination</t>
  </si>
  <si>
    <t>In PPE section , we could forecast capex, depreciation, other effects using different approaches but we used the methods with least standard deviation. (The chosen methods are filled with green background color)</t>
  </si>
  <si>
    <t>In investment property we assumed zero expected capex &amp; other effects because of difficulty in forecasting of such a small value.</t>
  </si>
  <si>
    <t>In intangible assets we assumed zero capex due to very irregular changes . Only net amortisation was estimated (we did not consider the business combination transaction &amp; its depreciation in FY 23)</t>
  </si>
  <si>
    <t>Remaining non current Asset</t>
  </si>
  <si>
    <t>Data taken directly from BS sheet (Data section)</t>
  </si>
  <si>
    <t xml:space="preserve"> Amortisation</t>
  </si>
  <si>
    <t>Check for D&amp;A</t>
  </si>
  <si>
    <t>Depreciation &amp; Amortisation</t>
  </si>
  <si>
    <t>Check for Gross Capex</t>
  </si>
  <si>
    <t>Assumed 0</t>
  </si>
  <si>
    <t>Inventory Forecast</t>
  </si>
  <si>
    <t>Long Term borrowings</t>
  </si>
  <si>
    <t>Short Term Borrowing</t>
  </si>
  <si>
    <t>Total Borrowings</t>
  </si>
  <si>
    <t>Assumed to rise a 6% compound rate due to inflation</t>
  </si>
  <si>
    <t>Std deviation</t>
  </si>
  <si>
    <t>Interest/long term borrowing</t>
  </si>
  <si>
    <t>Interest/short term borrowing</t>
  </si>
  <si>
    <t>Interest/Total borrowing</t>
  </si>
  <si>
    <t>Interest/Sales</t>
  </si>
  <si>
    <t>Interest &amp; Other income forecast</t>
  </si>
  <si>
    <t>Other income/sales%</t>
  </si>
  <si>
    <t>Retained%</t>
  </si>
  <si>
    <t>Valuation Methodology</t>
  </si>
  <si>
    <t>In this methodology, we will value the company's stock using a Forward P/E ratio  (for the financial Year 24-25)</t>
  </si>
  <si>
    <t>In this methodology, we will value the company's stock using Discounted cash flow method of valuation</t>
  </si>
  <si>
    <t>Discounted Cash flows</t>
  </si>
  <si>
    <t>Forward P/E</t>
  </si>
  <si>
    <t>We will use 2 types of valuation methodologies in this model:</t>
  </si>
  <si>
    <t>Financial Modelling &amp; Valuation of Dabur India Ltd.</t>
  </si>
  <si>
    <t>INDEX</t>
  </si>
  <si>
    <t>Link</t>
  </si>
  <si>
    <t>Description</t>
  </si>
  <si>
    <t>SL NO</t>
  </si>
  <si>
    <t>Sheet Title</t>
  </si>
  <si>
    <t>Opening Page for Data Sources section</t>
  </si>
  <si>
    <t>BS</t>
  </si>
  <si>
    <t>DATA!A1</t>
  </si>
  <si>
    <t>This section of the model is divided in 5 Parts:</t>
  </si>
  <si>
    <t>P&amp;L</t>
  </si>
  <si>
    <t>Cash Flow</t>
  </si>
  <si>
    <t xml:space="preserve"> CAPEX </t>
  </si>
  <si>
    <t>Effect of other activities</t>
  </si>
  <si>
    <t>(Includes effect of disposal, forex chane etc)</t>
  </si>
  <si>
    <t>Data pointers</t>
  </si>
  <si>
    <t>Cash flow</t>
  </si>
  <si>
    <t>BS!A1</t>
  </si>
  <si>
    <t>P&amp;L'!A1</t>
  </si>
  <si>
    <t>Cash flow'!A1</t>
  </si>
  <si>
    <t>Data Pointers</t>
  </si>
  <si>
    <t>Data Pointers'!A1</t>
  </si>
  <si>
    <t>Description2</t>
  </si>
  <si>
    <t>Annual Reports</t>
  </si>
  <si>
    <t>Only annual reports are used as data source in the Data section</t>
  </si>
  <si>
    <t>2017-18</t>
  </si>
  <si>
    <t>2018-19</t>
  </si>
  <si>
    <t>2019-20</t>
  </si>
  <si>
    <t>2020-21</t>
  </si>
  <si>
    <t>2021-22</t>
  </si>
  <si>
    <t>2022-23</t>
  </si>
  <si>
    <t>dabur.com/sites/default/files/2021-07/3224-Dabur-AR-2017-18.pdf</t>
  </si>
  <si>
    <t>dabur.com/sites/default/files/2021-07/3227-Dabur-AR-2018-19.pdf</t>
  </si>
  <si>
    <t>dabur.com/sites/default/files/2021-07/3244-Dabur-IR-2019-20.pdf</t>
  </si>
  <si>
    <t>dabur.com/sites/default/files/2022-10/142394-Dabur-IR-2020-211.pdf</t>
  </si>
  <si>
    <t>3258-Dabur-AR-2021-22.pdf</t>
  </si>
  <si>
    <t>Annual Report.pdf (dabur.com)</t>
  </si>
  <si>
    <t>Data Sources</t>
  </si>
  <si>
    <t>This sheet contains links of original data</t>
  </si>
  <si>
    <t>Original balance sheet with important notes</t>
  </si>
  <si>
    <t>Original P&amp;L sheet with important notes</t>
  </si>
  <si>
    <t>Original cash flow sheet with important notes</t>
  </si>
  <si>
    <t>Important data pointers</t>
  </si>
  <si>
    <t>Diluted EPS</t>
  </si>
  <si>
    <t>Cost price</t>
  </si>
  <si>
    <t>Price is hardcoded</t>
  </si>
  <si>
    <t>Note</t>
  </si>
  <si>
    <t>We aim to estimate company valuation using median forward P/E that brokerage houses are willing to pay for share(They consider it as fair P/E)</t>
  </si>
  <si>
    <t>Street estimates</t>
  </si>
  <si>
    <t>Current Fwd P/E</t>
  </si>
  <si>
    <t>Target Fwd P/E</t>
  </si>
  <si>
    <t>Forward PE based valuation (FY 25)</t>
  </si>
  <si>
    <t>Upside%</t>
  </si>
  <si>
    <t>FY 25 P/E</t>
  </si>
  <si>
    <t>Upisde%</t>
  </si>
  <si>
    <t xml:space="preserve">Sensitivity Analyis </t>
  </si>
  <si>
    <t>Data source links'!A1</t>
  </si>
  <si>
    <t>Data Source links</t>
  </si>
  <si>
    <t>Primary data link</t>
  </si>
  <si>
    <t>FORECASTING</t>
  </si>
  <si>
    <t>Street est FY24</t>
  </si>
  <si>
    <t>Brokerage houses estimates of FY24</t>
  </si>
  <si>
    <t>Brokerage houses estimates of FY25</t>
  </si>
  <si>
    <t>Street est FY25</t>
  </si>
  <si>
    <t>Inventory</t>
  </si>
  <si>
    <t>TR &amp; TP</t>
  </si>
  <si>
    <t>Interest paid &amp; other income</t>
  </si>
  <si>
    <t>This section of the model deals with forecasting of major items/elements of P&amp;L &amp; Balance sheet</t>
  </si>
  <si>
    <t>Change scenarios here only</t>
  </si>
  <si>
    <t xml:space="preserve">We added NCI to common stock value as in this case, EV is being calculated for Enterprise multiples </t>
  </si>
  <si>
    <t>But since stock price only reflects company ownership and finances use consolidated method of accounting , we added NCI value to balance nominator and denominator</t>
  </si>
  <si>
    <t>Dividend per share</t>
  </si>
  <si>
    <t xml:space="preserve">We assumed investment as </t>
  </si>
  <si>
    <t>of Total equity &amp; liability and cash as difference</t>
  </si>
  <si>
    <t>Note 1</t>
  </si>
  <si>
    <t>Note 2</t>
  </si>
  <si>
    <t>Note 3</t>
  </si>
  <si>
    <t>Notes</t>
  </si>
  <si>
    <t>Cell with "Red" font color are harcoded</t>
  </si>
  <si>
    <t>Cell with "Purple" font color are formulas that used hardcoded numbers</t>
  </si>
  <si>
    <t>Cell with "Black" font color are formulas (without any hardcoded number)</t>
  </si>
  <si>
    <t>Tax rate assumed at 22.5 % , can be changed in KPI section by changing FY 24 value</t>
  </si>
  <si>
    <t>WACC</t>
  </si>
  <si>
    <t>Weighted Average Cost of Capital</t>
  </si>
  <si>
    <t>Risk Free Rate</t>
  </si>
  <si>
    <t>India 5 Yr Bond Yield</t>
  </si>
  <si>
    <t>Expected Return</t>
  </si>
  <si>
    <t>Market Premium</t>
  </si>
  <si>
    <t>Expected Market Return-Risk free return</t>
  </si>
  <si>
    <t>Variables</t>
  </si>
  <si>
    <t>Values</t>
  </si>
  <si>
    <t>Stock Beta</t>
  </si>
  <si>
    <r>
      <t>5 Yr Monthly Levered Beta (average)  ; Source:</t>
    </r>
    <r>
      <rPr>
        <b/>
        <sz val="11"/>
        <color theme="1"/>
        <rFont val="Calibri"/>
        <family val="2"/>
        <scheme val="minor"/>
      </rPr>
      <t>Moneycontrol.in</t>
    </r>
  </si>
  <si>
    <t>Cost of Equity</t>
  </si>
  <si>
    <t>Risk free rate * Market Premium * Stock Beta</t>
  </si>
  <si>
    <t>Interest Rate</t>
  </si>
  <si>
    <t>Note 4</t>
  </si>
  <si>
    <t>In EV calculation , we used book value of Debt due to non availibilty of data required to calculate market value of Debt</t>
  </si>
  <si>
    <t>Tax Rate</t>
  </si>
  <si>
    <t>Post Tax Cost of Debt</t>
  </si>
  <si>
    <t>Data taken from company annual report for FY22-23 (Page No :307)</t>
  </si>
  <si>
    <t>Market Value of Equity</t>
  </si>
  <si>
    <t>Stock Price taken as Rs 560 ; It is also known as Market Cap</t>
  </si>
  <si>
    <t>Book Value of Debt</t>
  </si>
  <si>
    <t>Weight of Equity</t>
  </si>
  <si>
    <t>Weight of Debt</t>
  </si>
  <si>
    <t>Interest Rate * (1-Tax%)</t>
  </si>
  <si>
    <t>FY23 interest Rate ; forecasted interest rate till FY 28</t>
  </si>
  <si>
    <t>Cost of equity * Weight of equity + Cost of Debt * Weight of Debt</t>
  </si>
  <si>
    <t>Taken from P&amp;L output sheet (different than cash flow sheet due to JV)</t>
  </si>
  <si>
    <t>Taken completely from P&amp;L(Output sheet)</t>
  </si>
  <si>
    <t>Include interest paid+finance costs ; Taken completely from P&amp;L(Output sheet)</t>
  </si>
  <si>
    <t>Taken from Cash Flow sheet till FY 23 and after that from P&amp;L (Output)</t>
  </si>
  <si>
    <t>Full amount of other income is assumed as interest income;Taken from Cash Flow sheet till FY 23 and after that from P&amp;L (Output)</t>
  </si>
  <si>
    <t>Assumed to remain 0 ; data before FY24 taken from Cash flow sheet</t>
  </si>
  <si>
    <t>Data taken from Operating section</t>
  </si>
  <si>
    <t>Data taken from operating section</t>
  </si>
  <si>
    <t xml:space="preserve">Used book value of debt </t>
  </si>
  <si>
    <t>(like disposal &amp; forex change)</t>
  </si>
  <si>
    <t>(Includes capex of PPE , intangible assets , investment asset)</t>
  </si>
  <si>
    <t>Assumed 0 capex</t>
  </si>
  <si>
    <t>This sheet will estimate value Of JV as of 31 March FY 23</t>
  </si>
  <si>
    <t>JV Valuation (in INR crore)</t>
  </si>
  <si>
    <t>Forum 1 Aviation pvt Ltd</t>
  </si>
  <si>
    <t>Book Value</t>
  </si>
  <si>
    <t>JV value per share (as EPS does not include JV value)</t>
  </si>
  <si>
    <t>Value taken from NCI value sheet</t>
  </si>
  <si>
    <t>Value taken from JV valuation sheet</t>
  </si>
  <si>
    <t>Actual Target Price</t>
  </si>
  <si>
    <t xml:space="preserve">*In Value column cells with value lower than Cost price are highlighted </t>
  </si>
  <si>
    <t>*In Upside% stocks with upside lowet than cost of equity (taken from WACC) sheet is highlighted</t>
  </si>
  <si>
    <t>NCI%</t>
  </si>
  <si>
    <t>DCF</t>
  </si>
  <si>
    <t>Discounted Cash Flow</t>
  </si>
  <si>
    <t>Note 5</t>
  </si>
  <si>
    <t>There is no actual error (but rather a software error/bug)</t>
  </si>
  <si>
    <t>Terminal Growth Rate</t>
  </si>
  <si>
    <t>After Other income &amp; Expenses</t>
  </si>
  <si>
    <t>Finance Cost</t>
  </si>
  <si>
    <t>In forecasted years Finance cost=interest paid</t>
  </si>
  <si>
    <t>Tax Rate%</t>
  </si>
  <si>
    <t>FCFF</t>
  </si>
  <si>
    <t>Discounting Period</t>
  </si>
  <si>
    <t>Discounting Rate</t>
  </si>
  <si>
    <t>Also known as Unlevered Cash flow</t>
  </si>
  <si>
    <t>Discounting Factor</t>
  </si>
  <si>
    <t>Terminal Value I</t>
  </si>
  <si>
    <t>Terminal Value II</t>
  </si>
  <si>
    <t>Uses Exit Multiple</t>
  </si>
  <si>
    <t>Uses Gordon Growth Method</t>
  </si>
  <si>
    <t>PV of Cash flows</t>
  </si>
  <si>
    <t>PV of Terminal Value I</t>
  </si>
  <si>
    <t>PV of Terminal Value II</t>
  </si>
  <si>
    <t>Enterprise Value</t>
  </si>
  <si>
    <t>Total PV of cash flows</t>
  </si>
  <si>
    <t>PV of Terminal value</t>
  </si>
  <si>
    <t>Total Debt</t>
  </si>
  <si>
    <t>Total Cash</t>
  </si>
  <si>
    <t>(as of FY 23)</t>
  </si>
  <si>
    <t>Equity Value</t>
  </si>
  <si>
    <t>Outstanding shares</t>
  </si>
  <si>
    <t>Price Per share</t>
  </si>
  <si>
    <t>Note 6</t>
  </si>
  <si>
    <t>*WACC is rounded off to 2 decimal places</t>
  </si>
  <si>
    <t>Exit Multiple (EV/EBITDA)</t>
  </si>
  <si>
    <t>Cost Price</t>
  </si>
  <si>
    <t>DCF Valuation (Gordon Growth Method)</t>
  </si>
  <si>
    <t>DCF Valuation (Using Exit Multiple)</t>
  </si>
  <si>
    <t>Upside</t>
  </si>
  <si>
    <t>Sensitivity Analysis I (Terminal Growth rate &amp; Discounting rate)</t>
  </si>
  <si>
    <t>TERMINAL</t>
  </si>
  <si>
    <t>GROWTH</t>
  </si>
  <si>
    <t>RATE%</t>
  </si>
  <si>
    <t>Discounting Rate%</t>
  </si>
  <si>
    <t>0 or negative values</t>
  </si>
  <si>
    <t>Profitable scenarios (Return&gt;0%)</t>
  </si>
  <si>
    <t>Percentage</t>
  </si>
  <si>
    <t>Absolute</t>
  </si>
  <si>
    <t>Sensitivity Analysis II (Exit Multiple &amp; Discounting rate)</t>
  </si>
  <si>
    <t>EXIT</t>
  </si>
  <si>
    <t>MULTIPLE</t>
  </si>
  <si>
    <t xml:space="preserve">Total assets and liabilities are rounded off to 2 decimal places </t>
  </si>
  <si>
    <t>Note 7</t>
  </si>
  <si>
    <t>Linkedin</t>
  </si>
  <si>
    <t>Street estimates-FY24'!A1</t>
  </si>
  <si>
    <t>Street estimates-FY25'!A1</t>
  </si>
  <si>
    <t>Revenue '!A1</t>
  </si>
  <si>
    <t>COGS!A1</t>
  </si>
  <si>
    <t>Inventory!A1</t>
  </si>
  <si>
    <t>OPEX!A1</t>
  </si>
  <si>
    <t>TR&amp;TP'!A1</t>
  </si>
  <si>
    <t>Fixed asset Schedule'!A1</t>
  </si>
  <si>
    <t>Interest paid &amp; Other income'!A1</t>
  </si>
  <si>
    <t>Forecasting</t>
  </si>
  <si>
    <t>Forecasting!A1</t>
  </si>
  <si>
    <t>Output</t>
  </si>
  <si>
    <t>BS Output</t>
  </si>
  <si>
    <t>P&amp;L Output</t>
  </si>
  <si>
    <t>Cash flow Output</t>
  </si>
  <si>
    <t>Valuation</t>
  </si>
  <si>
    <t>NCI Value</t>
  </si>
  <si>
    <t>JV Valuation</t>
  </si>
  <si>
    <t>Forward P/E valuation</t>
  </si>
  <si>
    <t>Output!A1</t>
  </si>
  <si>
    <t>BS(OUTPUT)'!A1</t>
  </si>
  <si>
    <t>P&amp;L(OUTPUT)'!A1</t>
  </si>
  <si>
    <t>CASH FLOW(OUTPUT)'!A1</t>
  </si>
  <si>
    <t>Ratio analysis'!A1</t>
  </si>
  <si>
    <t>Valuation!A1</t>
  </si>
  <si>
    <t>NCI value'!A1</t>
  </si>
  <si>
    <t>JV Valuation'!A1</t>
  </si>
  <si>
    <t>Forward PE valuation'!A1</t>
  </si>
  <si>
    <t>WACC!A1</t>
  </si>
  <si>
    <t>DCF!A1</t>
  </si>
  <si>
    <t>Revenue forecasting (for 3 different cases)</t>
  </si>
  <si>
    <t>COGS forecasting (for 3 different cases)</t>
  </si>
  <si>
    <t>OPEX forecasting (for 3 different cases)</t>
  </si>
  <si>
    <t>Used street estimates</t>
  </si>
  <si>
    <t>Inventory forecasting</t>
  </si>
  <si>
    <t>Used secondary researches &amp; industrial reports</t>
  </si>
  <si>
    <t>Used Inventory turnover ratio</t>
  </si>
  <si>
    <t>Used turnover ratio</t>
  </si>
  <si>
    <t>TR and TP forecasting</t>
  </si>
  <si>
    <t>Numerous ratios were used</t>
  </si>
  <si>
    <t>Capex , depreciation forecasting</t>
  </si>
  <si>
    <t>Interest paid and other income forecasting</t>
  </si>
  <si>
    <t>Using sales%</t>
  </si>
  <si>
    <t>In next two FY prices of raw material would stabilise or company would become more efficient to protect margins. By fy 28 Company would have higher pricing power due to its current spends in premium goods</t>
  </si>
  <si>
    <t>Forecasting sheet Link</t>
  </si>
  <si>
    <t>Sheets in this section</t>
  </si>
  <si>
    <t>Discounting Rate (WACC)</t>
  </si>
  <si>
    <t>BS(OUTPUT)</t>
  </si>
  <si>
    <t>*Data before FY24 taken from BS sheet</t>
  </si>
  <si>
    <t>Used fixed asset schedule</t>
  </si>
  <si>
    <t>Assumed to remain same</t>
  </si>
  <si>
    <t>Used fixed asset schedule sheet</t>
  </si>
  <si>
    <t>Used inventory forecasting sheet</t>
  </si>
  <si>
    <t>Used TR&amp;TP forecasting sheet</t>
  </si>
  <si>
    <t>Retained earnings are added in this row , Used P&amp;L Output sheet</t>
  </si>
  <si>
    <t>CWIP is assumed to remain same</t>
  </si>
  <si>
    <t>Goodwill is assumed to remain same</t>
  </si>
  <si>
    <t>Includes loan and other non current  financial assets (JV is excluded) ; assumed to remain same</t>
  </si>
  <si>
    <t>Includes deferred tax assets and net non current tax assets ; assumed to remain same</t>
  </si>
  <si>
    <t>Includes other non current assets and investment property ; other non current asset assumed to remain same</t>
  </si>
  <si>
    <t>Includes other current financial assets and loans ; Assumed to remain same</t>
  </si>
  <si>
    <t>Includes other current assets and assets held for sale ; assumed to remain same</t>
  </si>
  <si>
    <t>Includes provision and deferred tax liabilities ; Assumed to remain same</t>
  </si>
  <si>
    <t xml:space="preserve">includes provision, tax liabilities and other Current liabilities </t>
  </si>
  <si>
    <t>Final Balance sheet with forecasted values with additional data (to be used in ratio analysis) and extra notes</t>
  </si>
  <si>
    <t>P&amp;L(OUTPUT)</t>
  </si>
  <si>
    <t>*Data before FY24 taken from P&amp;L sheet</t>
  </si>
  <si>
    <t>Used Revenue forecasting sheet</t>
  </si>
  <si>
    <t>COGS=Cost of material consumed + change in inventory + purchase of stock in trade , Used COGS forecasting sheet</t>
  </si>
  <si>
    <t>Used interest paid &amp; other income forecasting sheet</t>
  </si>
  <si>
    <t>Used Opex forecasting sheet</t>
  </si>
  <si>
    <t xml:space="preserve">Diluted </t>
  </si>
  <si>
    <t>(Assuming dividend is paid only from non JV earning) , (Also present in ratio analysis sheet) , (Dividend yield rate assumed at 50% , can be changed in KPI section)</t>
  </si>
  <si>
    <t>Used BS(Output sheet)</t>
  </si>
  <si>
    <t>Used fixed asset schedule sheet for forecasting</t>
  </si>
  <si>
    <t>Data after FY23 is calculated using DPS , Used P&amp;L(OUTPUT) sheet</t>
  </si>
  <si>
    <t>Final Income statement with forecasted values , KPIs and additional data</t>
  </si>
  <si>
    <t>CASH FLOW(OUTPUT)</t>
  </si>
  <si>
    <t>Final Cash flow statement with forecasted values and additionall data</t>
  </si>
  <si>
    <t>Uses data from three forecasted statements for purpose of ratio analysis/study</t>
  </si>
  <si>
    <t>Value attributable to NCI (as EPS includes Income owned by NCI-Consolidation accounting)</t>
  </si>
  <si>
    <t>For valuation of minority interests of third party investors in Company's partially owned subsiadry</t>
  </si>
  <si>
    <t>JV Value</t>
  </si>
  <si>
    <t>For valuation of company's JV</t>
  </si>
  <si>
    <t>Value attributable to NCIs</t>
  </si>
  <si>
    <t>JV value</t>
  </si>
  <si>
    <t>Final Value</t>
  </si>
  <si>
    <t>Data taken from Fwd PE valuation sheet</t>
  </si>
  <si>
    <t>Forward PE valuation</t>
  </si>
  <si>
    <t>Stock valuation using forward PE method</t>
  </si>
  <si>
    <t>Calculation of weighted average cost of capital</t>
  </si>
  <si>
    <t>Stock valuation using DCF method</t>
  </si>
  <si>
    <t>Used cash flow sheet</t>
  </si>
  <si>
    <t>Investment= Total equity &amp; liabilities - Total assets except investments</t>
  </si>
  <si>
    <t xml:space="preserve">Sensex CAGR since 2003 </t>
  </si>
  <si>
    <t>Opening Page for Forecasting section</t>
  </si>
  <si>
    <t>Opening page for output section</t>
  </si>
  <si>
    <t>Final B/S with forecasted values</t>
  </si>
  <si>
    <t>Final cash flow statement with forecasted values</t>
  </si>
  <si>
    <t>Final P&amp;L statement with forecasted values</t>
  </si>
  <si>
    <t>Ratio analysis using three statement model</t>
  </si>
  <si>
    <t>Opening page for Valuation section</t>
  </si>
  <si>
    <t>NCI valuation</t>
  </si>
  <si>
    <t>JV valuation</t>
  </si>
  <si>
    <t>Fwd PE stock valuation</t>
  </si>
  <si>
    <t>WACC calculation</t>
  </si>
  <si>
    <t>DCF valuation</t>
  </si>
  <si>
    <t>This report was made for for academic purpose. One should not use this model to make investment decision.</t>
  </si>
  <si>
    <t>VALUATION</t>
  </si>
  <si>
    <t>Net Revenue</t>
  </si>
  <si>
    <t>Growth rate</t>
  </si>
  <si>
    <t>Forecasted</t>
  </si>
  <si>
    <t>Year</t>
  </si>
  <si>
    <t>FY 24</t>
  </si>
  <si>
    <t>Overall</t>
  </si>
  <si>
    <t>Breakup Of Opeating revenue</t>
  </si>
  <si>
    <t>Total Operating revenue</t>
  </si>
  <si>
    <t>Op Revenue Breakdown</t>
  </si>
  <si>
    <t>GP</t>
  </si>
  <si>
    <t>Employee exp</t>
  </si>
  <si>
    <t>Ad spends</t>
  </si>
  <si>
    <t>Other costs</t>
  </si>
  <si>
    <t>PBT before other income</t>
  </si>
  <si>
    <t>Net Other income</t>
  </si>
  <si>
    <t>Margins</t>
  </si>
  <si>
    <t>Finance Cost%</t>
  </si>
  <si>
    <t>PBT before other income%</t>
  </si>
  <si>
    <t>Net Other income%</t>
  </si>
  <si>
    <t>Growth Rates%</t>
  </si>
  <si>
    <t>GRAPHS</t>
  </si>
  <si>
    <t>click here to directly go to graphs</t>
  </si>
  <si>
    <t>OPEX BREAKDOWN</t>
  </si>
  <si>
    <t>Revenue breakdown</t>
  </si>
  <si>
    <t>Balance Sheet</t>
  </si>
  <si>
    <t>FY 24 F</t>
  </si>
  <si>
    <t>FY 25 F</t>
  </si>
  <si>
    <t>FY 26 F</t>
  </si>
  <si>
    <t>FY 27 F</t>
  </si>
  <si>
    <t>FY 28 F</t>
  </si>
  <si>
    <t>Total Assets</t>
  </si>
  <si>
    <t>Total Liabilities</t>
  </si>
  <si>
    <t>Total Equity</t>
  </si>
  <si>
    <t>Growth rates%</t>
  </si>
  <si>
    <t>Total Balance sheet size</t>
  </si>
  <si>
    <t>Ratio Analysis</t>
  </si>
  <si>
    <t>Year/Ratio</t>
  </si>
  <si>
    <t>Graphs</t>
  </si>
  <si>
    <t>This section includes graphs and visuals to highlight financial trends for the year FY 22-23</t>
  </si>
  <si>
    <t>The section includes</t>
  </si>
  <si>
    <t xml:space="preserve">Revenue </t>
  </si>
  <si>
    <t>Profit</t>
  </si>
  <si>
    <t>Balance sheet</t>
  </si>
  <si>
    <t>Returns</t>
  </si>
  <si>
    <t>Revenue!A1</t>
  </si>
  <si>
    <t>Profit!A1</t>
  </si>
  <si>
    <t>Balance sheet'!A1</t>
  </si>
  <si>
    <t>Returns!A1</t>
  </si>
  <si>
    <t>Revenue related graphs</t>
  </si>
  <si>
    <t>Profit related graphs</t>
  </si>
  <si>
    <t>Balance Sheet related graphs</t>
  </si>
  <si>
    <t>Returns related graphs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</si>
</sst>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F800]dddd\,\ mmmm\ dd\,\ yyyy"/>
    <numFmt numFmtId="165" formatCode="#,##0;\(#,##0\)"/>
    <numFmt numFmtId="166" formatCode="#,##0.00;\(#,##0.00\)"/>
    <numFmt numFmtId="167" formatCode="#,##0.00;\(#,##0\)"/>
    <numFmt numFmtId="168" formatCode="0.00%;\(0.00%\)"/>
    <numFmt numFmtId="169" formatCode="#,##0.00;\(#,##0.00\);\-"/>
    <numFmt numFmtId="170" formatCode="0.00\x"/>
    <numFmt numFmtId="171" formatCode="#,##0.00\x;\(#,##0.00\)"/>
    <numFmt numFmtId="172" formatCode="#,##0;\(#,##0.00\)"/>
    <numFmt numFmtId="173" formatCode="#,##0.00%"/>
    <numFmt numFmtId="174" formatCode="#,##0.00000000000000"/>
    <numFmt numFmtId="175" formatCode="#,##0.0000000000000"/>
    <numFmt numFmtId="176" formatCode="#,##0.00;\(#,##0.00"/>
    <numFmt numFmtId="177" formatCode="#,##0.000;\(#,##0.000"/>
    <numFmt numFmtId="178" formatCode="0.00\X"/>
    <numFmt numFmtId="179" formatCode="#,##0.0000"/>
  </numFmts>
  <fonts count="55">
    <font>
      <sz val="11"/>
      <color theme="1"/>
      <name val="Calibri"/>
      <family val="2"/>
      <scheme val="minor"/>
    </font>
    <font>
      <sz val="12"/>
      <color theme="1"/>
      <name val="Calibri "/>
    </font>
    <font>
      <b/>
      <sz val="12"/>
      <color theme="1"/>
      <name val="Calibri "/>
    </font>
    <font>
      <b/>
      <vertAlign val="superscript"/>
      <sz val="12"/>
      <color theme="1"/>
      <name val="Calibri "/>
    </font>
    <font>
      <b/>
      <sz val="18"/>
      <color theme="1"/>
      <name val="Calibri "/>
    </font>
    <font>
      <sz val="12"/>
      <color theme="0"/>
      <name val="Calibri "/>
    </font>
    <font>
      <sz val="12"/>
      <color rgb="FFFF0000"/>
      <name val="Calibri "/>
    </font>
    <font>
      <sz val="10"/>
      <color theme="1"/>
      <name val="Calibri "/>
    </font>
    <font>
      <b/>
      <sz val="12"/>
      <color theme="0"/>
      <name val="Calibri "/>
    </font>
    <font>
      <sz val="60"/>
      <color theme="8" tint="-0.499984740745262"/>
      <name val="Calibri "/>
    </font>
    <font>
      <sz val="12"/>
      <color theme="8" tint="-0.499984740745262"/>
      <name val="Calibri "/>
    </font>
    <font>
      <sz val="8"/>
      <name val="Calibri"/>
      <family val="2"/>
      <scheme val="minor"/>
    </font>
    <font>
      <u/>
      <sz val="11"/>
      <color theme="10"/>
      <name val="Calibri"/>
      <family val="2"/>
      <scheme val="minor"/>
    </font>
    <font>
      <b/>
      <sz val="11"/>
      <color theme="1"/>
      <name val="Calibri"/>
      <family val="2"/>
      <scheme val="minor"/>
    </font>
    <font>
      <b/>
      <sz val="12"/>
      <color theme="2" tint="-0.499984740745262"/>
      <name val="Calibri "/>
    </font>
    <font>
      <sz val="12"/>
      <color theme="2" tint="-0.499984740745262"/>
      <name val="Calibri "/>
    </font>
    <font>
      <b/>
      <sz val="12"/>
      <color rgb="FFFF0000"/>
      <name val="Calibri "/>
    </font>
    <font>
      <sz val="12"/>
      <color theme="1"/>
      <name val="Calibri Light"/>
      <family val="2"/>
      <scheme val="major"/>
    </font>
    <font>
      <sz val="23"/>
      <color rgb="FFFF0000"/>
      <name val="Calibri "/>
    </font>
    <font>
      <sz val="12"/>
      <color theme="2"/>
      <name val="Calibri "/>
    </font>
    <font>
      <sz val="12"/>
      <color theme="1" tint="0.499984740745262"/>
      <name val="Calibri "/>
    </font>
    <font>
      <i/>
      <sz val="12"/>
      <color theme="3"/>
      <name val="Calibri "/>
    </font>
    <font>
      <sz val="12"/>
      <color rgb="FF002060"/>
      <name val="Calibri "/>
    </font>
    <font>
      <sz val="11"/>
      <color theme="0"/>
      <name val="Calibri"/>
      <family val="2"/>
      <scheme val="minor"/>
    </font>
    <font>
      <sz val="12"/>
      <color rgb="FF7030A0"/>
      <name val="Calibri "/>
    </font>
    <font>
      <b/>
      <sz val="12"/>
      <color indexed="8"/>
      <name val="Calibri "/>
    </font>
    <font>
      <b/>
      <i/>
      <sz val="12"/>
      <color theme="3"/>
      <name val="Calibri "/>
    </font>
    <font>
      <b/>
      <sz val="12"/>
      <color rgb="FF002060"/>
      <name val="Calibri "/>
    </font>
    <font>
      <i/>
      <sz val="12"/>
      <color rgb="FF002060"/>
      <name val="Calibri "/>
    </font>
    <font>
      <b/>
      <sz val="12"/>
      <color rgb="FF7030A0"/>
      <name val="Calibri "/>
    </font>
    <font>
      <b/>
      <sz val="34"/>
      <color theme="1"/>
      <name val="Calibri "/>
    </font>
    <font>
      <b/>
      <sz val="12"/>
      <color theme="1"/>
      <name val="Calibri"/>
      <family val="2"/>
      <scheme val="minor"/>
    </font>
    <font>
      <sz val="34"/>
      <color theme="8" tint="-0.499984740745262"/>
      <name val="Calibri "/>
    </font>
    <font>
      <sz val="34"/>
      <color theme="1"/>
      <name val="Calibri "/>
    </font>
    <font>
      <sz val="12"/>
      <color theme="1"/>
      <name val="Calibri"/>
      <family val="2"/>
      <scheme val="minor"/>
    </font>
    <font>
      <b/>
      <sz val="34"/>
      <color rgb="FF002060"/>
      <name val="Calibri "/>
    </font>
    <font>
      <b/>
      <sz val="16"/>
      <color rgb="FFFF0000"/>
      <name val="Calibri "/>
    </font>
    <font>
      <b/>
      <sz val="34"/>
      <color rgb="FF002060"/>
      <name val="Calibri"/>
      <family val="2"/>
      <scheme val="minor"/>
    </font>
    <font>
      <b/>
      <sz val="11"/>
      <color theme="2"/>
      <name val="Calibri"/>
      <family val="2"/>
      <scheme val="minor"/>
    </font>
    <font>
      <sz val="11"/>
      <color rgb="FFFF0000"/>
      <name val="Calibri"/>
      <family val="2"/>
      <scheme val="minor"/>
    </font>
    <font>
      <sz val="12"/>
      <color rgb="FFFF0000"/>
      <name val="Calibri"/>
      <family val="2"/>
      <scheme val="minor"/>
    </font>
    <font>
      <sz val="15"/>
      <color theme="1"/>
      <name val="Calibri"/>
      <family val="2"/>
      <scheme val="minor"/>
    </font>
    <font>
      <b/>
      <sz val="16"/>
      <color theme="1"/>
      <name val="Calibri"/>
      <family val="2"/>
      <scheme val="minor"/>
    </font>
    <font>
      <b/>
      <sz val="16"/>
      <color theme="1"/>
      <name val="Calibri "/>
    </font>
    <font>
      <sz val="16"/>
      <color theme="1"/>
      <name val="Calibri "/>
    </font>
    <font>
      <b/>
      <sz val="14"/>
      <color theme="1"/>
      <name val="Calibri"/>
      <family val="2"/>
      <scheme val="minor"/>
    </font>
    <font>
      <u/>
      <sz val="12"/>
      <color theme="10"/>
      <name val="Calibri"/>
      <family val="2"/>
      <scheme val="minor"/>
    </font>
    <font>
      <u/>
      <sz val="18"/>
      <color theme="10"/>
      <name val="Calibri"/>
      <family val="2"/>
      <scheme val="minor"/>
    </font>
    <font>
      <sz val="14"/>
      <color theme="1"/>
      <name val="Calibri "/>
    </font>
    <font>
      <b/>
      <sz val="18"/>
      <color rgb="FF002060"/>
      <name val="Calibri "/>
    </font>
    <font>
      <b/>
      <sz val="11"/>
      <color theme="0"/>
      <name val="Calibri"/>
      <family val="2"/>
      <scheme val="minor"/>
    </font>
    <font>
      <i/>
      <sz val="11"/>
      <color theme="2" tint="-0.749992370372631"/>
      <name val="Calibri"/>
      <family val="2"/>
      <scheme val="minor"/>
    </font>
    <font>
      <sz val="11"/>
      <color theme="1"/>
      <name val="Calibri "/>
    </font>
    <font>
      <b/>
      <sz val="11"/>
      <color theme="1"/>
      <name val="Calibri "/>
    </font>
    <font>
      <sz val="16"/>
      <color theme="0"/>
      <name val="Calibri"/>
      <family val="2"/>
      <scheme val="minor"/>
    </font>
  </fonts>
  <fills count="13">
    <fill>
      <patternFill patternType="none"/>
    </fill>
    <fill>
      <patternFill patternType="gray125"/>
    </fill>
    <fill>
      <patternFill patternType="solid">
        <fgColor theme="8" tint="-0.499984740745262"/>
        <bgColor indexed="64"/>
      </patternFill>
    </fill>
    <fill>
      <patternFill patternType="solid">
        <fgColor rgb="FFFFFF00"/>
        <bgColor indexed="64"/>
      </patternFill>
    </fill>
    <fill>
      <patternFill patternType="solid">
        <fgColor rgb="FF002060"/>
        <bgColor indexed="64"/>
      </patternFill>
    </fill>
    <fill>
      <patternFill patternType="solid">
        <fgColor theme="0"/>
        <bgColor indexed="64"/>
      </patternFill>
    </fill>
    <fill>
      <patternFill patternType="solid">
        <fgColor rgb="FF7030A0"/>
        <bgColor indexed="64"/>
      </patternFill>
    </fill>
    <fill>
      <patternFill patternType="solid">
        <fgColor theme="1"/>
        <bgColor indexed="64"/>
      </patternFill>
    </fill>
    <fill>
      <patternFill patternType="solid">
        <fgColor rgb="FF92D050"/>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00B050"/>
        <bgColor indexed="64"/>
      </patternFill>
    </fill>
    <fill>
      <patternFill patternType="solid">
        <fgColor theme="1"/>
        <bgColor theme="1"/>
      </patternFill>
    </fill>
  </fills>
  <borders count="41">
    <border>
      <left/>
      <right/>
      <top/>
      <bottom/>
      <diagonal/>
    </border>
    <border>
      <left/>
      <right/>
      <top style="thin">
        <color indexed="64"/>
      </top>
      <bottom style="thin">
        <color indexed="64"/>
      </bottom>
      <diagonal/>
    </border>
    <border>
      <left/>
      <right/>
      <top/>
      <bottom style="thin">
        <color indexed="64"/>
      </bottom>
      <diagonal/>
    </border>
    <border>
      <left/>
      <right/>
      <top style="double">
        <color indexed="64"/>
      </top>
      <bottom style="double">
        <color indexed="64"/>
      </bottom>
      <diagonal/>
    </border>
    <border>
      <left/>
      <right/>
      <top/>
      <bottom style="double">
        <color indexed="64"/>
      </bottom>
      <diagonal/>
    </border>
    <border>
      <left/>
      <right/>
      <top style="thin">
        <color theme="1"/>
      </top>
      <bottom style="thin">
        <color theme="1"/>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medium">
        <color rgb="FFFF0000"/>
      </left>
      <right style="medium">
        <color rgb="FFFF0000"/>
      </right>
      <top style="medium">
        <color rgb="FFFF0000"/>
      </top>
      <bottom style="medium">
        <color rgb="FFFF0000"/>
      </bottom>
      <diagonal/>
    </border>
    <border>
      <left/>
      <right style="thin">
        <color theme="1"/>
      </right>
      <top/>
      <bottom/>
      <diagonal/>
    </border>
    <border>
      <left/>
      <right style="thin">
        <color theme="1"/>
      </right>
      <top style="thin">
        <color theme="1"/>
      </top>
      <bottom style="thin">
        <color theme="1"/>
      </bottom>
      <diagonal/>
    </border>
    <border>
      <left/>
      <right style="thin">
        <color theme="1"/>
      </right>
      <top/>
      <bottom style="thin">
        <color theme="1"/>
      </bottom>
      <diagonal/>
    </border>
    <border>
      <left style="thin">
        <color indexed="64"/>
      </left>
      <right/>
      <top style="thin">
        <color indexed="64"/>
      </top>
      <bottom/>
      <diagonal/>
    </border>
    <border>
      <left style="thin">
        <color indexed="64"/>
      </left>
      <right/>
      <top/>
      <bottom style="thin">
        <color indexed="64"/>
      </bottom>
      <diagonal/>
    </border>
    <border>
      <left/>
      <right/>
      <top style="thin">
        <color rgb="FF002060"/>
      </top>
      <bottom style="thin">
        <color rgb="FF002060"/>
      </bottom>
      <diagonal/>
    </border>
    <border>
      <left/>
      <right style="thin">
        <color rgb="FF002060"/>
      </right>
      <top/>
      <bottom/>
      <diagonal/>
    </border>
    <border>
      <left/>
      <right style="thin">
        <color rgb="FF002060"/>
      </right>
      <top style="thin">
        <color rgb="FF002060"/>
      </top>
      <bottom style="thin">
        <color rgb="FF002060"/>
      </bottom>
      <diagonal/>
    </border>
    <border>
      <left/>
      <right style="thin">
        <color indexed="64"/>
      </right>
      <top/>
      <bottom style="double">
        <color indexed="64"/>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right style="thin">
        <color theme="2"/>
      </right>
      <top/>
      <bottom/>
      <diagonal/>
    </border>
    <border>
      <left style="thin">
        <color rgb="FFFF0000"/>
      </left>
      <right style="thin">
        <color rgb="FFFF0000"/>
      </right>
      <top style="thin">
        <color rgb="FFFF0000"/>
      </top>
      <bottom style="thin">
        <color rgb="FFFF0000"/>
      </bottom>
      <diagonal/>
    </border>
    <border>
      <left/>
      <right/>
      <top style="thin">
        <color theme="1"/>
      </top>
      <bottom/>
      <diagonal/>
    </border>
    <border>
      <left style="thin">
        <color theme="1"/>
      </left>
      <right style="thin">
        <color theme="2"/>
      </right>
      <top style="thin">
        <color theme="1"/>
      </top>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right style="mediumDashed">
        <color rgb="FFFF0000"/>
      </right>
      <top/>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s>
  <cellStyleXfs count="3">
    <xf numFmtId="0" fontId="0" fillId="0" borderId="0"/>
    <xf numFmtId="0" fontId="13" fillId="0" borderId="0" applyNumberFormat="0" applyFill="0" applyBorder="0" applyAlignment="0" applyProtection="0"/>
    <xf numFmtId="0" fontId="12" fillId="0" borderId="0" applyNumberFormat="0" applyFill="0" applyBorder="0" applyAlignment="0" applyProtection="0"/>
  </cellStyleXfs>
  <cellXfs count="517">
    <xf numFmtId="0" fontId="0" fillId="0" borderId="0" xfId="0"/>
    <xf numFmtId="0" fontId="1" fillId="0" borderId="13" xfId="0" applyFont="1" applyBorder="1" applyAlignment="1">
      <alignment horizontal="center"/>
    </xf>
    <xf numFmtId="0" fontId="1" fillId="0" borderId="0" xfId="0" applyFont="1"/>
    <xf numFmtId="0" fontId="2" fillId="0" borderId="0" xfId="0" applyFont="1"/>
    <xf numFmtId="4" fontId="1" fillId="0" borderId="0" xfId="0" applyNumberFormat="1" applyFont="1"/>
    <xf numFmtId="14" fontId="1" fillId="0" borderId="0" xfId="0" applyNumberFormat="1" applyFont="1"/>
    <xf numFmtId="164" fontId="1" fillId="0" borderId="0" xfId="0" applyNumberFormat="1" applyFont="1"/>
    <xf numFmtId="4" fontId="1" fillId="0" borderId="0" xfId="0" applyNumberFormat="1" applyFont="1" applyAlignment="1">
      <alignment horizontal="right"/>
    </xf>
    <xf numFmtId="10" fontId="1" fillId="0" borderId="0" xfId="0" applyNumberFormat="1" applyFont="1"/>
    <xf numFmtId="0" fontId="4" fillId="0" borderId="0" xfId="0" applyFont="1"/>
    <xf numFmtId="165" fontId="1" fillId="0" borderId="0" xfId="0" applyNumberFormat="1" applyFont="1"/>
    <xf numFmtId="166" fontId="1" fillId="0" borderId="0" xfId="0" applyNumberFormat="1" applyFont="1"/>
    <xf numFmtId="0" fontId="2" fillId="0" borderId="1" xfId="0" applyFont="1" applyBorder="1"/>
    <xf numFmtId="0" fontId="1" fillId="0" borderId="1" xfId="0" applyFont="1" applyBorder="1"/>
    <xf numFmtId="166" fontId="1" fillId="0" borderId="1" xfId="0" applyNumberFormat="1" applyFont="1" applyBorder="1"/>
    <xf numFmtId="166" fontId="6" fillId="0" borderId="0" xfId="0" applyNumberFormat="1" applyFont="1"/>
    <xf numFmtId="165" fontId="6" fillId="0" borderId="0" xfId="0" applyNumberFormat="1" applyFont="1"/>
    <xf numFmtId="0" fontId="1" fillId="0" borderId="2" xfId="0" applyFont="1" applyBorder="1"/>
    <xf numFmtId="166" fontId="6" fillId="0" borderId="2" xfId="0" applyNumberFormat="1" applyFont="1" applyBorder="1"/>
    <xf numFmtId="166" fontId="1" fillId="0" borderId="2" xfId="0" applyNumberFormat="1" applyFont="1" applyBorder="1"/>
    <xf numFmtId="165" fontId="1" fillId="0" borderId="2" xfId="0" applyNumberFormat="1" applyFont="1" applyBorder="1"/>
    <xf numFmtId="165" fontId="2" fillId="0" borderId="0" xfId="0" applyNumberFormat="1" applyFont="1"/>
    <xf numFmtId="167" fontId="1" fillId="0" borderId="0" xfId="0" applyNumberFormat="1" applyFont="1"/>
    <xf numFmtId="0" fontId="7" fillId="0" borderId="0" xfId="0" applyFont="1"/>
    <xf numFmtId="167" fontId="1" fillId="0" borderId="2" xfId="0" applyNumberFormat="1" applyFont="1" applyBorder="1"/>
    <xf numFmtId="167" fontId="2" fillId="0" borderId="2" xfId="0" applyNumberFormat="1" applyFont="1" applyBorder="1"/>
    <xf numFmtId="167" fontId="6" fillId="0" borderId="0" xfId="0" applyNumberFormat="1" applyFont="1"/>
    <xf numFmtId="0" fontId="1" fillId="3" borderId="0" xfId="0" applyFont="1" applyFill="1"/>
    <xf numFmtId="166" fontId="1" fillId="3" borderId="0" xfId="0" applyNumberFormat="1" applyFont="1" applyFill="1" applyAlignment="1">
      <alignment horizontal="center"/>
    </xf>
    <xf numFmtId="0" fontId="1" fillId="3" borderId="0" xfId="0" applyFont="1" applyFill="1" applyAlignment="1">
      <alignment horizontal="center"/>
    </xf>
    <xf numFmtId="167" fontId="1" fillId="3" borderId="0" xfId="0" applyNumberFormat="1" applyFont="1" applyFill="1" applyAlignment="1">
      <alignment horizontal="center"/>
    </xf>
    <xf numFmtId="166" fontId="2" fillId="0" borderId="1" xfId="0" applyNumberFormat="1" applyFont="1" applyBorder="1"/>
    <xf numFmtId="0" fontId="2" fillId="0" borderId="3" xfId="0" applyFont="1" applyBorder="1"/>
    <xf numFmtId="0" fontId="1" fillId="0" borderId="3" xfId="0" applyFont="1" applyBorder="1"/>
    <xf numFmtId="166" fontId="2" fillId="0" borderId="3" xfId="0" applyNumberFormat="1" applyFont="1" applyBorder="1"/>
    <xf numFmtId="165" fontId="1" fillId="3" borderId="0" xfId="0" applyNumberFormat="1" applyFont="1" applyFill="1" applyAlignment="1">
      <alignment horizontal="center"/>
    </xf>
    <xf numFmtId="0" fontId="5" fillId="4" borderId="0" xfId="0" applyFont="1" applyFill="1"/>
    <xf numFmtId="0" fontId="6" fillId="0" borderId="0" xfId="0" applyFont="1"/>
    <xf numFmtId="14" fontId="5" fillId="4" borderId="0" xfId="0" applyNumberFormat="1" applyFont="1" applyFill="1"/>
    <xf numFmtId="165" fontId="1" fillId="5" borderId="0" xfId="0" applyNumberFormat="1" applyFont="1" applyFill="1"/>
    <xf numFmtId="165" fontId="2" fillId="5" borderId="0" xfId="0" applyNumberFormat="1" applyFont="1" applyFill="1" applyAlignment="1">
      <alignment horizontal="center"/>
    </xf>
    <xf numFmtId="14" fontId="1" fillId="5" borderId="0" xfId="0" applyNumberFormat="1" applyFont="1" applyFill="1"/>
    <xf numFmtId="14" fontId="2" fillId="5" borderId="0" xfId="0" applyNumberFormat="1" applyFont="1" applyFill="1" applyAlignment="1">
      <alignment horizontal="center"/>
    </xf>
    <xf numFmtId="0" fontId="8" fillId="4" borderId="0" xfId="0" applyFont="1" applyFill="1"/>
    <xf numFmtId="166" fontId="6" fillId="0" borderId="1" xfId="0" applyNumberFormat="1" applyFont="1" applyBorder="1"/>
    <xf numFmtId="2" fontId="1" fillId="0" borderId="0" xfId="0" applyNumberFormat="1" applyFont="1"/>
    <xf numFmtId="0" fontId="1" fillId="0" borderId="4" xfId="0" applyFont="1" applyBorder="1"/>
    <xf numFmtId="167" fontId="2" fillId="0" borderId="0" xfId="0" applyNumberFormat="1" applyFont="1"/>
    <xf numFmtId="167" fontId="2" fillId="0" borderId="1" xfId="0" applyNumberFormat="1" applyFont="1" applyBorder="1"/>
    <xf numFmtId="167" fontId="1" fillId="0" borderId="1" xfId="0" applyNumberFormat="1" applyFont="1" applyBorder="1"/>
    <xf numFmtId="167" fontId="1" fillId="0" borderId="3" xfId="0" applyNumberFormat="1" applyFont="1" applyBorder="1"/>
    <xf numFmtId="167" fontId="2" fillId="0" borderId="3" xfId="0" applyNumberFormat="1" applyFont="1" applyBorder="1"/>
    <xf numFmtId="0" fontId="1" fillId="3" borderId="0" xfId="0" applyFont="1" applyFill="1" applyAlignment="1">
      <alignment horizontal="center" vertical="center"/>
    </xf>
    <xf numFmtId="165" fontId="1" fillId="0" borderId="0" xfId="0" applyNumberFormat="1" applyFont="1" applyAlignment="1">
      <alignment vertical="center"/>
    </xf>
    <xf numFmtId="166" fontId="6" fillId="0" borderId="0" xfId="0" applyNumberFormat="1" applyFont="1" applyAlignment="1">
      <alignment vertical="center"/>
    </xf>
    <xf numFmtId="166" fontId="6" fillId="5" borderId="0" xfId="0" applyNumberFormat="1" applyFont="1" applyFill="1" applyAlignment="1">
      <alignment vertical="center"/>
    </xf>
    <xf numFmtId="166" fontId="2" fillId="5" borderId="0" xfId="0" applyNumberFormat="1" applyFont="1" applyFill="1"/>
    <xf numFmtId="165" fontId="2" fillId="5" borderId="0" xfId="0" applyNumberFormat="1" applyFont="1" applyFill="1"/>
    <xf numFmtId="166" fontId="6" fillId="5" borderId="0" xfId="0" applyNumberFormat="1" applyFont="1" applyFill="1"/>
    <xf numFmtId="0" fontId="1" fillId="5" borderId="0" xfId="0" applyFont="1" applyFill="1"/>
    <xf numFmtId="165" fontId="1" fillId="5" borderId="0" xfId="0" applyNumberFormat="1" applyFont="1" applyFill="1" applyAlignment="1">
      <alignment horizontal="center"/>
    </xf>
    <xf numFmtId="167" fontId="1" fillId="5" borderId="0" xfId="0" applyNumberFormat="1" applyFont="1" applyFill="1"/>
    <xf numFmtId="166" fontId="1" fillId="5" borderId="0" xfId="0" applyNumberFormat="1" applyFont="1" applyFill="1"/>
    <xf numFmtId="166" fontId="1" fillId="5" borderId="0" xfId="0" applyNumberFormat="1" applyFont="1" applyFill="1" applyAlignment="1">
      <alignment horizontal="center"/>
    </xf>
    <xf numFmtId="0" fontId="1" fillId="5" borderId="0" xfId="0" applyFont="1" applyFill="1" applyAlignment="1">
      <alignment horizontal="center"/>
    </xf>
    <xf numFmtId="0" fontId="9" fillId="0" borderId="0" xfId="0" applyFont="1"/>
    <xf numFmtId="0" fontId="10" fillId="0" borderId="0" xfId="0" applyFont="1"/>
    <xf numFmtId="167" fontId="1" fillId="0" borderId="4" xfId="0" applyNumberFormat="1" applyFont="1" applyBorder="1"/>
    <xf numFmtId="166" fontId="2" fillId="0" borderId="2" xfId="0" applyNumberFormat="1" applyFont="1" applyBorder="1"/>
    <xf numFmtId="10" fontId="1" fillId="0" borderId="1" xfId="0" applyNumberFormat="1" applyFont="1" applyBorder="1"/>
    <xf numFmtId="10" fontId="2" fillId="0" borderId="3" xfId="0" applyNumberFormat="1" applyFont="1" applyBorder="1"/>
    <xf numFmtId="10" fontId="2" fillId="0" borderId="1" xfId="0" applyNumberFormat="1" applyFont="1" applyBorder="1"/>
    <xf numFmtId="10" fontId="1" fillId="5" borderId="0" xfId="0" applyNumberFormat="1" applyFont="1" applyFill="1"/>
    <xf numFmtId="166" fontId="2" fillId="0" borderId="0" xfId="0" applyNumberFormat="1" applyFont="1"/>
    <xf numFmtId="2" fontId="1" fillId="5" borderId="0" xfId="0" applyNumberFormat="1" applyFont="1" applyFill="1"/>
    <xf numFmtId="168" fontId="1" fillId="0" borderId="0" xfId="0" applyNumberFormat="1" applyFont="1"/>
    <xf numFmtId="168" fontId="1" fillId="0" borderId="1" xfId="0" applyNumberFormat="1" applyFont="1" applyBorder="1"/>
    <xf numFmtId="0" fontId="5" fillId="4" borderId="0" xfId="0" applyFont="1" applyFill="1" applyAlignment="1">
      <alignment horizontal="right" vertical="center"/>
    </xf>
    <xf numFmtId="0" fontId="5" fillId="4" borderId="0" xfId="0" applyFont="1" applyFill="1" applyAlignment="1">
      <alignment horizontal="right"/>
    </xf>
    <xf numFmtId="165" fontId="12" fillId="0" borderId="0" xfId="2" applyNumberFormat="1"/>
    <xf numFmtId="0" fontId="13" fillId="0" borderId="0" xfId="1"/>
    <xf numFmtId="0" fontId="2" fillId="0" borderId="2" xfId="0" applyFont="1" applyBorder="1"/>
    <xf numFmtId="10" fontId="1" fillId="0" borderId="2" xfId="0" applyNumberFormat="1" applyFont="1" applyBorder="1"/>
    <xf numFmtId="0" fontId="2" fillId="0" borderId="0" xfId="0" applyFont="1" applyAlignment="1">
      <alignment horizontal="left" vertical="top"/>
    </xf>
    <xf numFmtId="12" fontId="1" fillId="0" borderId="0" xfId="0" applyNumberFormat="1" applyFont="1" applyAlignment="1">
      <alignment horizontal="right" vertical="center"/>
    </xf>
    <xf numFmtId="10" fontId="2" fillId="0" borderId="0" xfId="0" applyNumberFormat="1" applyFont="1"/>
    <xf numFmtId="168" fontId="1" fillId="0" borderId="0" xfId="0" applyNumberFormat="1" applyFont="1" applyAlignment="1">
      <alignment horizontal="right"/>
    </xf>
    <xf numFmtId="168" fontId="1" fillId="0" borderId="1" xfId="0" applyNumberFormat="1" applyFont="1" applyBorder="1" applyAlignment="1">
      <alignment horizontal="right"/>
    </xf>
    <xf numFmtId="0" fontId="14" fillId="0" borderId="0" xfId="0" applyFont="1"/>
    <xf numFmtId="168" fontId="15" fillId="0" borderId="0" xfId="0" applyNumberFormat="1" applyFont="1"/>
    <xf numFmtId="168" fontId="1" fillId="0" borderId="0" xfId="0" applyNumberFormat="1" applyFont="1" applyAlignment="1">
      <alignment horizontal="center" vertical="center"/>
    </xf>
    <xf numFmtId="0" fontId="13" fillId="0" borderId="0" xfId="1" applyBorder="1"/>
    <xf numFmtId="166" fontId="13" fillId="0" borderId="0" xfId="1" applyNumberFormat="1" applyBorder="1"/>
    <xf numFmtId="4" fontId="13" fillId="0" borderId="0" xfId="1" applyNumberFormat="1"/>
    <xf numFmtId="0" fontId="13" fillId="5" borderId="0" xfId="1" applyFill="1"/>
    <xf numFmtId="167" fontId="13" fillId="5" borderId="0" xfId="1" applyNumberFormat="1" applyFill="1"/>
    <xf numFmtId="167" fontId="13" fillId="0" borderId="0" xfId="1" applyNumberFormat="1"/>
    <xf numFmtId="167" fontId="13" fillId="0" borderId="0" xfId="1" applyNumberFormat="1" applyBorder="1"/>
    <xf numFmtId="0" fontId="5" fillId="6" borderId="0" xfId="0" applyFont="1" applyFill="1" applyAlignment="1">
      <alignment horizontal="center"/>
    </xf>
    <xf numFmtId="2" fontId="6" fillId="0" borderId="0" xfId="0" applyNumberFormat="1" applyFont="1"/>
    <xf numFmtId="10" fontId="13" fillId="0" borderId="0" xfId="1" applyNumberFormat="1"/>
    <xf numFmtId="0" fontId="2" fillId="0" borderId="0" xfId="0" applyFont="1" applyAlignment="1">
      <alignment horizontal="left"/>
    </xf>
    <xf numFmtId="166" fontId="6" fillId="0" borderId="0" xfId="0" applyNumberFormat="1" applyFont="1" applyAlignment="1">
      <alignment horizontal="left" vertical="top"/>
    </xf>
    <xf numFmtId="165" fontId="1" fillId="0" borderId="0" xfId="0" applyNumberFormat="1" applyFont="1" applyAlignment="1">
      <alignment horizontal="left" vertical="top"/>
    </xf>
    <xf numFmtId="166" fontId="1" fillId="0" borderId="1" xfId="0" applyNumberFormat="1" applyFont="1" applyBorder="1" applyAlignment="1">
      <alignment horizontal="left" vertical="top"/>
    </xf>
    <xf numFmtId="0" fontId="1" fillId="0" borderId="0" xfId="0" applyFont="1" applyAlignment="1">
      <alignment horizontal="left" vertical="top"/>
    </xf>
    <xf numFmtId="166" fontId="1" fillId="0" borderId="0" xfId="0" applyNumberFormat="1" applyFont="1" applyAlignment="1">
      <alignment horizontal="left" vertical="top"/>
    </xf>
    <xf numFmtId="166" fontId="1" fillId="5" borderId="0" xfId="0" applyNumberFormat="1" applyFont="1" applyFill="1" applyAlignment="1">
      <alignment horizontal="left" vertical="top"/>
    </xf>
    <xf numFmtId="10" fontId="1" fillId="0" borderId="0" xfId="0" applyNumberFormat="1" applyFont="1" applyAlignment="1">
      <alignment horizontal="left" vertical="top"/>
    </xf>
    <xf numFmtId="166" fontId="6" fillId="5" borderId="0" xfId="0" applyNumberFormat="1" applyFont="1" applyFill="1" applyAlignment="1">
      <alignment horizontal="left" vertical="top"/>
    </xf>
    <xf numFmtId="167" fontId="1" fillId="5" borderId="0" xfId="0" applyNumberFormat="1" applyFont="1" applyFill="1" applyAlignment="1">
      <alignment horizontal="left" vertical="top"/>
    </xf>
    <xf numFmtId="165" fontId="1" fillId="5" borderId="0" xfId="0" applyNumberFormat="1" applyFont="1" applyFill="1" applyAlignment="1">
      <alignment horizontal="left" vertical="top"/>
    </xf>
    <xf numFmtId="169" fontId="1" fillId="0" borderId="0" xfId="0" applyNumberFormat="1" applyFont="1"/>
    <xf numFmtId="169" fontId="6" fillId="0" borderId="1" xfId="0" applyNumberFormat="1" applyFont="1" applyBorder="1"/>
    <xf numFmtId="0" fontId="16" fillId="0" borderId="0" xfId="0" applyFont="1"/>
    <xf numFmtId="169" fontId="6" fillId="0" borderId="0" xfId="0" applyNumberFormat="1" applyFont="1"/>
    <xf numFmtId="169" fontId="1" fillId="0" borderId="1" xfId="0" applyNumberFormat="1" applyFont="1" applyBorder="1"/>
    <xf numFmtId="0" fontId="17" fillId="0" borderId="0" xfId="0" applyFont="1"/>
    <xf numFmtId="0" fontId="18" fillId="0" borderId="0" xfId="0" applyFont="1"/>
    <xf numFmtId="0" fontId="1" fillId="0" borderId="0" xfId="0" applyFont="1" applyAlignment="1">
      <alignment horizontal="center"/>
    </xf>
    <xf numFmtId="0" fontId="5" fillId="2" borderId="0" xfId="0" applyFont="1" applyFill="1" applyAlignment="1">
      <alignment horizontal="center"/>
    </xf>
    <xf numFmtId="0" fontId="5" fillId="2" borderId="0" xfId="0" applyFont="1" applyFill="1" applyAlignment="1">
      <alignment horizontal="left"/>
    </xf>
    <xf numFmtId="0" fontId="0" fillId="5" borderId="0" xfId="0" applyFill="1"/>
    <xf numFmtId="0" fontId="8" fillId="5" borderId="0" xfId="0" applyFont="1" applyFill="1"/>
    <xf numFmtId="0" fontId="5" fillId="5" borderId="0" xfId="0" applyFont="1" applyFill="1"/>
    <xf numFmtId="0" fontId="2" fillId="5" borderId="0" xfId="0" applyFont="1" applyFill="1"/>
    <xf numFmtId="167" fontId="1" fillId="5" borderId="0" xfId="0" applyNumberFormat="1" applyFont="1" applyFill="1" applyAlignment="1">
      <alignment horizontal="center"/>
    </xf>
    <xf numFmtId="0" fontId="5" fillId="2" borderId="0" xfId="0" applyFont="1" applyFill="1" applyAlignment="1">
      <alignment horizontal="center" vertical="center"/>
    </xf>
    <xf numFmtId="166" fontId="1" fillId="0" borderId="0" xfId="0" applyNumberFormat="1" applyFont="1" applyAlignment="1">
      <alignment horizontal="center"/>
    </xf>
    <xf numFmtId="166" fontId="2" fillId="0" borderId="5" xfId="0" applyNumberFormat="1" applyFont="1" applyBorder="1" applyAlignment="1">
      <alignment horizontal="center"/>
    </xf>
    <xf numFmtId="0" fontId="19" fillId="7" borderId="0" xfId="0" applyFont="1" applyFill="1" applyAlignment="1">
      <alignment horizontal="center" vertical="center"/>
    </xf>
    <xf numFmtId="166" fontId="1" fillId="0" borderId="0" xfId="0" applyNumberFormat="1" applyFont="1" applyAlignment="1">
      <alignment horizontal="left"/>
    </xf>
    <xf numFmtId="10" fontId="20" fillId="0" borderId="0" xfId="0" applyNumberFormat="1" applyFont="1" applyAlignment="1">
      <alignment horizontal="center"/>
    </xf>
    <xf numFmtId="166" fontId="2" fillId="0" borderId="1" xfId="0" applyNumberFormat="1" applyFont="1" applyBorder="1" applyAlignment="1">
      <alignment horizontal="center"/>
    </xf>
    <xf numFmtId="166" fontId="1" fillId="0" borderId="1" xfId="0" applyNumberFormat="1" applyFont="1" applyBorder="1" applyAlignment="1">
      <alignment horizontal="center"/>
    </xf>
    <xf numFmtId="169" fontId="1" fillId="3" borderId="0" xfId="0" applyNumberFormat="1" applyFont="1" applyFill="1" applyAlignment="1">
      <alignment horizontal="center"/>
    </xf>
    <xf numFmtId="166" fontId="6" fillId="0" borderId="0" xfId="0" applyNumberFormat="1" applyFont="1" applyAlignment="1">
      <alignment horizontal="center"/>
    </xf>
    <xf numFmtId="0" fontId="21" fillId="0" borderId="0" xfId="0" applyFont="1"/>
    <xf numFmtId="10" fontId="21" fillId="0" borderId="0" xfId="0" applyNumberFormat="1" applyFont="1" applyAlignment="1">
      <alignment horizontal="center"/>
    </xf>
    <xf numFmtId="0" fontId="22" fillId="8" borderId="0" xfId="0" applyFont="1" applyFill="1"/>
    <xf numFmtId="0" fontId="22" fillId="8" borderId="0" xfId="0" applyFont="1" applyFill="1" applyAlignment="1">
      <alignment horizontal="center"/>
    </xf>
    <xf numFmtId="166" fontId="1" fillId="0" borderId="0" xfId="0" applyNumberFormat="1" applyFont="1" applyAlignment="1">
      <alignment horizontal="center" vertical="center"/>
    </xf>
    <xf numFmtId="10" fontId="20" fillId="5" borderId="0" xfId="0" applyNumberFormat="1" applyFont="1" applyFill="1" applyAlignment="1">
      <alignment horizontal="center"/>
    </xf>
    <xf numFmtId="166" fontId="1" fillId="5" borderId="2" xfId="0" applyNumberFormat="1" applyFont="1" applyFill="1" applyBorder="1" applyAlignment="1">
      <alignment horizontal="center"/>
    </xf>
    <xf numFmtId="170" fontId="21" fillId="0" borderId="0" xfId="0" applyNumberFormat="1" applyFont="1" applyAlignment="1">
      <alignment horizontal="center"/>
    </xf>
    <xf numFmtId="10" fontId="1" fillId="0" borderId="0" xfId="0" applyNumberFormat="1" applyFont="1" applyAlignment="1">
      <alignment horizontal="center" vertical="center"/>
    </xf>
    <xf numFmtId="10" fontId="1" fillId="0" borderId="2" xfId="0" applyNumberFormat="1" applyFont="1" applyBorder="1" applyAlignment="1">
      <alignment horizontal="center" vertical="center"/>
    </xf>
    <xf numFmtId="0" fontId="1" fillId="0" borderId="7" xfId="0" applyFont="1" applyBorder="1"/>
    <xf numFmtId="10" fontId="1" fillId="0" borderId="7" xfId="0" applyNumberFormat="1" applyFont="1" applyBorder="1" applyAlignment="1">
      <alignment horizontal="center" vertical="center"/>
    </xf>
    <xf numFmtId="0" fontId="1" fillId="9" borderId="0" xfId="0" applyFont="1" applyFill="1"/>
    <xf numFmtId="10" fontId="1" fillId="9" borderId="0" xfId="0" applyNumberFormat="1" applyFont="1" applyFill="1" applyAlignment="1">
      <alignment horizontal="center" vertical="center"/>
    </xf>
    <xf numFmtId="10" fontId="1" fillId="5" borderId="0" xfId="0" applyNumberFormat="1" applyFont="1" applyFill="1" applyAlignment="1">
      <alignment horizontal="center" vertical="center"/>
    </xf>
    <xf numFmtId="170" fontId="1" fillId="0" borderId="0" xfId="0" applyNumberFormat="1" applyFont="1" applyAlignment="1">
      <alignment horizontal="center" vertical="center"/>
    </xf>
    <xf numFmtId="1" fontId="1" fillId="0" borderId="0" xfId="0" applyNumberFormat="1" applyFont="1" applyAlignment="1">
      <alignment horizontal="center"/>
    </xf>
    <xf numFmtId="2" fontId="1" fillId="0" borderId="0" xfId="0" applyNumberFormat="1" applyFont="1" applyAlignment="1">
      <alignment horizontal="center"/>
    </xf>
    <xf numFmtId="0" fontId="1" fillId="0" borderId="6" xfId="0" applyFont="1" applyBorder="1" applyAlignment="1">
      <alignment horizontal="center"/>
    </xf>
    <xf numFmtId="0" fontId="5" fillId="2" borderId="6" xfId="0" applyFont="1" applyFill="1" applyBorder="1" applyAlignment="1">
      <alignment horizontal="center" vertical="center"/>
    </xf>
    <xf numFmtId="0" fontId="1" fillId="0" borderId="6" xfId="0" applyFont="1" applyBorder="1"/>
    <xf numFmtId="10" fontId="1" fillId="0" borderId="6" xfId="0" applyNumberFormat="1" applyFont="1" applyBorder="1" applyAlignment="1">
      <alignment horizontal="center" vertical="center"/>
    </xf>
    <xf numFmtId="10" fontId="1" fillId="0" borderId="8" xfId="0" applyNumberFormat="1" applyFont="1" applyBorder="1" applyAlignment="1">
      <alignment horizontal="center" vertical="center"/>
    </xf>
    <xf numFmtId="10" fontId="1" fillId="0" borderId="9" xfId="0" applyNumberFormat="1" applyFont="1" applyBorder="1" applyAlignment="1">
      <alignment horizontal="center" vertical="center"/>
    </xf>
    <xf numFmtId="10" fontId="1" fillId="9" borderId="6" xfId="0" applyNumberFormat="1" applyFont="1" applyFill="1" applyBorder="1" applyAlignment="1">
      <alignment horizontal="center" vertical="center"/>
    </xf>
    <xf numFmtId="10" fontId="1" fillId="5" borderId="6" xfId="0" applyNumberFormat="1" applyFont="1" applyFill="1" applyBorder="1" applyAlignment="1">
      <alignment horizontal="center" vertical="center"/>
    </xf>
    <xf numFmtId="2" fontId="1" fillId="0" borderId="6" xfId="0" applyNumberFormat="1" applyFont="1" applyBorder="1" applyAlignment="1">
      <alignment horizontal="center"/>
    </xf>
    <xf numFmtId="170" fontId="1" fillId="0" borderId="6" xfId="0" applyNumberFormat="1" applyFont="1" applyBorder="1" applyAlignment="1">
      <alignment horizontal="center" vertical="center"/>
    </xf>
    <xf numFmtId="1" fontId="1" fillId="0" borderId="6" xfId="0" applyNumberFormat="1" applyFont="1" applyBorder="1" applyAlignment="1">
      <alignment horizontal="center"/>
    </xf>
    <xf numFmtId="166" fontId="1" fillId="0" borderId="6" xfId="0" applyNumberFormat="1" applyFont="1" applyBorder="1" applyAlignment="1">
      <alignment horizontal="center"/>
    </xf>
    <xf numFmtId="166" fontId="2" fillId="0" borderId="10" xfId="0" applyNumberFormat="1" applyFont="1" applyBorder="1" applyAlignment="1">
      <alignment horizontal="center"/>
    </xf>
    <xf numFmtId="10" fontId="20" fillId="0" borderId="6" xfId="0" applyNumberFormat="1" applyFont="1" applyBorder="1" applyAlignment="1">
      <alignment horizontal="center"/>
    </xf>
    <xf numFmtId="166" fontId="2" fillId="0" borderId="11" xfId="0" applyNumberFormat="1" applyFont="1" applyBorder="1" applyAlignment="1">
      <alignment horizontal="center"/>
    </xf>
    <xf numFmtId="166" fontId="1" fillId="0" borderId="11" xfId="0" applyNumberFormat="1" applyFont="1" applyBorder="1" applyAlignment="1">
      <alignment horizontal="center"/>
    </xf>
    <xf numFmtId="10" fontId="20" fillId="5" borderId="6" xfId="0" applyNumberFormat="1" applyFont="1" applyFill="1" applyBorder="1" applyAlignment="1">
      <alignment horizontal="center"/>
    </xf>
    <xf numFmtId="166" fontId="1" fillId="5" borderId="6" xfId="0" applyNumberFormat="1" applyFont="1" applyFill="1" applyBorder="1" applyAlignment="1">
      <alignment horizontal="center"/>
    </xf>
    <xf numFmtId="166" fontId="1" fillId="5" borderId="9" xfId="0" applyNumberFormat="1" applyFont="1" applyFill="1" applyBorder="1" applyAlignment="1">
      <alignment horizontal="center"/>
    </xf>
    <xf numFmtId="0" fontId="1" fillId="3" borderId="6" xfId="0" applyFont="1" applyFill="1" applyBorder="1" applyAlignment="1">
      <alignment horizontal="center"/>
    </xf>
    <xf numFmtId="0" fontId="1" fillId="5" borderId="6" xfId="0" applyFont="1" applyFill="1" applyBorder="1" applyAlignment="1">
      <alignment horizontal="center"/>
    </xf>
    <xf numFmtId="166" fontId="1" fillId="3" borderId="6" xfId="0" applyNumberFormat="1" applyFont="1" applyFill="1" applyBorder="1" applyAlignment="1">
      <alignment horizontal="center"/>
    </xf>
    <xf numFmtId="10" fontId="1" fillId="0" borderId="0" xfId="0" applyNumberFormat="1" applyFont="1" applyAlignment="1">
      <alignment horizontal="center"/>
    </xf>
    <xf numFmtId="10" fontId="1" fillId="0" borderId="6" xfId="0" applyNumberFormat="1" applyFont="1" applyBorder="1" applyAlignment="1">
      <alignment horizontal="center"/>
    </xf>
    <xf numFmtId="166" fontId="2" fillId="0" borderId="0" xfId="0" applyNumberFormat="1" applyFont="1" applyAlignment="1">
      <alignment horizontal="center"/>
    </xf>
    <xf numFmtId="166" fontId="2" fillId="0" borderId="6" xfId="0" applyNumberFormat="1" applyFont="1" applyBorder="1" applyAlignment="1">
      <alignment horizontal="center"/>
    </xf>
    <xf numFmtId="0" fontId="0" fillId="0" borderId="6" xfId="0" applyBorder="1" applyAlignment="1">
      <alignment horizontal="center"/>
    </xf>
    <xf numFmtId="0" fontId="1" fillId="0" borderId="5" xfId="0" applyFont="1" applyBorder="1" applyAlignment="1">
      <alignment horizontal="center"/>
    </xf>
    <xf numFmtId="0" fontId="1" fillId="0" borderId="1" xfId="0" applyFont="1" applyBorder="1" applyAlignment="1">
      <alignment horizontal="center"/>
    </xf>
    <xf numFmtId="0" fontId="1" fillId="5" borderId="2" xfId="0" applyFont="1" applyFill="1" applyBorder="1" applyAlignment="1">
      <alignment horizontal="center"/>
    </xf>
    <xf numFmtId="0" fontId="1" fillId="0" borderId="0" xfId="0" applyFont="1" applyAlignment="1">
      <alignment horizontal="left"/>
    </xf>
    <xf numFmtId="10" fontId="1" fillId="0" borderId="0" xfId="0" applyNumberFormat="1" applyFont="1" applyAlignment="1">
      <alignment horizontal="left"/>
    </xf>
    <xf numFmtId="0" fontId="1" fillId="5" borderId="0" xfId="0" applyFont="1" applyFill="1" applyAlignment="1">
      <alignment horizontal="left"/>
    </xf>
    <xf numFmtId="0" fontId="2" fillId="0" borderId="5" xfId="0" applyFont="1" applyBorder="1" applyAlignment="1">
      <alignment horizontal="left"/>
    </xf>
    <xf numFmtId="0" fontId="1" fillId="0" borderId="5" xfId="0" applyFont="1" applyBorder="1" applyAlignment="1">
      <alignment horizontal="left"/>
    </xf>
    <xf numFmtId="0" fontId="20" fillId="0" borderId="0" xfId="0" applyFont="1" applyAlignment="1">
      <alignment horizontal="left"/>
    </xf>
    <xf numFmtId="0" fontId="2" fillId="0" borderId="1" xfId="0" applyFont="1" applyBorder="1" applyAlignment="1">
      <alignment horizontal="left"/>
    </xf>
    <xf numFmtId="0" fontId="1" fillId="0" borderId="1" xfId="0" applyFont="1" applyBorder="1" applyAlignment="1">
      <alignment horizontal="left"/>
    </xf>
    <xf numFmtId="0" fontId="20" fillId="5" borderId="0" xfId="0" applyFont="1" applyFill="1" applyAlignment="1">
      <alignment horizontal="left"/>
    </xf>
    <xf numFmtId="0" fontId="2" fillId="5" borderId="0" xfId="0" applyFont="1" applyFill="1" applyAlignment="1">
      <alignment horizontal="left"/>
    </xf>
    <xf numFmtId="0" fontId="2" fillId="5" borderId="2" xfId="0" applyFont="1" applyFill="1" applyBorder="1" applyAlignment="1">
      <alignment horizontal="left"/>
    </xf>
    <xf numFmtId="0" fontId="1" fillId="5" borderId="2" xfId="0" applyFont="1" applyFill="1" applyBorder="1" applyAlignment="1">
      <alignment horizontal="left"/>
    </xf>
    <xf numFmtId="0" fontId="1" fillId="3" borderId="0" xfId="0" applyFont="1" applyFill="1" applyAlignment="1">
      <alignment horizontal="left"/>
    </xf>
    <xf numFmtId="0" fontId="5" fillId="4" borderId="0" xfId="0" applyFont="1" applyFill="1" applyAlignment="1">
      <alignment horizontal="center"/>
    </xf>
    <xf numFmtId="0" fontId="23" fillId="4" borderId="0" xfId="0" applyFont="1" applyFill="1"/>
    <xf numFmtId="0" fontId="6" fillId="0" borderId="0" xfId="0" applyFont="1" applyAlignment="1">
      <alignment horizontal="center"/>
    </xf>
    <xf numFmtId="9" fontId="6" fillId="0" borderId="0" xfId="0" applyNumberFormat="1" applyFont="1" applyAlignment="1">
      <alignment horizontal="center"/>
    </xf>
    <xf numFmtId="10" fontId="6" fillId="0" borderId="0" xfId="0" applyNumberFormat="1" applyFont="1" applyAlignment="1">
      <alignment horizontal="center"/>
    </xf>
    <xf numFmtId="2" fontId="1" fillId="5" borderId="0" xfId="0" applyNumberFormat="1" applyFont="1" applyFill="1" applyAlignment="1">
      <alignment horizontal="center" vertical="center"/>
    </xf>
    <xf numFmtId="2" fontId="1" fillId="5" borderId="6" xfId="0" applyNumberFormat="1" applyFont="1" applyFill="1" applyBorder="1" applyAlignment="1">
      <alignment horizontal="center" vertical="center"/>
    </xf>
    <xf numFmtId="4" fontId="1" fillId="0" borderId="6" xfId="0" applyNumberFormat="1" applyFont="1" applyBorder="1" applyAlignment="1">
      <alignment horizontal="center"/>
    </xf>
    <xf numFmtId="0" fontId="2" fillId="0" borderId="0" xfId="0" applyFont="1" applyAlignment="1">
      <alignment horizontal="right"/>
    </xf>
    <xf numFmtId="4" fontId="1" fillId="0" borderId="0" xfId="0" applyNumberFormat="1" applyFont="1" applyAlignment="1">
      <alignment horizontal="center"/>
    </xf>
    <xf numFmtId="10" fontId="24" fillId="0" borderId="0" xfId="0" applyNumberFormat="1" applyFont="1" applyAlignment="1">
      <alignment horizontal="center" vertical="center"/>
    </xf>
    <xf numFmtId="10" fontId="24" fillId="0" borderId="6" xfId="0" applyNumberFormat="1" applyFont="1" applyBorder="1" applyAlignment="1">
      <alignment horizontal="center" vertical="center"/>
    </xf>
    <xf numFmtId="0" fontId="0" fillId="0" borderId="6" xfId="0" applyBorder="1"/>
    <xf numFmtId="0" fontId="25" fillId="0" borderId="0" xfId="0" applyFont="1" applyAlignment="1">
      <alignment horizontal="center"/>
    </xf>
    <xf numFmtId="0" fontId="26" fillId="0" borderId="0" xfId="0" applyFont="1"/>
    <xf numFmtId="0" fontId="21" fillId="0" borderId="0" xfId="0" applyFont="1" applyAlignment="1">
      <alignment horizontal="center"/>
    </xf>
    <xf numFmtId="10" fontId="21" fillId="0" borderId="6" xfId="0" applyNumberFormat="1" applyFont="1" applyBorder="1" applyAlignment="1">
      <alignment horizontal="center"/>
    </xf>
    <xf numFmtId="0" fontId="1" fillId="0" borderId="12" xfId="0" applyFont="1" applyBorder="1"/>
    <xf numFmtId="0" fontId="1" fillId="8" borderId="0" xfId="0" applyFont="1" applyFill="1"/>
    <xf numFmtId="0" fontId="1" fillId="8" borderId="0" xfId="0" applyFont="1" applyFill="1" applyAlignment="1">
      <alignment horizontal="center"/>
    </xf>
    <xf numFmtId="0" fontId="1" fillId="8" borderId="6" xfId="0" applyFont="1" applyFill="1" applyBorder="1" applyAlignment="1">
      <alignment horizontal="center"/>
    </xf>
    <xf numFmtId="0" fontId="25" fillId="8" borderId="0" xfId="0" applyFont="1" applyFill="1" applyAlignment="1">
      <alignment horizontal="center"/>
    </xf>
    <xf numFmtId="0" fontId="27" fillId="8" borderId="0" xfId="0" applyFont="1" applyFill="1"/>
    <xf numFmtId="0" fontId="2" fillId="0" borderId="0" xfId="0" applyFont="1" applyAlignment="1">
      <alignment horizontal="center"/>
    </xf>
    <xf numFmtId="0" fontId="28" fillId="8" borderId="0" xfId="0" applyFont="1" applyFill="1"/>
    <xf numFmtId="0" fontId="28" fillId="8" borderId="0" xfId="0" applyFont="1" applyFill="1" applyAlignment="1">
      <alignment horizontal="center"/>
    </xf>
    <xf numFmtId="10" fontId="28" fillId="8" borderId="0" xfId="0" applyNumberFormat="1" applyFont="1" applyFill="1" applyAlignment="1">
      <alignment horizontal="center"/>
    </xf>
    <xf numFmtId="10" fontId="1" fillId="8" borderId="0" xfId="0" applyNumberFormat="1" applyFont="1" applyFill="1" applyAlignment="1">
      <alignment horizontal="center"/>
    </xf>
    <xf numFmtId="10" fontId="28" fillId="8" borderId="6" xfId="0" applyNumberFormat="1" applyFont="1" applyFill="1" applyBorder="1" applyAlignment="1">
      <alignment horizontal="center"/>
    </xf>
    <xf numFmtId="10" fontId="1" fillId="8" borderId="6" xfId="0" applyNumberFormat="1" applyFont="1" applyFill="1" applyBorder="1" applyAlignment="1">
      <alignment horizontal="center"/>
    </xf>
    <xf numFmtId="10" fontId="29" fillId="0" borderId="0" xfId="0" applyNumberFormat="1" applyFont="1" applyAlignment="1">
      <alignment horizontal="left" vertical="center"/>
    </xf>
    <xf numFmtId="0" fontId="1" fillId="5" borderId="13" xfId="0" applyFont="1" applyFill="1" applyBorder="1" applyAlignment="1">
      <alignment horizontal="center"/>
    </xf>
    <xf numFmtId="170" fontId="1" fillId="5" borderId="13" xfId="0" applyNumberFormat="1" applyFont="1" applyFill="1" applyBorder="1" applyAlignment="1">
      <alignment horizontal="center" vertical="center"/>
    </xf>
    <xf numFmtId="10" fontId="1" fillId="5" borderId="13" xfId="0" applyNumberFormat="1" applyFont="1" applyFill="1" applyBorder="1" applyAlignment="1">
      <alignment horizontal="center"/>
    </xf>
    <xf numFmtId="0" fontId="1" fillId="0" borderId="13" xfId="0" applyFont="1" applyBorder="1"/>
    <xf numFmtId="10" fontId="1" fillId="0" borderId="13" xfId="0" applyNumberFormat="1" applyFont="1" applyBorder="1" applyAlignment="1">
      <alignment horizontal="center"/>
    </xf>
    <xf numFmtId="0" fontId="1" fillId="9" borderId="13" xfId="0" applyFont="1" applyFill="1" applyBorder="1"/>
    <xf numFmtId="10" fontId="1" fillId="5" borderId="0" xfId="0" applyNumberFormat="1" applyFont="1" applyFill="1" applyAlignment="1">
      <alignment horizontal="center"/>
    </xf>
    <xf numFmtId="0" fontId="1" fillId="0" borderId="14" xfId="0" applyFont="1" applyBorder="1" applyAlignment="1">
      <alignment horizontal="center"/>
    </xf>
    <xf numFmtId="0" fontId="5" fillId="7" borderId="0" xfId="0" applyFont="1" applyFill="1" applyAlignment="1">
      <alignment horizontal="center" vertical="center"/>
    </xf>
    <xf numFmtId="0" fontId="1" fillId="7" borderId="0" xfId="0" applyFont="1" applyFill="1" applyAlignment="1">
      <alignment horizontal="center"/>
    </xf>
    <xf numFmtId="10" fontId="21" fillId="5" borderId="0" xfId="0" applyNumberFormat="1" applyFont="1" applyFill="1" applyAlignment="1">
      <alignment horizontal="center"/>
    </xf>
    <xf numFmtId="10" fontId="28" fillId="5" borderId="0" xfId="0" applyNumberFormat="1" applyFont="1" applyFill="1" applyAlignment="1">
      <alignment horizontal="center"/>
    </xf>
    <xf numFmtId="0" fontId="1" fillId="0" borderId="15" xfId="0" applyFont="1" applyBorder="1"/>
    <xf numFmtId="0" fontId="1" fillId="0" borderId="15" xfId="0" applyFont="1" applyBorder="1" applyAlignment="1">
      <alignment horizontal="center"/>
    </xf>
    <xf numFmtId="0" fontId="5" fillId="2" borderId="15" xfId="0" applyFont="1" applyFill="1" applyBorder="1" applyAlignment="1">
      <alignment horizontal="center" vertical="center"/>
    </xf>
    <xf numFmtId="0" fontId="0" fillId="0" borderId="15" xfId="0" applyBorder="1"/>
    <xf numFmtId="166" fontId="1" fillId="0" borderId="15" xfId="0" applyNumberFormat="1" applyFont="1" applyBorder="1" applyAlignment="1">
      <alignment horizontal="center"/>
    </xf>
    <xf numFmtId="2" fontId="2" fillId="3" borderId="0" xfId="0" applyNumberFormat="1" applyFont="1" applyFill="1" applyAlignment="1">
      <alignment horizontal="center"/>
    </xf>
    <xf numFmtId="170" fontId="1" fillId="0" borderId="0" xfId="0" applyNumberFormat="1" applyFont="1" applyAlignment="1">
      <alignment horizontal="center"/>
    </xf>
    <xf numFmtId="166" fontId="2" fillId="5" borderId="0" xfId="0" applyNumberFormat="1" applyFont="1" applyFill="1" applyAlignment="1">
      <alignment horizontal="center"/>
    </xf>
    <xf numFmtId="166" fontId="2" fillId="5" borderId="15" xfId="0" applyNumberFormat="1" applyFont="1" applyFill="1" applyBorder="1" applyAlignment="1">
      <alignment horizontal="center"/>
    </xf>
    <xf numFmtId="166" fontId="1" fillId="0" borderId="5" xfId="0" applyNumberFormat="1" applyFont="1" applyBorder="1" applyAlignment="1">
      <alignment horizontal="center"/>
    </xf>
    <xf numFmtId="166" fontId="1" fillId="0" borderId="16" xfId="0" applyNumberFormat="1" applyFont="1" applyBorder="1" applyAlignment="1">
      <alignment horizontal="center"/>
    </xf>
    <xf numFmtId="0" fontId="1" fillId="0" borderId="5" xfId="0" applyFont="1" applyBorder="1"/>
    <xf numFmtId="0" fontId="2" fillId="0" borderId="5" xfId="0" applyFont="1" applyBorder="1"/>
    <xf numFmtId="166" fontId="2" fillId="0" borderId="16" xfId="0" applyNumberFormat="1" applyFont="1" applyBorder="1" applyAlignment="1">
      <alignment horizontal="center"/>
    </xf>
    <xf numFmtId="10" fontId="1" fillId="0" borderId="15" xfId="0" applyNumberFormat="1" applyFont="1" applyBorder="1" applyAlignment="1">
      <alignment horizontal="center"/>
    </xf>
    <xf numFmtId="166" fontId="1" fillId="0" borderId="17" xfId="0" applyNumberFormat="1" applyFont="1" applyBorder="1" applyAlignment="1">
      <alignment horizontal="center"/>
    </xf>
    <xf numFmtId="10" fontId="2" fillId="0" borderId="5" xfId="0" applyNumberFormat="1" applyFont="1" applyBorder="1" applyAlignment="1">
      <alignment horizontal="center"/>
    </xf>
    <xf numFmtId="10" fontId="2" fillId="0" borderId="16" xfId="0" applyNumberFormat="1" applyFont="1" applyBorder="1" applyAlignment="1">
      <alignment horizontal="center"/>
    </xf>
    <xf numFmtId="0" fontId="1" fillId="0" borderId="0" xfId="0" applyFont="1" applyAlignment="1">
      <alignment horizontal="right"/>
    </xf>
    <xf numFmtId="0" fontId="1" fillId="9" borderId="13" xfId="0" applyFont="1" applyFill="1" applyBorder="1" applyAlignment="1">
      <alignment horizontal="center"/>
    </xf>
    <xf numFmtId="0" fontId="1" fillId="9" borderId="0" xfId="0" applyFont="1" applyFill="1" applyAlignment="1">
      <alignment horizontal="center"/>
    </xf>
    <xf numFmtId="10" fontId="1" fillId="0" borderId="18" xfId="0" applyNumberFormat="1" applyFont="1" applyBorder="1" applyAlignment="1">
      <alignment horizontal="center"/>
    </xf>
    <xf numFmtId="10" fontId="1" fillId="0" borderId="7" xfId="0" applyNumberFormat="1" applyFont="1" applyBorder="1" applyAlignment="1">
      <alignment horizontal="center"/>
    </xf>
    <xf numFmtId="10" fontId="1" fillId="0" borderId="19" xfId="0" applyNumberFormat="1" applyFont="1" applyBorder="1" applyAlignment="1">
      <alignment horizontal="center"/>
    </xf>
    <xf numFmtId="10" fontId="1" fillId="0" borderId="2" xfId="0" applyNumberFormat="1" applyFont="1" applyBorder="1" applyAlignment="1">
      <alignment horizontal="center"/>
    </xf>
    <xf numFmtId="10" fontId="1" fillId="0" borderId="8" xfId="0" applyNumberFormat="1" applyFont="1" applyBorder="1" applyAlignment="1">
      <alignment horizontal="center"/>
    </xf>
    <xf numFmtId="10" fontId="1" fillId="0" borderId="9" xfId="0" applyNumberFormat="1" applyFont="1" applyBorder="1" applyAlignment="1">
      <alignment horizontal="center"/>
    </xf>
    <xf numFmtId="0" fontId="1" fillId="9" borderId="6" xfId="0" applyFont="1" applyFill="1" applyBorder="1" applyAlignment="1">
      <alignment horizontal="center"/>
    </xf>
    <xf numFmtId="170" fontId="1" fillId="5" borderId="13" xfId="0" applyNumberFormat="1" applyFont="1" applyFill="1" applyBorder="1" applyAlignment="1">
      <alignment horizontal="center"/>
    </xf>
    <xf numFmtId="170" fontId="1" fillId="5" borderId="0" xfId="0" applyNumberFormat="1" applyFont="1" applyFill="1" applyAlignment="1">
      <alignment horizontal="center"/>
    </xf>
    <xf numFmtId="1" fontId="1" fillId="5" borderId="13" xfId="0" applyNumberFormat="1" applyFont="1" applyFill="1" applyBorder="1" applyAlignment="1">
      <alignment horizontal="center"/>
    </xf>
    <xf numFmtId="1" fontId="1" fillId="5" borderId="0" xfId="0" applyNumberFormat="1" applyFont="1" applyFill="1" applyAlignment="1">
      <alignment horizontal="center"/>
    </xf>
    <xf numFmtId="0" fontId="1" fillId="5" borderId="6" xfId="0" applyFont="1" applyFill="1" applyBorder="1"/>
    <xf numFmtId="0" fontId="1" fillId="9" borderId="6" xfId="0" applyFont="1" applyFill="1" applyBorder="1"/>
    <xf numFmtId="170" fontId="1" fillId="0" borderId="0" xfId="0" applyNumberFormat="1" applyFont="1"/>
    <xf numFmtId="1" fontId="1" fillId="0" borderId="0" xfId="0" applyNumberFormat="1" applyFont="1"/>
    <xf numFmtId="166" fontId="1" fillId="0" borderId="6" xfId="0" applyNumberFormat="1" applyFont="1" applyBorder="1"/>
    <xf numFmtId="166" fontId="1" fillId="0" borderId="9" xfId="0" applyNumberFormat="1" applyFont="1" applyBorder="1"/>
    <xf numFmtId="10" fontId="2" fillId="0" borderId="1" xfId="0" applyNumberFormat="1" applyFont="1" applyBorder="1" applyAlignment="1">
      <alignment horizontal="center"/>
    </xf>
    <xf numFmtId="10" fontId="2" fillId="0" borderId="11" xfId="0" applyNumberFormat="1" applyFont="1" applyBorder="1" applyAlignment="1">
      <alignment horizontal="center"/>
    </xf>
    <xf numFmtId="166" fontId="1" fillId="8" borderId="0" xfId="0" applyNumberFormat="1" applyFont="1" applyFill="1" applyAlignment="1">
      <alignment horizontal="center"/>
    </xf>
    <xf numFmtId="166" fontId="22" fillId="8" borderId="0" xfId="0" applyNumberFormat="1" applyFont="1" applyFill="1" applyAlignment="1">
      <alignment horizontal="center"/>
    </xf>
    <xf numFmtId="166" fontId="22" fillId="8" borderId="6" xfId="0" applyNumberFormat="1" applyFont="1" applyFill="1" applyBorder="1" applyAlignment="1">
      <alignment horizontal="center"/>
    </xf>
    <xf numFmtId="0" fontId="22" fillId="8" borderId="20" xfId="0" applyFont="1" applyFill="1" applyBorder="1"/>
    <xf numFmtId="0" fontId="27" fillId="8" borderId="20" xfId="0" applyFont="1" applyFill="1" applyBorder="1"/>
    <xf numFmtId="10" fontId="22" fillId="8" borderId="0" xfId="0" applyNumberFormat="1" applyFont="1" applyFill="1" applyAlignment="1">
      <alignment horizontal="center"/>
    </xf>
    <xf numFmtId="10" fontId="22" fillId="8" borderId="6" xfId="0" applyNumberFormat="1" applyFont="1" applyFill="1" applyBorder="1" applyAlignment="1">
      <alignment horizontal="center"/>
    </xf>
    <xf numFmtId="10" fontId="22" fillId="8" borderId="21" xfId="0" applyNumberFormat="1" applyFont="1" applyFill="1" applyBorder="1" applyAlignment="1">
      <alignment horizontal="center"/>
    </xf>
    <xf numFmtId="166" fontId="22" fillId="8" borderId="21" xfId="0" applyNumberFormat="1" applyFont="1" applyFill="1" applyBorder="1" applyAlignment="1">
      <alignment horizontal="center"/>
    </xf>
    <xf numFmtId="166" fontId="1" fillId="8" borderId="21" xfId="0" applyNumberFormat="1" applyFont="1" applyFill="1" applyBorder="1" applyAlignment="1">
      <alignment horizontal="center"/>
    </xf>
    <xf numFmtId="0" fontId="1" fillId="0" borderId="21" xfId="0" applyFont="1" applyBorder="1"/>
    <xf numFmtId="10" fontId="22" fillId="8" borderId="20" xfId="0" applyNumberFormat="1" applyFont="1" applyFill="1" applyBorder="1" applyAlignment="1">
      <alignment horizontal="center"/>
    </xf>
    <xf numFmtId="10" fontId="22" fillId="8" borderId="22" xfId="0" applyNumberFormat="1" applyFont="1" applyFill="1" applyBorder="1" applyAlignment="1">
      <alignment horizontal="center"/>
    </xf>
    <xf numFmtId="166" fontId="1" fillId="0" borderId="21" xfId="0" applyNumberFormat="1" applyFont="1" applyBorder="1" applyAlignment="1">
      <alignment horizontal="center"/>
    </xf>
    <xf numFmtId="0" fontId="1" fillId="0" borderId="20" xfId="0" applyFont="1" applyBorder="1"/>
    <xf numFmtId="0" fontId="2" fillId="0" borderId="20" xfId="0" applyFont="1" applyBorder="1"/>
    <xf numFmtId="10" fontId="1" fillId="0" borderId="20" xfId="0" applyNumberFormat="1" applyFont="1" applyBorder="1" applyAlignment="1">
      <alignment horizontal="center"/>
    </xf>
    <xf numFmtId="10" fontId="1" fillId="0" borderId="6" xfId="0" applyNumberFormat="1" applyFont="1" applyBorder="1"/>
    <xf numFmtId="170" fontId="1" fillId="0" borderId="6" xfId="0" applyNumberFormat="1" applyFont="1" applyBorder="1" applyAlignment="1">
      <alignment horizontal="center"/>
    </xf>
    <xf numFmtId="166" fontId="1" fillId="5" borderId="15" xfId="0" applyNumberFormat="1" applyFont="1" applyFill="1" applyBorder="1" applyAlignment="1">
      <alignment horizontal="center"/>
    </xf>
    <xf numFmtId="2" fontId="1" fillId="5" borderId="0" xfId="0" applyNumberFormat="1" applyFont="1" applyFill="1" applyAlignment="1">
      <alignment horizontal="center"/>
    </xf>
    <xf numFmtId="2" fontId="2" fillId="5" borderId="0" xfId="0" applyNumberFormat="1" applyFont="1" applyFill="1" applyAlignment="1">
      <alignment horizontal="center"/>
    </xf>
    <xf numFmtId="170" fontId="1" fillId="3" borderId="0" xfId="0" applyNumberFormat="1" applyFont="1" applyFill="1" applyAlignment="1">
      <alignment horizontal="center"/>
    </xf>
    <xf numFmtId="170" fontId="1" fillId="3" borderId="6" xfId="0" applyNumberFormat="1" applyFont="1" applyFill="1" applyBorder="1" applyAlignment="1">
      <alignment horizontal="center"/>
    </xf>
    <xf numFmtId="0" fontId="2" fillId="3" borderId="0" xfId="0" applyFont="1" applyFill="1"/>
    <xf numFmtId="171" fontId="1" fillId="5" borderId="0" xfId="0" applyNumberFormat="1" applyFont="1" applyFill="1" applyAlignment="1">
      <alignment horizontal="center"/>
    </xf>
    <xf numFmtId="171" fontId="1" fillId="5" borderId="6" xfId="0" applyNumberFormat="1" applyFont="1" applyFill="1" applyBorder="1" applyAlignment="1">
      <alignment horizontal="center"/>
    </xf>
    <xf numFmtId="0" fontId="1" fillId="10" borderId="0" xfId="0" applyFont="1" applyFill="1"/>
    <xf numFmtId="2" fontId="1" fillId="10" borderId="0" xfId="0" applyNumberFormat="1" applyFont="1" applyFill="1"/>
    <xf numFmtId="166" fontId="1" fillId="10" borderId="0" xfId="0" applyNumberFormat="1" applyFont="1" applyFill="1" applyAlignment="1">
      <alignment horizontal="center"/>
    </xf>
    <xf numFmtId="166" fontId="1" fillId="10" borderId="6" xfId="0" applyNumberFormat="1" applyFont="1" applyFill="1" applyBorder="1" applyAlignment="1">
      <alignment horizontal="center"/>
    </xf>
    <xf numFmtId="166" fontId="1" fillId="0" borderId="4" xfId="0" applyNumberFormat="1" applyFont="1" applyBorder="1"/>
    <xf numFmtId="0" fontId="2" fillId="5" borderId="4" xfId="0" applyFont="1" applyFill="1" applyBorder="1"/>
    <xf numFmtId="170" fontId="1" fillId="5" borderId="4" xfId="0" applyNumberFormat="1" applyFont="1" applyFill="1" applyBorder="1" applyAlignment="1">
      <alignment horizontal="center"/>
    </xf>
    <xf numFmtId="170" fontId="1" fillId="5" borderId="23" xfId="0" applyNumberFormat="1" applyFont="1" applyFill="1" applyBorder="1" applyAlignment="1">
      <alignment horizontal="center"/>
    </xf>
    <xf numFmtId="0" fontId="1" fillId="0" borderId="24" xfId="0" applyFont="1" applyBorder="1"/>
    <xf numFmtId="166" fontId="1" fillId="0" borderId="24" xfId="0" applyNumberFormat="1" applyFont="1" applyBorder="1"/>
    <xf numFmtId="166" fontId="1" fillId="0" borderId="24" xfId="0" applyNumberFormat="1" applyFont="1" applyBorder="1" applyAlignment="1">
      <alignment horizontal="center"/>
    </xf>
    <xf numFmtId="170" fontId="1" fillId="5" borderId="24" xfId="0" applyNumberFormat="1" applyFont="1" applyFill="1" applyBorder="1" applyAlignment="1">
      <alignment horizontal="center"/>
    </xf>
    <xf numFmtId="0" fontId="2" fillId="0" borderId="24" xfId="0" applyFont="1" applyBorder="1" applyAlignment="1">
      <alignment horizontal="center"/>
    </xf>
    <xf numFmtId="10" fontId="1" fillId="0" borderId="24" xfId="0" applyNumberFormat="1" applyFont="1" applyBorder="1" applyAlignment="1">
      <alignment horizontal="center"/>
    </xf>
    <xf numFmtId="10" fontId="1" fillId="0" borderId="24" xfId="0" applyNumberFormat="1" applyFont="1" applyBorder="1"/>
    <xf numFmtId="0" fontId="1" fillId="0" borderId="23" xfId="0" applyFont="1" applyBorder="1"/>
    <xf numFmtId="0" fontId="1" fillId="0" borderId="25" xfId="0" applyFont="1" applyBorder="1"/>
    <xf numFmtId="0" fontId="1" fillId="0" borderId="26" xfId="0" applyFont="1" applyBorder="1"/>
    <xf numFmtId="0" fontId="1" fillId="0" borderId="27" xfId="0" applyFont="1" applyBorder="1"/>
    <xf numFmtId="0" fontId="1" fillId="0" borderId="24" xfId="0" applyFont="1" applyBorder="1" applyAlignment="1">
      <alignment horizontal="center"/>
    </xf>
    <xf numFmtId="0" fontId="1" fillId="0" borderId="29" xfId="0" applyFont="1" applyBorder="1"/>
    <xf numFmtId="166" fontId="1" fillId="0" borderId="29" xfId="0" applyNumberFormat="1" applyFont="1" applyBorder="1" applyAlignment="1">
      <alignment horizontal="center"/>
    </xf>
    <xf numFmtId="166" fontId="1" fillId="0" borderId="28" xfId="0" applyNumberFormat="1" applyFont="1" applyBorder="1" applyAlignment="1">
      <alignment horizontal="center"/>
    </xf>
    <xf numFmtId="0" fontId="1" fillId="0" borderId="28" xfId="0" applyFont="1" applyBorder="1" applyAlignment="1">
      <alignment horizontal="center"/>
    </xf>
    <xf numFmtId="0" fontId="2" fillId="0" borderId="4" xfId="0" applyFont="1" applyBorder="1"/>
    <xf numFmtId="10" fontId="1" fillId="0" borderId="4" xfId="0" applyNumberFormat="1" applyFont="1" applyBorder="1" applyAlignment="1">
      <alignment horizontal="center"/>
    </xf>
    <xf numFmtId="166" fontId="1" fillId="0" borderId="4" xfId="0" applyNumberFormat="1" applyFont="1" applyBorder="1" applyAlignment="1">
      <alignment horizontal="center"/>
    </xf>
    <xf numFmtId="10" fontId="1" fillId="0" borderId="23" xfId="0" applyNumberFormat="1" applyFont="1" applyBorder="1" applyAlignment="1">
      <alignment horizontal="center"/>
    </xf>
    <xf numFmtId="166" fontId="1" fillId="0" borderId="23" xfId="0" applyNumberFormat="1" applyFont="1" applyBorder="1" applyAlignment="1">
      <alignment horizontal="center"/>
    </xf>
    <xf numFmtId="170" fontId="1" fillId="5" borderId="6" xfId="0" applyNumberFormat="1" applyFont="1" applyFill="1" applyBorder="1" applyAlignment="1">
      <alignment horizontal="center"/>
    </xf>
    <xf numFmtId="0" fontId="2" fillId="0" borderId="6" xfId="0" applyFont="1" applyBorder="1" applyAlignment="1">
      <alignment horizontal="center"/>
    </xf>
    <xf numFmtId="0" fontId="5" fillId="2" borderId="24" xfId="0" applyFont="1" applyFill="1" applyBorder="1" applyAlignment="1">
      <alignment horizontal="center" vertical="center"/>
    </xf>
    <xf numFmtId="0" fontId="8" fillId="11" borderId="0" xfId="0" applyFont="1" applyFill="1"/>
    <xf numFmtId="0" fontId="5" fillId="11" borderId="0" xfId="0" applyFont="1" applyFill="1"/>
    <xf numFmtId="166" fontId="5" fillId="11" borderId="0" xfId="0" applyNumberFormat="1" applyFont="1" applyFill="1"/>
    <xf numFmtId="166" fontId="5" fillId="11" borderId="0" xfId="0" applyNumberFormat="1" applyFont="1" applyFill="1" applyAlignment="1">
      <alignment horizontal="center"/>
    </xf>
    <xf numFmtId="10" fontId="5" fillId="11" borderId="0" xfId="0" applyNumberFormat="1" applyFont="1" applyFill="1" applyAlignment="1">
      <alignment horizontal="center"/>
    </xf>
    <xf numFmtId="10" fontId="5" fillId="11" borderId="6" xfId="0" applyNumberFormat="1" applyFont="1" applyFill="1" applyBorder="1" applyAlignment="1">
      <alignment horizontal="center"/>
    </xf>
    <xf numFmtId="10" fontId="5" fillId="11" borderId="24" xfId="0" applyNumberFormat="1" applyFont="1" applyFill="1" applyBorder="1" applyAlignment="1">
      <alignment horizontal="center"/>
    </xf>
    <xf numFmtId="166" fontId="1" fillId="0" borderId="8" xfId="0" applyNumberFormat="1" applyFont="1" applyBorder="1" applyAlignment="1">
      <alignment horizontal="center"/>
    </xf>
    <xf numFmtId="10" fontId="8" fillId="11" borderId="0" xfId="0" applyNumberFormat="1" applyFont="1" applyFill="1" applyAlignment="1">
      <alignment horizontal="center"/>
    </xf>
    <xf numFmtId="4" fontId="1" fillId="0" borderId="1" xfId="0" applyNumberFormat="1" applyFont="1" applyBorder="1" applyAlignment="1">
      <alignment horizontal="center"/>
    </xf>
    <xf numFmtId="0" fontId="1" fillId="0" borderId="11" xfId="0" applyFont="1" applyBorder="1" applyAlignment="1">
      <alignment horizontal="center"/>
    </xf>
    <xf numFmtId="166" fontId="6" fillId="0" borderId="6" xfId="0" applyNumberFormat="1" applyFont="1" applyBorder="1" applyAlignment="1">
      <alignment horizontal="center"/>
    </xf>
    <xf numFmtId="4" fontId="1" fillId="0" borderId="11" xfId="0" applyNumberFormat="1" applyFont="1" applyBorder="1" applyAlignment="1">
      <alignment horizontal="center"/>
    </xf>
    <xf numFmtId="166" fontId="1" fillId="0" borderId="26" xfId="0" applyNumberFormat="1" applyFont="1" applyBorder="1" applyAlignment="1">
      <alignment horizontal="center"/>
    </xf>
    <xf numFmtId="0" fontId="5" fillId="11" borderId="0" xfId="0" applyFont="1" applyFill="1" applyAlignment="1">
      <alignment horizontal="center"/>
    </xf>
    <xf numFmtId="0" fontId="1" fillId="0" borderId="4" xfId="0" applyFont="1" applyBorder="1" applyAlignment="1">
      <alignment horizontal="center"/>
    </xf>
    <xf numFmtId="0" fontId="1" fillId="0" borderId="23" xfId="0" applyFont="1" applyBorder="1" applyAlignment="1">
      <alignment horizontal="center"/>
    </xf>
    <xf numFmtId="4" fontId="12" fillId="0" borderId="0" xfId="2" quotePrefix="1" applyNumberFormat="1"/>
    <xf numFmtId="0" fontId="12" fillId="0" borderId="0" xfId="2"/>
    <xf numFmtId="166" fontId="1" fillId="0" borderId="9" xfId="0" applyNumberFormat="1" applyFont="1" applyBorder="1" applyAlignment="1">
      <alignment horizontal="center"/>
    </xf>
    <xf numFmtId="166" fontId="1" fillId="0" borderId="13" xfId="0" applyNumberFormat="1" applyFont="1" applyBorder="1" applyAlignment="1">
      <alignment horizontal="center"/>
    </xf>
    <xf numFmtId="169" fontId="2" fillId="0" borderId="1" xfId="0" applyNumberFormat="1" applyFont="1" applyBorder="1"/>
    <xf numFmtId="0" fontId="30" fillId="0" borderId="0" xfId="0" applyFont="1" applyAlignment="1">
      <alignment horizontal="center"/>
    </xf>
    <xf numFmtId="0" fontId="31" fillId="0" borderId="0" xfId="0" applyFont="1"/>
    <xf numFmtId="0" fontId="1" fillId="0" borderId="30" xfId="0" applyFont="1" applyBorder="1" applyAlignment="1">
      <alignment horizontal="center"/>
    </xf>
    <xf numFmtId="0" fontId="32" fillId="0" borderId="0" xfId="0" applyFont="1"/>
    <xf numFmtId="0" fontId="33" fillId="0" borderId="0" xfId="0" applyFont="1"/>
    <xf numFmtId="0" fontId="34" fillId="0" borderId="0" xfId="0" applyFont="1"/>
    <xf numFmtId="0" fontId="5" fillId="5" borderId="0" xfId="0" applyFont="1" applyFill="1" applyAlignment="1">
      <alignment horizontal="center" vertical="center"/>
    </xf>
    <xf numFmtId="2" fontId="1" fillId="0" borderId="6" xfId="0" applyNumberFormat="1" applyFont="1" applyBorder="1"/>
    <xf numFmtId="0" fontId="12" fillId="5" borderId="0" xfId="2" applyFill="1" applyBorder="1"/>
    <xf numFmtId="0" fontId="5" fillId="5" borderId="0" xfId="0" applyFont="1" applyFill="1" applyAlignment="1">
      <alignment horizontal="left"/>
    </xf>
    <xf numFmtId="0" fontId="5" fillId="5" borderId="0" xfId="0" applyFont="1" applyFill="1" applyAlignment="1">
      <alignment horizontal="center"/>
    </xf>
    <xf numFmtId="0" fontId="6" fillId="0" borderId="31" xfId="0" applyFont="1" applyBorder="1" applyAlignment="1">
      <alignment horizontal="center"/>
    </xf>
    <xf numFmtId="2" fontId="1" fillId="0" borderId="15" xfId="0" applyNumberFormat="1" applyFont="1" applyBorder="1" applyAlignment="1">
      <alignment horizontal="center"/>
    </xf>
    <xf numFmtId="0" fontId="2" fillId="8" borderId="0" xfId="0" applyFont="1" applyFill="1"/>
    <xf numFmtId="0" fontId="28" fillId="8" borderId="15" xfId="0" applyFont="1" applyFill="1" applyBorder="1" applyAlignment="1">
      <alignment horizontal="center"/>
    </xf>
    <xf numFmtId="170" fontId="28" fillId="8" borderId="0" xfId="0" applyNumberFormat="1" applyFont="1" applyFill="1" applyAlignment="1">
      <alignment horizontal="center"/>
    </xf>
    <xf numFmtId="2" fontId="1" fillId="0" borderId="15" xfId="0" applyNumberFormat="1" applyFont="1" applyBorder="1"/>
    <xf numFmtId="2" fontId="1" fillId="7" borderId="0" xfId="0" applyNumberFormat="1" applyFont="1" applyFill="1" applyAlignment="1">
      <alignment horizontal="center"/>
    </xf>
    <xf numFmtId="10" fontId="1" fillId="0" borderId="15" xfId="0" applyNumberFormat="1" applyFont="1" applyBorder="1"/>
    <xf numFmtId="10" fontId="2" fillId="0" borderId="0" xfId="0" applyNumberFormat="1" applyFont="1" applyAlignment="1">
      <alignment horizontal="center"/>
    </xf>
    <xf numFmtId="0" fontId="1" fillId="0" borderId="6" xfId="0" applyFont="1" applyBorder="1" applyAlignment="1">
      <alignment horizontal="left"/>
    </xf>
    <xf numFmtId="14" fontId="2" fillId="0" borderId="0" xfId="0" applyNumberFormat="1" applyFont="1"/>
    <xf numFmtId="0" fontId="35" fillId="0" borderId="0" xfId="0" applyFont="1"/>
    <xf numFmtId="0" fontId="1" fillId="0" borderId="0" xfId="0" applyFont="1" applyAlignment="1">
      <alignment vertical="top"/>
    </xf>
    <xf numFmtId="0" fontId="36" fillId="0" borderId="0" xfId="0" applyFont="1"/>
    <xf numFmtId="9" fontId="16" fillId="0" borderId="0" xfId="0" applyNumberFormat="1" applyFont="1" applyAlignment="1">
      <alignment horizontal="left"/>
    </xf>
    <xf numFmtId="166" fontId="24" fillId="0" borderId="0" xfId="0" applyNumberFormat="1" applyFont="1" applyAlignment="1">
      <alignment horizontal="center"/>
    </xf>
    <xf numFmtId="166" fontId="24" fillId="0" borderId="0" xfId="0" applyNumberFormat="1" applyFont="1" applyAlignment="1">
      <alignment horizontal="left"/>
    </xf>
    <xf numFmtId="0" fontId="24" fillId="0" borderId="0" xfId="0" applyFont="1" applyAlignment="1">
      <alignment horizontal="left"/>
    </xf>
    <xf numFmtId="0" fontId="24" fillId="0" borderId="0" xfId="0" applyFont="1" applyAlignment="1">
      <alignment horizontal="center"/>
    </xf>
    <xf numFmtId="0" fontId="24" fillId="0" borderId="0" xfId="0" applyFont="1"/>
    <xf numFmtId="166" fontId="1" fillId="5" borderId="0" xfId="0" applyNumberFormat="1" applyFont="1" applyFill="1" applyAlignment="1">
      <alignment horizontal="center" vertical="center"/>
    </xf>
    <xf numFmtId="0" fontId="13" fillId="0" borderId="0" xfId="0" applyFont="1"/>
    <xf numFmtId="0" fontId="37" fillId="0" borderId="0" xfId="0" applyFont="1"/>
    <xf numFmtId="0" fontId="0" fillId="0" borderId="0" xfId="0" applyAlignment="1">
      <alignment horizontal="left"/>
    </xf>
    <xf numFmtId="0" fontId="0" fillId="0" borderId="0" xfId="0" applyAlignment="1">
      <alignment horizontal="center"/>
    </xf>
    <xf numFmtId="0" fontId="39" fillId="0" borderId="0" xfId="0" applyFont="1" applyAlignment="1">
      <alignment horizontal="center"/>
    </xf>
    <xf numFmtId="10" fontId="0" fillId="0" borderId="0" xfId="0" applyNumberFormat="1" applyAlignment="1">
      <alignment horizontal="center"/>
    </xf>
    <xf numFmtId="10" fontId="0" fillId="0" borderId="0" xfId="0" applyNumberFormat="1"/>
    <xf numFmtId="0" fontId="38" fillId="5" borderId="0" xfId="0" applyFont="1" applyFill="1" applyAlignment="1">
      <alignment horizontal="center"/>
    </xf>
    <xf numFmtId="0" fontId="13" fillId="0" borderId="0" xfId="0" applyFont="1" applyAlignment="1">
      <alignment horizontal="left"/>
    </xf>
    <xf numFmtId="10" fontId="13" fillId="0" borderId="0" xfId="0" applyNumberFormat="1" applyFont="1" applyAlignment="1">
      <alignment horizontal="center"/>
    </xf>
    <xf numFmtId="0" fontId="13" fillId="0" borderId="1" xfId="0" applyFont="1" applyBorder="1"/>
    <xf numFmtId="10" fontId="0" fillId="0" borderId="1" xfId="0" applyNumberFormat="1" applyBorder="1" applyAlignment="1">
      <alignment horizontal="center"/>
    </xf>
    <xf numFmtId="0" fontId="0" fillId="0" borderId="1" xfId="0" applyBorder="1"/>
    <xf numFmtId="0" fontId="0" fillId="0" borderId="1" xfId="0" applyBorder="1" applyAlignment="1">
      <alignment horizontal="center"/>
    </xf>
    <xf numFmtId="0" fontId="13" fillId="0" borderId="2" xfId="0" applyFont="1" applyBorder="1" applyAlignment="1">
      <alignment horizontal="center"/>
    </xf>
    <xf numFmtId="0" fontId="38" fillId="5" borderId="2" xfId="0" applyFont="1" applyFill="1" applyBorder="1" applyAlignment="1">
      <alignment horizontal="center"/>
    </xf>
    <xf numFmtId="10" fontId="39" fillId="0" borderId="0" xfId="0" applyNumberFormat="1" applyFont="1" applyAlignment="1">
      <alignment horizontal="center"/>
    </xf>
    <xf numFmtId="2" fontId="0" fillId="0" borderId="0" xfId="0" applyNumberFormat="1" applyAlignment="1">
      <alignment horizontal="center"/>
    </xf>
    <xf numFmtId="0" fontId="13" fillId="0" borderId="2" xfId="0" applyFont="1" applyBorder="1" applyAlignment="1">
      <alignment horizontal="left"/>
    </xf>
    <xf numFmtId="172" fontId="1" fillId="0" borderId="0" xfId="0" applyNumberFormat="1" applyFont="1" applyAlignment="1">
      <alignment horizontal="center"/>
    </xf>
    <xf numFmtId="9" fontId="40" fillId="0" borderId="0" xfId="0" applyNumberFormat="1" applyFont="1" applyAlignment="1">
      <alignment horizontal="center"/>
    </xf>
    <xf numFmtId="0" fontId="34" fillId="0" borderId="0" xfId="0" applyFont="1" applyAlignment="1">
      <alignment horizontal="center"/>
    </xf>
    <xf numFmtId="2" fontId="34" fillId="0" borderId="0" xfId="0" applyNumberFormat="1" applyFont="1" applyAlignment="1">
      <alignment horizontal="center"/>
    </xf>
    <xf numFmtId="2" fontId="2" fillId="0" borderId="0" xfId="0" applyNumberFormat="1" applyFont="1" applyAlignment="1">
      <alignment horizontal="center"/>
    </xf>
    <xf numFmtId="0" fontId="1" fillId="0" borderId="9" xfId="0" applyFont="1" applyBorder="1" applyAlignment="1">
      <alignment horizontal="center"/>
    </xf>
    <xf numFmtId="166" fontId="1" fillId="5" borderId="6" xfId="0" applyNumberFormat="1" applyFont="1" applyFill="1" applyBorder="1" applyAlignment="1">
      <alignment horizontal="left"/>
    </xf>
    <xf numFmtId="0" fontId="41" fillId="0" borderId="0" xfId="0" applyFont="1" applyAlignment="1">
      <alignment horizontal="left"/>
    </xf>
    <xf numFmtId="0" fontId="41" fillId="0" borderId="0" xfId="0" applyFont="1"/>
    <xf numFmtId="0" fontId="42" fillId="0" borderId="0" xfId="0" applyFont="1"/>
    <xf numFmtId="0" fontId="34" fillId="0" borderId="1" xfId="0" applyFont="1" applyBorder="1"/>
    <xf numFmtId="10" fontId="36" fillId="0" borderId="0" xfId="0" applyNumberFormat="1" applyFont="1" applyAlignment="1">
      <alignment horizontal="center"/>
    </xf>
    <xf numFmtId="173" fontId="0" fillId="0" borderId="1" xfId="0" applyNumberFormat="1" applyBorder="1" applyAlignment="1">
      <alignment horizontal="center"/>
    </xf>
    <xf numFmtId="174" fontId="1" fillId="0" borderId="0" xfId="0" applyNumberFormat="1" applyFont="1"/>
    <xf numFmtId="175" fontId="1" fillId="0" borderId="0" xfId="0" applyNumberFormat="1" applyFont="1"/>
    <xf numFmtId="176" fontId="1" fillId="0" borderId="0" xfId="0" applyNumberFormat="1" applyFont="1" applyAlignment="1">
      <alignment horizontal="center"/>
    </xf>
    <xf numFmtId="176" fontId="1" fillId="0" borderId="6" xfId="0" applyNumberFormat="1" applyFont="1" applyBorder="1" applyAlignment="1">
      <alignment horizontal="center"/>
    </xf>
    <xf numFmtId="176" fontId="1" fillId="0" borderId="1" xfId="0" applyNumberFormat="1" applyFont="1" applyBorder="1" applyAlignment="1">
      <alignment horizontal="center"/>
    </xf>
    <xf numFmtId="176" fontId="1" fillId="0" borderId="11" xfId="0" applyNumberFormat="1" applyFont="1" applyBorder="1" applyAlignment="1">
      <alignment horizontal="center"/>
    </xf>
    <xf numFmtId="176" fontId="1" fillId="0" borderId="8" xfId="0" applyNumberFormat="1" applyFont="1" applyBorder="1" applyAlignment="1">
      <alignment horizontal="center"/>
    </xf>
    <xf numFmtId="176" fontId="2" fillId="3" borderId="0" xfId="0" applyNumberFormat="1" applyFont="1" applyFill="1" applyAlignment="1">
      <alignment horizontal="center"/>
    </xf>
    <xf numFmtId="176" fontId="1" fillId="3" borderId="0" xfId="0" applyNumberFormat="1" applyFont="1" applyFill="1" applyAlignment="1">
      <alignment horizontal="center"/>
    </xf>
    <xf numFmtId="176" fontId="1" fillId="3" borderId="6" xfId="0" applyNumberFormat="1" applyFont="1" applyFill="1" applyBorder="1" applyAlignment="1">
      <alignment horizontal="center"/>
    </xf>
    <xf numFmtId="176" fontId="1" fillId="5" borderId="0" xfId="0" applyNumberFormat="1" applyFont="1" applyFill="1" applyAlignment="1">
      <alignment horizontal="center"/>
    </xf>
    <xf numFmtId="176" fontId="6" fillId="0" borderId="0" xfId="0" applyNumberFormat="1" applyFont="1" applyAlignment="1">
      <alignment horizontal="center"/>
    </xf>
    <xf numFmtId="176" fontId="24" fillId="0" borderId="0" xfId="0" applyNumberFormat="1" applyFont="1" applyAlignment="1">
      <alignment horizontal="center"/>
    </xf>
    <xf numFmtId="177" fontId="1" fillId="0" borderId="1" xfId="0" applyNumberFormat="1" applyFont="1" applyBorder="1" applyAlignment="1">
      <alignment horizontal="center"/>
    </xf>
    <xf numFmtId="10" fontId="24" fillId="0" borderId="0" xfId="0" applyNumberFormat="1" applyFont="1" applyAlignment="1">
      <alignment horizontal="center"/>
    </xf>
    <xf numFmtId="178" fontId="36" fillId="0" borderId="0" xfId="0" applyNumberFormat="1" applyFont="1" applyAlignment="1">
      <alignment horizontal="center"/>
    </xf>
    <xf numFmtId="10" fontId="1" fillId="0" borderId="1" xfId="0" applyNumberFormat="1" applyFont="1" applyBorder="1" applyAlignment="1">
      <alignment horizontal="center"/>
    </xf>
    <xf numFmtId="0" fontId="43" fillId="0" borderId="0" xfId="0" applyFont="1" applyAlignment="1">
      <alignment horizontal="left"/>
    </xf>
    <xf numFmtId="166" fontId="44" fillId="0" borderId="0" xfId="0" applyNumberFormat="1" applyFont="1" applyAlignment="1">
      <alignment horizontal="center"/>
    </xf>
    <xf numFmtId="166" fontId="1" fillId="7" borderId="0" xfId="0" applyNumberFormat="1" applyFont="1" applyFill="1" applyAlignment="1">
      <alignment horizontal="center"/>
    </xf>
    <xf numFmtId="10" fontId="45" fillId="0" borderId="0" xfId="0" applyNumberFormat="1" applyFont="1" applyAlignment="1">
      <alignment horizontal="center"/>
    </xf>
    <xf numFmtId="10" fontId="1" fillId="7" borderId="0" xfId="0" applyNumberFormat="1" applyFont="1" applyFill="1" applyAlignment="1">
      <alignment horizontal="center"/>
    </xf>
    <xf numFmtId="2" fontId="45" fillId="0" borderId="0" xfId="0" applyNumberFormat="1" applyFont="1" applyAlignment="1">
      <alignment horizontal="center"/>
    </xf>
    <xf numFmtId="0" fontId="34" fillId="0" borderId="4" xfId="0" applyFont="1" applyBorder="1"/>
    <xf numFmtId="0" fontId="2" fillId="0" borderId="4" xfId="0" applyFont="1" applyBorder="1" applyAlignment="1">
      <alignment horizontal="left"/>
    </xf>
    <xf numFmtId="0" fontId="0" fillId="0" borderId="4" xfId="0" applyBorder="1"/>
    <xf numFmtId="166" fontId="1" fillId="5" borderId="0" xfId="0" applyNumberFormat="1" applyFont="1" applyFill="1" applyAlignment="1">
      <alignment horizontal="left"/>
    </xf>
    <xf numFmtId="0" fontId="46" fillId="0" borderId="6" xfId="2" applyFont="1" applyBorder="1" applyAlignment="1">
      <alignment horizontal="left"/>
    </xf>
    <xf numFmtId="0" fontId="46" fillId="0" borderId="6" xfId="2" quotePrefix="1" applyFont="1" applyBorder="1" applyAlignment="1">
      <alignment horizontal="left"/>
    </xf>
    <xf numFmtId="0" fontId="46" fillId="0" borderId="24" xfId="2" applyFont="1" applyBorder="1" applyAlignment="1">
      <alignment horizontal="left"/>
    </xf>
    <xf numFmtId="0" fontId="47" fillId="0" borderId="0" xfId="2" applyFont="1"/>
    <xf numFmtId="0" fontId="48" fillId="0" borderId="0" xfId="0" applyFont="1"/>
    <xf numFmtId="10" fontId="43" fillId="0" borderId="0" xfId="0" applyNumberFormat="1" applyFont="1" applyAlignment="1">
      <alignment horizontal="center"/>
    </xf>
    <xf numFmtId="0" fontId="49" fillId="0" borderId="0" xfId="0" applyFont="1"/>
    <xf numFmtId="0" fontId="22" fillId="0" borderId="0" xfId="0" applyFont="1"/>
    <xf numFmtId="0" fontId="8" fillId="12" borderId="33" xfId="0" applyFont="1" applyFill="1" applyBorder="1" applyAlignment="1">
      <alignment horizontal="center"/>
    </xf>
    <xf numFmtId="0" fontId="50" fillId="4" borderId="0" xfId="0" applyFont="1" applyFill="1"/>
    <xf numFmtId="0" fontId="13" fillId="0" borderId="0" xfId="0" applyFont="1" applyAlignment="1">
      <alignment horizontal="center"/>
    </xf>
    <xf numFmtId="0" fontId="13" fillId="0" borderId="37" xfId="0" applyFont="1" applyBorder="1" applyAlignment="1">
      <alignment horizontal="center"/>
    </xf>
    <xf numFmtId="0" fontId="51" fillId="0" borderId="0" xfId="0" applyFont="1"/>
    <xf numFmtId="15" fontId="23" fillId="4" borderId="0" xfId="0" applyNumberFormat="1" applyFont="1" applyFill="1" applyAlignment="1">
      <alignment horizontal="center"/>
    </xf>
    <xf numFmtId="15" fontId="23" fillId="4" borderId="37" xfId="0" applyNumberFormat="1" applyFont="1" applyFill="1" applyBorder="1" applyAlignment="1">
      <alignment horizontal="center"/>
    </xf>
    <xf numFmtId="0" fontId="13" fillId="0" borderId="32" xfId="0" applyFont="1" applyBorder="1"/>
    <xf numFmtId="0" fontId="7" fillId="0" borderId="37" xfId="0" applyFont="1" applyBorder="1" applyAlignment="1">
      <alignment horizontal="right"/>
    </xf>
    <xf numFmtId="166" fontId="52" fillId="0" borderId="0" xfId="0" applyNumberFormat="1" applyFont="1" applyAlignment="1">
      <alignment horizontal="center"/>
    </xf>
    <xf numFmtId="0" fontId="0" fillId="0" borderId="37" xfId="0" applyBorder="1" applyAlignment="1">
      <alignment horizontal="center"/>
    </xf>
    <xf numFmtId="0" fontId="7" fillId="0" borderId="0" xfId="0" applyFont="1" applyAlignment="1">
      <alignment horizontal="center"/>
    </xf>
    <xf numFmtId="0" fontId="7" fillId="0" borderId="37" xfId="0" applyFont="1" applyBorder="1" applyAlignment="1">
      <alignment horizontal="center"/>
    </xf>
    <xf numFmtId="0" fontId="51" fillId="0" borderId="0" xfId="0" applyFont="1" applyAlignment="1">
      <alignment horizontal="center"/>
    </xf>
    <xf numFmtId="10" fontId="51" fillId="0" borderId="0" xfId="0" applyNumberFormat="1" applyFont="1" applyAlignment="1">
      <alignment horizontal="center"/>
    </xf>
    <xf numFmtId="10" fontId="51" fillId="0" borderId="37" xfId="0" applyNumberFormat="1" applyFont="1" applyBorder="1" applyAlignment="1">
      <alignment horizontal="center"/>
    </xf>
    <xf numFmtId="0" fontId="13" fillId="0" borderId="32" xfId="0" applyFont="1" applyBorder="1" applyAlignment="1">
      <alignment horizontal="center"/>
    </xf>
    <xf numFmtId="166" fontId="0" fillId="0" borderId="0" xfId="0" applyNumberFormat="1" applyAlignment="1">
      <alignment horizontal="center"/>
    </xf>
    <xf numFmtId="179" fontId="0" fillId="0" borderId="0" xfId="0" applyNumberFormat="1" applyAlignment="1">
      <alignment horizontal="center"/>
    </xf>
    <xf numFmtId="4" fontId="13" fillId="0" borderId="0" xfId="0" applyNumberFormat="1" applyFont="1" applyAlignment="1">
      <alignment horizontal="center"/>
    </xf>
    <xf numFmtId="166" fontId="53" fillId="0" borderId="0" xfId="0" applyNumberFormat="1" applyFont="1" applyAlignment="1">
      <alignment horizontal="center"/>
    </xf>
    <xf numFmtId="0" fontId="34" fillId="0" borderId="2" xfId="0" applyFont="1" applyBorder="1"/>
    <xf numFmtId="166" fontId="52" fillId="0" borderId="2" xfId="0" applyNumberFormat="1" applyFont="1" applyBorder="1" applyAlignment="1">
      <alignment horizontal="center"/>
    </xf>
    <xf numFmtId="0" fontId="31" fillId="0" borderId="1" xfId="0" applyFont="1" applyBorder="1"/>
    <xf numFmtId="166" fontId="53" fillId="0" borderId="1" xfId="0" applyNumberFormat="1" applyFont="1" applyBorder="1" applyAlignment="1">
      <alignment horizontal="center"/>
    </xf>
    <xf numFmtId="10" fontId="52" fillId="0" borderId="0" xfId="0" applyNumberFormat="1" applyFont="1" applyAlignment="1">
      <alignment horizontal="center"/>
    </xf>
    <xf numFmtId="166" fontId="12" fillId="0" borderId="0" xfId="2" applyNumberFormat="1" applyAlignment="1">
      <alignment horizontal="center"/>
    </xf>
    <xf numFmtId="0" fontId="45" fillId="0" borderId="0" xfId="0" applyFont="1"/>
    <xf numFmtId="10" fontId="53" fillId="0" borderId="0" xfId="0" applyNumberFormat="1" applyFont="1" applyAlignment="1">
      <alignment horizontal="center"/>
    </xf>
    <xf numFmtId="0" fontId="13" fillId="0" borderId="7" xfId="0" applyFont="1" applyBorder="1"/>
    <xf numFmtId="166" fontId="52" fillId="0" borderId="7" xfId="0" applyNumberFormat="1" applyFont="1" applyBorder="1" applyAlignment="1">
      <alignment horizontal="center"/>
    </xf>
    <xf numFmtId="0" fontId="12" fillId="0" borderId="6" xfId="2" applyBorder="1" applyAlignment="1">
      <alignment horizontal="left"/>
    </xf>
    <xf numFmtId="0" fontId="12" fillId="0" borderId="6" xfId="2" quotePrefix="1" applyBorder="1" applyAlignment="1">
      <alignment horizontal="left"/>
    </xf>
    <xf numFmtId="0" fontId="5" fillId="5" borderId="0" xfId="0" applyFont="1" applyFill="1" applyAlignment="1">
      <alignment vertical="center"/>
    </xf>
    <xf numFmtId="166" fontId="13" fillId="5" borderId="0" xfId="1" applyNumberFormat="1" applyFill="1" applyBorder="1"/>
    <xf numFmtId="0" fontId="13" fillId="5" borderId="0" xfId="1" applyFill="1" applyBorder="1"/>
    <xf numFmtId="4" fontId="1" fillId="5" borderId="0" xfId="0" applyNumberFormat="1" applyFont="1" applyFill="1"/>
    <xf numFmtId="0" fontId="2" fillId="5" borderId="0" xfId="0" applyFont="1" applyFill="1" applyAlignment="1">
      <alignment horizontal="right"/>
    </xf>
    <xf numFmtId="0" fontId="6" fillId="5" borderId="0" xfId="0" applyFont="1" applyFill="1"/>
    <xf numFmtId="167" fontId="13" fillId="5" borderId="0" xfId="1" applyNumberFormat="1" applyFill="1" applyBorder="1"/>
    <xf numFmtId="0" fontId="1" fillId="5" borderId="0" xfId="0" applyFont="1" applyFill="1" applyAlignment="1">
      <alignment horizontal="center" vertical="center"/>
    </xf>
    <xf numFmtId="0" fontId="19" fillId="4" borderId="34" xfId="0" applyFont="1" applyFill="1" applyBorder="1" applyAlignment="1">
      <alignment horizontal="center" vertical="center"/>
    </xf>
    <xf numFmtId="0" fontId="19" fillId="4" borderId="35" xfId="0" applyFont="1" applyFill="1" applyBorder="1" applyAlignment="1">
      <alignment horizontal="center" vertical="center"/>
    </xf>
    <xf numFmtId="0" fontId="19" fillId="4" borderId="36" xfId="0" applyFont="1" applyFill="1" applyBorder="1" applyAlignment="1">
      <alignment horizontal="center" vertical="center"/>
    </xf>
    <xf numFmtId="0" fontId="5" fillId="4" borderId="34" xfId="0" applyFont="1" applyFill="1" applyBorder="1" applyAlignment="1">
      <alignment horizontal="center" vertical="center"/>
    </xf>
    <xf numFmtId="0" fontId="5" fillId="4" borderId="35" xfId="0" applyFont="1" applyFill="1" applyBorder="1" applyAlignment="1">
      <alignment horizontal="center" vertical="center"/>
    </xf>
    <xf numFmtId="0" fontId="5" fillId="4" borderId="36" xfId="0" applyFont="1" applyFill="1" applyBorder="1" applyAlignment="1">
      <alignment horizontal="center" vertical="center"/>
    </xf>
    <xf numFmtId="0" fontId="5" fillId="4" borderId="38" xfId="0" applyFont="1" applyFill="1" applyBorder="1" applyAlignment="1">
      <alignment horizontal="center" vertical="center"/>
    </xf>
    <xf numFmtId="0" fontId="5" fillId="4" borderId="39" xfId="0" applyFont="1" applyFill="1" applyBorder="1" applyAlignment="1">
      <alignment horizontal="center" vertical="center"/>
    </xf>
    <xf numFmtId="0" fontId="5" fillId="4" borderId="40" xfId="0" applyFont="1" applyFill="1" applyBorder="1" applyAlignment="1">
      <alignment horizontal="center" vertical="center"/>
    </xf>
    <xf numFmtId="0" fontId="2" fillId="0" borderId="0" xfId="0" applyFont="1" applyAlignment="1">
      <alignment horizontal="center"/>
    </xf>
    <xf numFmtId="0" fontId="1" fillId="0" borderId="13" xfId="0" applyFont="1" applyBorder="1" applyAlignment="1">
      <alignment horizontal="center"/>
    </xf>
    <xf numFmtId="0" fontId="1" fillId="0" borderId="0" xfId="0" applyFont="1" applyAlignment="1">
      <alignment horizontal="center"/>
    </xf>
    <xf numFmtId="0" fontId="1" fillId="0" borderId="6" xfId="0" applyFont="1" applyBorder="1" applyAlignment="1">
      <alignment horizontal="center"/>
    </xf>
    <xf numFmtId="0" fontId="19" fillId="7" borderId="0" xfId="0" applyFont="1" applyFill="1" applyAlignment="1">
      <alignment horizontal="center" vertical="center"/>
    </xf>
    <xf numFmtId="0" fontId="54" fillId="4" borderId="0" xfId="0" applyFont="1" applyFill="1" applyAlignment="1">
      <alignment horizontal="center"/>
    </xf>
  </cellXfs>
  <cellStyles count="3">
    <cellStyle name="Hyperlink" xfId="2" builtinId="8"/>
    <cellStyle name="Normal" xfId="0" builtinId="0"/>
    <cellStyle name="RowLevel_1" xfId="1" builtinId="1" iLevel="0"/>
  </cellStyles>
  <dxfs count="21">
    <dxf>
      <font>
        <color rgb="FF9C0006"/>
      </font>
      <fill>
        <patternFill>
          <bgColor rgb="FFFFC7CE"/>
        </patternFill>
      </fill>
    </dxf>
    <dxf>
      <fill>
        <patternFill>
          <bgColor rgb="FF92D050"/>
        </patternFill>
      </fill>
    </dxf>
    <dxf>
      <fill>
        <patternFill>
          <bgColor rgb="FF92D050"/>
        </patternFill>
      </fill>
    </dxf>
    <dxf>
      <numFmt numFmtId="14" formatCode="0.00%"/>
      <fill>
        <patternFill>
          <bgColor rgb="FF92D050"/>
        </patternFill>
      </fill>
    </dxf>
    <dxf>
      <font>
        <color rgb="FF9C0006"/>
      </font>
      <fill>
        <patternFill>
          <bgColor rgb="FFFFC7CE"/>
        </patternFill>
      </fill>
    </dxf>
    <dxf>
      <font>
        <color theme="1"/>
      </font>
      <fill>
        <patternFill>
          <bgColor rgb="FF92D050"/>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Calibri "/>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
        <scheme val="none"/>
      </font>
      <alignment horizontal="center" vertical="bottom" textRotation="0" wrapText="0" indent="0" justifyLastLine="0" shrinkToFit="0" readingOrder="0"/>
      <border diagonalUp="0" diagonalDown="0" outline="0">
        <left/>
        <right style="thin">
          <color indexed="64"/>
        </right>
        <top/>
        <bottom/>
      </border>
    </dxf>
    <dxf>
      <border diagonalUp="0" diagonalDown="0">
        <left/>
        <right style="thin">
          <color indexed="64"/>
        </right>
        <top/>
        <bottom/>
      </border>
    </dxf>
    <dxf>
      <font>
        <b val="0"/>
        <i val="0"/>
        <strike val="0"/>
        <condense val="0"/>
        <extend val="0"/>
        <outline val="0"/>
        <shadow val="0"/>
        <u val="none"/>
        <vertAlign val="baseline"/>
        <sz val="12"/>
        <color theme="1"/>
        <name val="Calibri "/>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
        <scheme val="none"/>
      </font>
      <numFmt numFmtId="14" formatCode="0.00%"/>
    </dxf>
    <dxf>
      <font>
        <b val="0"/>
        <i val="0"/>
        <strike val="0"/>
        <condense val="0"/>
        <extend val="0"/>
        <outline val="0"/>
        <shadow val="0"/>
        <u val="none"/>
        <vertAlign val="baseline"/>
        <sz val="12"/>
        <color theme="1"/>
        <name val="Calibri "/>
        <scheme val="none"/>
      </font>
    </dxf>
    <dxf>
      <font>
        <b val="0"/>
        <i val="0"/>
        <strike val="0"/>
        <condense val="0"/>
        <extend val="0"/>
        <outline val="0"/>
        <shadow val="0"/>
        <u val="none"/>
        <vertAlign val="baseline"/>
        <sz val="12"/>
        <color theme="1"/>
        <name val="Calibri "/>
        <scheme val="none"/>
      </font>
    </dxf>
    <dxf>
      <font>
        <b val="0"/>
        <i val="0"/>
        <strike val="0"/>
        <condense val="0"/>
        <extend val="0"/>
        <outline val="0"/>
        <shadow val="0"/>
        <u val="none"/>
        <vertAlign val="baseline"/>
        <sz val="12"/>
        <color theme="1"/>
        <name val="Calibri "/>
        <scheme val="none"/>
      </font>
    </dxf>
    <dxf>
      <font>
        <b val="0"/>
        <i val="0"/>
        <strike val="0"/>
        <condense val="0"/>
        <extend val="0"/>
        <outline val="0"/>
        <shadow val="0"/>
        <u val="none"/>
        <vertAlign val="baseline"/>
        <sz val="12"/>
        <color theme="1"/>
        <name val="Calibri "/>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Revenue!$C$13</c:f>
              <c:strCache>
                <c:ptCount val="1"/>
                <c:pt idx="0">
                  <c:v>Revenue</c:v>
                </c:pt>
              </c:strCache>
            </c:strRef>
          </c:tx>
          <c:spPr>
            <a:solidFill>
              <a:schemeClr val="accent1"/>
            </a:solidFill>
            <a:ln>
              <a:noFill/>
            </a:ln>
            <a:effectLst/>
          </c:spPr>
          <c:invertIfNegative val="0"/>
          <c:cat>
            <c:strRef>
              <c:f>Revenue!$D$2:$N$2</c:f>
              <c:strCache>
                <c:ptCount val="11"/>
                <c:pt idx="0">
                  <c:v>FY 18</c:v>
                </c:pt>
                <c:pt idx="1">
                  <c:v>FY 19</c:v>
                </c:pt>
                <c:pt idx="2">
                  <c:v>FY 20</c:v>
                </c:pt>
                <c:pt idx="3">
                  <c:v>FY 21</c:v>
                </c:pt>
                <c:pt idx="4">
                  <c:v>FY 22</c:v>
                </c:pt>
                <c:pt idx="5">
                  <c:v>FY 23</c:v>
                </c:pt>
                <c:pt idx="6">
                  <c:v>FY 24</c:v>
                </c:pt>
                <c:pt idx="7">
                  <c:v>FY 25</c:v>
                </c:pt>
                <c:pt idx="8">
                  <c:v>FY 26</c:v>
                </c:pt>
                <c:pt idx="9">
                  <c:v>FY 27</c:v>
                </c:pt>
                <c:pt idx="10">
                  <c:v>FY 28</c:v>
                </c:pt>
              </c:strCache>
            </c:strRef>
          </c:cat>
          <c:val>
            <c:numRef>
              <c:f>Revenue!$D$13:$N$13</c:f>
              <c:numCache>
                <c:formatCode>#,##0.00;\(#,##0.00\)</c:formatCode>
                <c:ptCount val="11"/>
                <c:pt idx="0">
                  <c:v>7721.85</c:v>
                </c:pt>
                <c:pt idx="1">
                  <c:v>8514.99</c:v>
                </c:pt>
                <c:pt idx="2">
                  <c:v>8684.64</c:v>
                </c:pt>
                <c:pt idx="3">
                  <c:v>9546.6</c:v>
                </c:pt>
                <c:pt idx="4">
                  <c:v>10888.68</c:v>
                </c:pt>
                <c:pt idx="5">
                  <c:v>11529.89</c:v>
                </c:pt>
                <c:pt idx="6">
                  <c:v>11529.89</c:v>
                </c:pt>
                <c:pt idx="7">
                  <c:v>11529.89</c:v>
                </c:pt>
                <c:pt idx="8">
                  <c:v>11529.89</c:v>
                </c:pt>
                <c:pt idx="9">
                  <c:v>11529.89</c:v>
                </c:pt>
                <c:pt idx="10">
                  <c:v>11529.89</c:v>
                </c:pt>
              </c:numCache>
            </c:numRef>
          </c:val>
          <c:extLst>
            <c:ext xmlns:c16="http://schemas.microsoft.com/office/drawing/2014/chart" uri="{C3380CC4-5D6E-409C-BE32-E72D297353CC}">
              <c16:uniqueId val="{00000000-384D-4BE1-9C43-C7E06E78023C}"/>
            </c:ext>
          </c:extLst>
        </c:ser>
        <c:ser>
          <c:idx val="1"/>
          <c:order val="1"/>
          <c:tx>
            <c:strRef>
              <c:f>Revenue!$C$14</c:f>
              <c:strCache>
                <c:ptCount val="1"/>
                <c:pt idx="0">
                  <c:v>Forecasted</c:v>
                </c:pt>
              </c:strCache>
            </c:strRef>
          </c:tx>
          <c:spPr>
            <a:solidFill>
              <a:schemeClr val="accent2"/>
            </a:solidFill>
            <a:ln>
              <a:noFill/>
            </a:ln>
            <a:effectLst/>
          </c:spPr>
          <c:invertIfNegative val="0"/>
          <c:cat>
            <c:strRef>
              <c:f>Revenue!$D$2:$N$2</c:f>
              <c:strCache>
                <c:ptCount val="11"/>
                <c:pt idx="0">
                  <c:v>FY 18</c:v>
                </c:pt>
                <c:pt idx="1">
                  <c:v>FY 19</c:v>
                </c:pt>
                <c:pt idx="2">
                  <c:v>FY 20</c:v>
                </c:pt>
                <c:pt idx="3">
                  <c:v>FY 21</c:v>
                </c:pt>
                <c:pt idx="4">
                  <c:v>FY 22</c:v>
                </c:pt>
                <c:pt idx="5">
                  <c:v>FY 23</c:v>
                </c:pt>
                <c:pt idx="6">
                  <c:v>FY 24</c:v>
                </c:pt>
                <c:pt idx="7">
                  <c:v>FY 25</c:v>
                </c:pt>
                <c:pt idx="8">
                  <c:v>FY 26</c:v>
                </c:pt>
                <c:pt idx="9">
                  <c:v>FY 27</c:v>
                </c:pt>
                <c:pt idx="10">
                  <c:v>FY 28</c:v>
                </c:pt>
              </c:strCache>
            </c:strRef>
          </c:cat>
          <c:val>
            <c:numRef>
              <c:f>Revenue!$D$14:$N$14</c:f>
              <c:numCache>
                <c:formatCode>General</c:formatCode>
                <c:ptCount val="11"/>
                <c:pt idx="0">
                  <c:v>0</c:v>
                </c:pt>
                <c:pt idx="1">
                  <c:v>0</c:v>
                </c:pt>
                <c:pt idx="2">
                  <c:v>0</c:v>
                </c:pt>
                <c:pt idx="3">
                  <c:v>0</c:v>
                </c:pt>
                <c:pt idx="4">
                  <c:v>0</c:v>
                </c:pt>
                <c:pt idx="5">
                  <c:v>0</c:v>
                </c:pt>
                <c:pt idx="6" formatCode="#,##0.0000">
                  <c:v>1106.8366500000011</c:v>
                </c:pt>
                <c:pt idx="7" formatCode="#,##0.0000">
                  <c:v>2308.4772315569026</c:v>
                </c:pt>
                <c:pt idx="8" formatCode="#,##0.0000">
                  <c:v>3346.354773923671</c:v>
                </c:pt>
                <c:pt idx="9" formatCode="#,##0.0000">
                  <c:v>4387.691908098328</c:v>
                </c:pt>
                <c:pt idx="10" formatCode="#,##0.0000">
                  <c:v>5422.3347321247202</c:v>
                </c:pt>
              </c:numCache>
            </c:numRef>
          </c:val>
          <c:extLst>
            <c:ext xmlns:c16="http://schemas.microsoft.com/office/drawing/2014/chart" uri="{C3380CC4-5D6E-409C-BE32-E72D297353CC}">
              <c16:uniqueId val="{00000001-384D-4BE1-9C43-C7E06E78023C}"/>
            </c:ext>
          </c:extLst>
        </c:ser>
        <c:dLbls>
          <c:showLegendKey val="0"/>
          <c:showVal val="0"/>
          <c:showCatName val="0"/>
          <c:showSerName val="0"/>
          <c:showPercent val="0"/>
          <c:showBubbleSize val="0"/>
        </c:dLbls>
        <c:gapWidth val="150"/>
        <c:overlap val="100"/>
        <c:axId val="1781517696"/>
        <c:axId val="1782169248"/>
      </c:barChart>
      <c:lineChart>
        <c:grouping val="standard"/>
        <c:varyColors val="0"/>
        <c:ser>
          <c:idx val="2"/>
          <c:order val="2"/>
          <c:tx>
            <c:strRef>
              <c:f>Revenue!$C$15</c:f>
              <c:strCache>
                <c:ptCount val="1"/>
                <c:pt idx="0">
                  <c:v>Overall</c:v>
                </c:pt>
              </c:strCache>
            </c:strRef>
          </c:tx>
          <c:spPr>
            <a:ln w="28575" cap="rnd">
              <a:solidFill>
                <a:schemeClr val="accent3"/>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Revenue!$D$2:$N$2</c:f>
              <c:strCache>
                <c:ptCount val="11"/>
                <c:pt idx="0">
                  <c:v>FY 18</c:v>
                </c:pt>
                <c:pt idx="1">
                  <c:v>FY 19</c:v>
                </c:pt>
                <c:pt idx="2">
                  <c:v>FY 20</c:v>
                </c:pt>
                <c:pt idx="3">
                  <c:v>FY 21</c:v>
                </c:pt>
                <c:pt idx="4">
                  <c:v>FY 22</c:v>
                </c:pt>
                <c:pt idx="5">
                  <c:v>FY 23</c:v>
                </c:pt>
                <c:pt idx="6">
                  <c:v>FY 24</c:v>
                </c:pt>
                <c:pt idx="7">
                  <c:v>FY 25</c:v>
                </c:pt>
                <c:pt idx="8">
                  <c:v>FY 26</c:v>
                </c:pt>
                <c:pt idx="9">
                  <c:v>FY 27</c:v>
                </c:pt>
                <c:pt idx="10">
                  <c:v>FY 28</c:v>
                </c:pt>
              </c:strCache>
            </c:strRef>
          </c:cat>
          <c:val>
            <c:numRef>
              <c:f>Revenue!$D$15:$N$15</c:f>
              <c:numCache>
                <c:formatCode>#,##0.00</c:formatCode>
                <c:ptCount val="11"/>
                <c:pt idx="0">
                  <c:v>7721.85</c:v>
                </c:pt>
                <c:pt idx="1">
                  <c:v>8514.99</c:v>
                </c:pt>
                <c:pt idx="2">
                  <c:v>8684.64</c:v>
                </c:pt>
                <c:pt idx="3">
                  <c:v>9546.6</c:v>
                </c:pt>
                <c:pt idx="4">
                  <c:v>10888.68</c:v>
                </c:pt>
                <c:pt idx="5">
                  <c:v>11529.89</c:v>
                </c:pt>
                <c:pt idx="6">
                  <c:v>12636.726650000001</c:v>
                </c:pt>
                <c:pt idx="7">
                  <c:v>13838.367231556902</c:v>
                </c:pt>
                <c:pt idx="8">
                  <c:v>14876.24477392367</c:v>
                </c:pt>
                <c:pt idx="9">
                  <c:v>15917.581908098327</c:v>
                </c:pt>
                <c:pt idx="10">
                  <c:v>16952.22473212472</c:v>
                </c:pt>
              </c:numCache>
            </c:numRef>
          </c:val>
          <c:smooth val="0"/>
          <c:extLst>
            <c:ext xmlns:c16="http://schemas.microsoft.com/office/drawing/2014/chart" uri="{C3380CC4-5D6E-409C-BE32-E72D297353CC}">
              <c16:uniqueId val="{00000002-384D-4BE1-9C43-C7E06E78023C}"/>
            </c:ext>
          </c:extLst>
        </c:ser>
        <c:dLbls>
          <c:showLegendKey val="0"/>
          <c:showVal val="0"/>
          <c:showCatName val="0"/>
          <c:showSerName val="0"/>
          <c:showPercent val="0"/>
          <c:showBubbleSize val="0"/>
        </c:dLbls>
        <c:marker val="1"/>
        <c:smooth val="0"/>
        <c:axId val="1336442672"/>
        <c:axId val="1782136016"/>
      </c:lineChart>
      <c:catAx>
        <c:axId val="178151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169248"/>
        <c:crosses val="autoZero"/>
        <c:auto val="1"/>
        <c:lblAlgn val="ctr"/>
        <c:lblOffset val="100"/>
        <c:noMultiLvlLbl val="0"/>
      </c:catAx>
      <c:valAx>
        <c:axId val="1782169248"/>
        <c:scaling>
          <c:orientation val="minMax"/>
        </c:scaling>
        <c:delete val="0"/>
        <c:axPos val="l"/>
        <c:majorGridlines>
          <c:spPr>
            <a:ln w="9525" cap="flat" cmpd="sng" algn="ctr">
              <a:no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517696"/>
        <c:crosses val="autoZero"/>
        <c:crossBetween val="between"/>
      </c:valAx>
      <c:valAx>
        <c:axId val="1782136016"/>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442672"/>
        <c:crosses val="max"/>
        <c:crossBetween val="between"/>
      </c:valAx>
      <c:catAx>
        <c:axId val="1336442672"/>
        <c:scaling>
          <c:orientation val="minMax"/>
        </c:scaling>
        <c:delete val="1"/>
        <c:axPos val="b"/>
        <c:numFmt formatCode="General" sourceLinked="1"/>
        <c:majorTickMark val="out"/>
        <c:minorTickMark val="none"/>
        <c:tickLblPos val="nextTo"/>
        <c:crossAx val="178213601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Revenue!$C$4</c:f>
              <c:strCache>
                <c:ptCount val="1"/>
                <c:pt idx="0">
                  <c:v>Growth rate</c:v>
                </c:pt>
              </c:strCache>
            </c:strRef>
          </c:tx>
          <c:spPr>
            <a:solidFill>
              <a:schemeClr val="accent1"/>
            </a:solidFill>
            <a:ln>
              <a:noFill/>
            </a:ln>
            <a:effectLst/>
          </c:spPr>
          <c:invertIfNegative val="0"/>
          <c:dPt>
            <c:idx val="6"/>
            <c:invertIfNegative val="0"/>
            <c:bubble3D val="0"/>
            <c:spPr>
              <a:solidFill>
                <a:schemeClr val="accent2"/>
              </a:solidFill>
              <a:ln>
                <a:noFill/>
              </a:ln>
              <a:effectLst/>
            </c:spPr>
            <c:extLst>
              <c:ext xmlns:c16="http://schemas.microsoft.com/office/drawing/2014/chart" uri="{C3380CC4-5D6E-409C-BE32-E72D297353CC}">
                <c16:uniqueId val="{00000001-5139-446B-9631-B748A86F1B46}"/>
              </c:ext>
            </c:extLst>
          </c:dPt>
          <c:dPt>
            <c:idx val="7"/>
            <c:invertIfNegative val="0"/>
            <c:bubble3D val="0"/>
            <c:spPr>
              <a:solidFill>
                <a:schemeClr val="accent2"/>
              </a:solidFill>
              <a:ln>
                <a:noFill/>
              </a:ln>
              <a:effectLst/>
            </c:spPr>
            <c:extLst>
              <c:ext xmlns:c16="http://schemas.microsoft.com/office/drawing/2014/chart" uri="{C3380CC4-5D6E-409C-BE32-E72D297353CC}">
                <c16:uniqueId val="{00000002-5139-446B-9631-B748A86F1B46}"/>
              </c:ext>
            </c:extLst>
          </c:dPt>
          <c:dPt>
            <c:idx val="8"/>
            <c:invertIfNegative val="0"/>
            <c:bubble3D val="0"/>
            <c:spPr>
              <a:solidFill>
                <a:schemeClr val="accent2"/>
              </a:solidFill>
              <a:ln>
                <a:noFill/>
              </a:ln>
              <a:effectLst/>
            </c:spPr>
            <c:extLst>
              <c:ext xmlns:c16="http://schemas.microsoft.com/office/drawing/2014/chart" uri="{C3380CC4-5D6E-409C-BE32-E72D297353CC}">
                <c16:uniqueId val="{00000003-5139-446B-9631-B748A86F1B46}"/>
              </c:ext>
            </c:extLst>
          </c:dPt>
          <c:dPt>
            <c:idx val="9"/>
            <c:invertIfNegative val="0"/>
            <c:bubble3D val="0"/>
            <c:spPr>
              <a:solidFill>
                <a:schemeClr val="accent2"/>
              </a:solidFill>
              <a:ln>
                <a:noFill/>
              </a:ln>
              <a:effectLst/>
            </c:spPr>
            <c:extLst>
              <c:ext xmlns:c16="http://schemas.microsoft.com/office/drawing/2014/chart" uri="{C3380CC4-5D6E-409C-BE32-E72D297353CC}">
                <c16:uniqueId val="{00000004-5139-446B-9631-B748A86F1B46}"/>
              </c:ext>
            </c:extLst>
          </c:dPt>
          <c:dPt>
            <c:idx val="10"/>
            <c:invertIfNegative val="0"/>
            <c:bubble3D val="0"/>
            <c:spPr>
              <a:solidFill>
                <a:schemeClr val="accent2"/>
              </a:solidFill>
              <a:ln>
                <a:noFill/>
              </a:ln>
              <a:effectLst/>
            </c:spPr>
            <c:extLst>
              <c:ext xmlns:c16="http://schemas.microsoft.com/office/drawing/2014/chart" uri="{C3380CC4-5D6E-409C-BE32-E72D297353CC}">
                <c16:uniqueId val="{00000005-5139-446B-9631-B748A86F1B46}"/>
              </c:ext>
            </c:extLst>
          </c:dPt>
          <c:dLbls>
            <c:dLbl>
              <c:idx val="1"/>
              <c:layout>
                <c:manualLayout>
                  <c:x val="0"/>
                  <c:y val="-0.2991867292295796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139-446B-9631-B748A86F1B46}"/>
                </c:ext>
              </c:extLst>
            </c:dLbl>
            <c:dLbl>
              <c:idx val="2"/>
              <c:layout>
                <c:manualLayout>
                  <c:x val="-6.3702542233029921E-3"/>
                  <c:y val="-0.1418985672132784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139-446B-9631-B748A86F1B46}"/>
                </c:ext>
              </c:extLst>
            </c:dLbl>
            <c:dLbl>
              <c:idx val="3"/>
              <c:layout>
                <c:manualLayout>
                  <c:x val="-2.1234180744343304E-3"/>
                  <c:y val="-0.2910264051286859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139-446B-9631-B748A86F1B46}"/>
                </c:ext>
              </c:extLst>
            </c:dLbl>
            <c:dLbl>
              <c:idx val="4"/>
              <c:layout>
                <c:manualLayout>
                  <c:x val="7.7857763309733172E-17"/>
                  <c:y val="-0.3925073504572119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139-446B-9631-B748A86F1B46}"/>
                </c:ext>
              </c:extLst>
            </c:dLbl>
            <c:dLbl>
              <c:idx val="5"/>
              <c:layout>
                <c:manualLayout>
                  <c:x val="-3.4002706045905013E-3"/>
                  <c:y val="-0.2022065279916023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139-446B-9631-B748A86F1B46}"/>
                </c:ext>
              </c:extLst>
            </c:dLbl>
            <c:dLbl>
              <c:idx val="6"/>
              <c:layout>
                <c:manualLayout>
                  <c:x val="-4.2468361488687389E-3"/>
                  <c:y val="-0.3504308800125365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39-446B-9631-B748A86F1B46}"/>
                </c:ext>
              </c:extLst>
            </c:dLbl>
            <c:dLbl>
              <c:idx val="7"/>
              <c:layout>
                <c:manualLayout>
                  <c:x val="-2.1234180744344085E-3"/>
                  <c:y val="-0.3523739825284545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39-446B-9631-B748A86F1B46}"/>
                </c:ext>
              </c:extLst>
            </c:dLbl>
            <c:dLbl>
              <c:idx val="8"/>
              <c:layout>
                <c:manualLayout>
                  <c:x val="-3.3955916397325398E-3"/>
                  <c:y val="-0.2712215798232649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139-446B-9631-B748A86F1B46}"/>
                </c:ext>
              </c:extLst>
            </c:dLbl>
            <c:dLbl>
              <c:idx val="9"/>
              <c:layout>
                <c:manualLayout>
                  <c:x val="-4.6724143070981097E-3"/>
                  <c:y val="-0.2512867191344663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139-446B-9631-B748A86F1B46}"/>
                </c:ext>
              </c:extLst>
            </c:dLbl>
            <c:dLbl>
              <c:idx val="10"/>
              <c:layout>
                <c:manualLayout>
                  <c:x val="-4.2565211735872316E-4"/>
                  <c:y val="-0.2427980587426456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139-446B-9631-B748A86F1B46}"/>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3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Revenue!$D$2:$N$2</c:f>
              <c:strCache>
                <c:ptCount val="11"/>
                <c:pt idx="0">
                  <c:v>FY 18</c:v>
                </c:pt>
                <c:pt idx="1">
                  <c:v>FY 19</c:v>
                </c:pt>
                <c:pt idx="2">
                  <c:v>FY 20</c:v>
                </c:pt>
                <c:pt idx="3">
                  <c:v>FY 21</c:v>
                </c:pt>
                <c:pt idx="4">
                  <c:v>FY 22</c:v>
                </c:pt>
                <c:pt idx="5">
                  <c:v>FY 23</c:v>
                </c:pt>
                <c:pt idx="6">
                  <c:v>FY 24</c:v>
                </c:pt>
                <c:pt idx="7">
                  <c:v>FY 25</c:v>
                </c:pt>
                <c:pt idx="8">
                  <c:v>FY 26</c:v>
                </c:pt>
                <c:pt idx="9">
                  <c:v>FY 27</c:v>
                </c:pt>
                <c:pt idx="10">
                  <c:v>FY 28</c:v>
                </c:pt>
              </c:strCache>
            </c:strRef>
          </c:cat>
          <c:val>
            <c:numRef>
              <c:f>Revenue!$D$4:$N$4</c:f>
              <c:numCache>
                <c:formatCode>0.00%</c:formatCode>
                <c:ptCount val="11"/>
                <c:pt idx="1">
                  <c:v>0.10271372792789285</c:v>
                </c:pt>
                <c:pt idx="2">
                  <c:v>1.9923687520478548E-2</c:v>
                </c:pt>
                <c:pt idx="3">
                  <c:v>9.9251091582380047E-2</c:v>
                </c:pt>
                <c:pt idx="4">
                  <c:v>0.1405819873043806</c:v>
                </c:pt>
                <c:pt idx="5">
                  <c:v>5.888776233666515E-2</c:v>
                </c:pt>
                <c:pt idx="6">
                  <c:v>9.5997156087352195E-2</c:v>
                </c:pt>
                <c:pt idx="7">
                  <c:v>9.5091127222958594E-2</c:v>
                </c:pt>
                <c:pt idx="8">
                  <c:v>7.5000000000000053E-2</c:v>
                </c:pt>
                <c:pt idx="9">
                  <c:v>7.0000000000000007E-2</c:v>
                </c:pt>
                <c:pt idx="10">
                  <c:v>6.5000000000000058E-2</c:v>
                </c:pt>
              </c:numCache>
            </c:numRef>
          </c:val>
          <c:extLst>
            <c:ext xmlns:c16="http://schemas.microsoft.com/office/drawing/2014/chart" uri="{C3380CC4-5D6E-409C-BE32-E72D297353CC}">
              <c16:uniqueId val="{00000000-5139-446B-9631-B748A86F1B46}"/>
            </c:ext>
          </c:extLst>
        </c:ser>
        <c:dLbls>
          <c:dLblPos val="ctr"/>
          <c:showLegendKey val="0"/>
          <c:showVal val="1"/>
          <c:showCatName val="0"/>
          <c:showSerName val="0"/>
          <c:showPercent val="0"/>
          <c:showBubbleSize val="0"/>
        </c:dLbls>
        <c:gapWidth val="150"/>
        <c:overlap val="100"/>
        <c:axId val="1781520096"/>
        <c:axId val="1889413024"/>
      </c:barChart>
      <c:catAx>
        <c:axId val="178152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9413024"/>
        <c:crosses val="autoZero"/>
        <c:auto val="1"/>
        <c:lblAlgn val="ctr"/>
        <c:lblOffset val="100"/>
        <c:noMultiLvlLbl val="0"/>
      </c:catAx>
      <c:valAx>
        <c:axId val="188941302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520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Revenue!$C$43</c:f>
              <c:strCache>
                <c:ptCount val="1"/>
                <c:pt idx="0">
                  <c:v>Consumer care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Revenue!$D$2:$I$2</c:f>
              <c:strCache>
                <c:ptCount val="6"/>
                <c:pt idx="0">
                  <c:v>FY 18</c:v>
                </c:pt>
                <c:pt idx="1">
                  <c:v>FY 19</c:v>
                </c:pt>
                <c:pt idx="2">
                  <c:v>FY 20</c:v>
                </c:pt>
                <c:pt idx="3">
                  <c:v>FY 21</c:v>
                </c:pt>
                <c:pt idx="4">
                  <c:v>FY 22</c:v>
                </c:pt>
                <c:pt idx="5">
                  <c:v>FY 23</c:v>
                </c:pt>
              </c:strCache>
            </c:strRef>
          </c:cat>
          <c:val>
            <c:numRef>
              <c:f>Revenue!$D$43:$I$43</c:f>
              <c:numCache>
                <c:formatCode>0.00%</c:formatCode>
                <c:ptCount val="6"/>
                <c:pt idx="0">
                  <c:v>0.82884284618719817</c:v>
                </c:pt>
                <c:pt idx="1">
                  <c:v>0.83730577317388255</c:v>
                </c:pt>
                <c:pt idx="2">
                  <c:v>0.85049177362061579</c:v>
                </c:pt>
                <c:pt idx="3">
                  <c:v>0.88073068351176564</c:v>
                </c:pt>
                <c:pt idx="4">
                  <c:v>0.84646878293268979</c:v>
                </c:pt>
                <c:pt idx="5">
                  <c:v>0.80534213858824788</c:v>
                </c:pt>
              </c:numCache>
            </c:numRef>
          </c:val>
          <c:extLst>
            <c:ext xmlns:c16="http://schemas.microsoft.com/office/drawing/2014/chart" uri="{C3380CC4-5D6E-409C-BE32-E72D297353CC}">
              <c16:uniqueId val="{00000000-2F0D-4419-B36A-BB56EDC21321}"/>
            </c:ext>
          </c:extLst>
        </c:ser>
        <c:ser>
          <c:idx val="1"/>
          <c:order val="1"/>
          <c:tx>
            <c:strRef>
              <c:f>Revenue!$C$44</c:f>
              <c:strCache>
                <c:ptCount val="1"/>
                <c:pt idx="0">
                  <c:v>Food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Revenue!$D$2:$I$2</c:f>
              <c:strCache>
                <c:ptCount val="6"/>
                <c:pt idx="0">
                  <c:v>FY 18</c:v>
                </c:pt>
                <c:pt idx="1">
                  <c:v>FY 19</c:v>
                </c:pt>
                <c:pt idx="2">
                  <c:v>FY 20</c:v>
                </c:pt>
                <c:pt idx="3">
                  <c:v>FY 21</c:v>
                </c:pt>
                <c:pt idx="4">
                  <c:v>FY 22</c:v>
                </c:pt>
                <c:pt idx="5">
                  <c:v>FY 23</c:v>
                </c:pt>
              </c:strCache>
            </c:strRef>
          </c:cat>
          <c:val>
            <c:numRef>
              <c:f>Revenue!$D$44:$I$44</c:f>
              <c:numCache>
                <c:formatCode>0.00%</c:formatCode>
                <c:ptCount val="6"/>
                <c:pt idx="0">
                  <c:v>0.14269215695720616</c:v>
                </c:pt>
                <c:pt idx="1">
                  <c:v>0.13694665355030636</c:v>
                </c:pt>
                <c:pt idx="2">
                  <c:v>0.12517062184632261</c:v>
                </c:pt>
                <c:pt idx="3">
                  <c:v>0.10343812087115752</c:v>
                </c:pt>
                <c:pt idx="4">
                  <c:v>0.13514303716773549</c:v>
                </c:pt>
                <c:pt idx="5">
                  <c:v>0.17336089497143048</c:v>
                </c:pt>
              </c:numCache>
            </c:numRef>
          </c:val>
          <c:extLst>
            <c:ext xmlns:c16="http://schemas.microsoft.com/office/drawing/2014/chart" uri="{C3380CC4-5D6E-409C-BE32-E72D297353CC}">
              <c16:uniqueId val="{00000001-2F0D-4419-B36A-BB56EDC21321}"/>
            </c:ext>
          </c:extLst>
        </c:ser>
        <c:ser>
          <c:idx val="2"/>
          <c:order val="2"/>
          <c:tx>
            <c:strRef>
              <c:f>Revenue!$C$45</c:f>
              <c:strCache>
                <c:ptCount val="1"/>
                <c:pt idx="0">
                  <c:v>Retail</c:v>
                </c:pt>
              </c:strCache>
            </c:strRef>
          </c:tx>
          <c:spPr>
            <a:solidFill>
              <a:schemeClr val="accent3"/>
            </a:solidFill>
            <a:ln>
              <a:noFill/>
            </a:ln>
            <a:effectLst/>
          </c:spPr>
          <c:invertIfNegative val="0"/>
          <c:dLbls>
            <c:delete val="1"/>
          </c:dLbls>
          <c:cat>
            <c:strRef>
              <c:f>Revenue!$D$2:$I$2</c:f>
              <c:strCache>
                <c:ptCount val="6"/>
                <c:pt idx="0">
                  <c:v>FY 18</c:v>
                </c:pt>
                <c:pt idx="1">
                  <c:v>FY 19</c:v>
                </c:pt>
                <c:pt idx="2">
                  <c:v>FY 20</c:v>
                </c:pt>
                <c:pt idx="3">
                  <c:v>FY 21</c:v>
                </c:pt>
                <c:pt idx="4">
                  <c:v>FY 22</c:v>
                </c:pt>
                <c:pt idx="5">
                  <c:v>FY 23</c:v>
                </c:pt>
              </c:strCache>
            </c:strRef>
          </c:cat>
          <c:val>
            <c:numRef>
              <c:f>Revenue!$D$45:$I$45</c:f>
              <c:numCache>
                <c:formatCode>0.00%</c:formatCode>
                <c:ptCount val="6"/>
                <c:pt idx="0">
                  <c:v>1.4880909754944787E-2</c:v>
                </c:pt>
                <c:pt idx="1">
                  <c:v>1.4237967122183635E-2</c:v>
                </c:pt>
                <c:pt idx="2">
                  <c:v>1.3859654616154482E-2</c:v>
                </c:pt>
                <c:pt idx="3">
                  <c:v>5.8993606308918676E-3</c:v>
                </c:pt>
                <c:pt idx="4">
                  <c:v>6.9744440013582484E-3</c:v>
                </c:pt>
                <c:pt idx="5">
                  <c:v>9.2609204385240979E-3</c:v>
                </c:pt>
              </c:numCache>
            </c:numRef>
          </c:val>
          <c:extLst>
            <c:ext xmlns:c16="http://schemas.microsoft.com/office/drawing/2014/chart" uri="{C3380CC4-5D6E-409C-BE32-E72D297353CC}">
              <c16:uniqueId val="{00000002-2F0D-4419-B36A-BB56EDC21321}"/>
            </c:ext>
          </c:extLst>
        </c:ser>
        <c:ser>
          <c:idx val="3"/>
          <c:order val="3"/>
          <c:tx>
            <c:strRef>
              <c:f>Revenue!$C$46</c:f>
              <c:strCache>
                <c:ptCount val="1"/>
                <c:pt idx="0">
                  <c:v>Other segment</c:v>
                </c:pt>
              </c:strCache>
            </c:strRef>
          </c:tx>
          <c:spPr>
            <a:solidFill>
              <a:schemeClr val="accent4"/>
            </a:solidFill>
            <a:ln>
              <a:noFill/>
            </a:ln>
            <a:effectLst/>
          </c:spPr>
          <c:invertIfNegative val="0"/>
          <c:dLbls>
            <c:delete val="1"/>
          </c:dLbls>
          <c:cat>
            <c:strRef>
              <c:f>Revenue!$D$2:$I$2</c:f>
              <c:strCache>
                <c:ptCount val="6"/>
                <c:pt idx="0">
                  <c:v>FY 18</c:v>
                </c:pt>
                <c:pt idx="1">
                  <c:v>FY 19</c:v>
                </c:pt>
                <c:pt idx="2">
                  <c:v>FY 20</c:v>
                </c:pt>
                <c:pt idx="3">
                  <c:v>FY 21</c:v>
                </c:pt>
                <c:pt idx="4">
                  <c:v>FY 22</c:v>
                </c:pt>
                <c:pt idx="5">
                  <c:v>FY 23</c:v>
                </c:pt>
              </c:strCache>
            </c:strRef>
          </c:cat>
          <c:val>
            <c:numRef>
              <c:f>Revenue!$D$46:$I$46</c:f>
              <c:numCache>
                <c:formatCode>0.00%</c:formatCode>
                <c:ptCount val="6"/>
                <c:pt idx="0">
                  <c:v>1.3584087100650885E-2</c:v>
                </c:pt>
                <c:pt idx="1">
                  <c:v>1.1509606153627344E-2</c:v>
                </c:pt>
                <c:pt idx="2">
                  <c:v>1.0477949916907014E-2</c:v>
                </c:pt>
                <c:pt idx="3">
                  <c:v>9.9318349861850421E-3</c:v>
                </c:pt>
                <c:pt idx="4">
                  <c:v>1.1413735898216417E-2</c:v>
                </c:pt>
                <c:pt idx="5">
                  <c:v>1.2036046001797574E-2</c:v>
                </c:pt>
              </c:numCache>
            </c:numRef>
          </c:val>
          <c:extLst>
            <c:ext xmlns:c16="http://schemas.microsoft.com/office/drawing/2014/chart" uri="{C3380CC4-5D6E-409C-BE32-E72D297353CC}">
              <c16:uniqueId val="{00000003-2F0D-4419-B36A-BB56EDC21321}"/>
            </c:ext>
          </c:extLst>
        </c:ser>
        <c:dLbls>
          <c:dLblPos val="ctr"/>
          <c:showLegendKey val="0"/>
          <c:showVal val="1"/>
          <c:showCatName val="0"/>
          <c:showSerName val="0"/>
          <c:showPercent val="0"/>
          <c:showBubbleSize val="0"/>
        </c:dLbls>
        <c:gapWidth val="50"/>
        <c:overlap val="100"/>
        <c:axId val="1161832847"/>
        <c:axId val="1170804111"/>
      </c:barChart>
      <c:catAx>
        <c:axId val="1161832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0804111"/>
        <c:crosses val="autoZero"/>
        <c:auto val="1"/>
        <c:lblAlgn val="ctr"/>
        <c:lblOffset val="100"/>
        <c:noMultiLvlLbl val="0"/>
      </c:catAx>
      <c:valAx>
        <c:axId val="1170804111"/>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1832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IN" sz="1800"/>
              <a:t>Profits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Profit!$C$6</c:f>
              <c:strCache>
                <c:ptCount val="1"/>
                <c:pt idx="0">
                  <c:v>GP</c:v>
                </c:pt>
              </c:strCache>
            </c:strRef>
          </c:tx>
          <c:spPr>
            <a:solidFill>
              <a:schemeClr val="accent1"/>
            </a:solidFill>
            <a:ln>
              <a:noFill/>
            </a:ln>
            <a:effectLst/>
          </c:spPr>
          <c:invertIfNegative val="0"/>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Profit!$D$6:$N$6</c:f>
              <c:numCache>
                <c:formatCode>#,##0.00;\(#,##0.00\)</c:formatCode>
                <c:ptCount val="11"/>
                <c:pt idx="0">
                  <c:v>3901.9300000000003</c:v>
                </c:pt>
                <c:pt idx="1">
                  <c:v>4224.0200000000004</c:v>
                </c:pt>
                <c:pt idx="2">
                  <c:v>4343.3499999999995</c:v>
                </c:pt>
                <c:pt idx="3">
                  <c:v>4772.6900000000005</c:v>
                </c:pt>
                <c:pt idx="4">
                  <c:v>5248.9900000000007</c:v>
                </c:pt>
                <c:pt idx="5">
                  <c:v>5261.2199999999993</c:v>
                </c:pt>
                <c:pt idx="6">
                  <c:v>5973.380687455</c:v>
                </c:pt>
                <c:pt idx="7">
                  <c:v>6638.264760977846</c:v>
                </c:pt>
                <c:pt idx="8">
                  <c:v>7180.7633523729555</c:v>
                </c:pt>
                <c:pt idx="9">
                  <c:v>7699.3343689471603</c:v>
                </c:pt>
                <c:pt idx="10">
                  <c:v>8233.6955523929773</c:v>
                </c:pt>
              </c:numCache>
            </c:numRef>
          </c:val>
          <c:extLst>
            <c:ext xmlns:c16="http://schemas.microsoft.com/office/drawing/2014/chart" uri="{C3380CC4-5D6E-409C-BE32-E72D297353CC}">
              <c16:uniqueId val="{00000000-6047-4C9A-9EAD-6113A130E330}"/>
            </c:ext>
          </c:extLst>
        </c:ser>
        <c:ser>
          <c:idx val="1"/>
          <c:order val="1"/>
          <c:tx>
            <c:strRef>
              <c:f>Profit!$C$10</c:f>
              <c:strCache>
                <c:ptCount val="1"/>
                <c:pt idx="0">
                  <c:v>EBITDA</c:v>
                </c:pt>
              </c:strCache>
            </c:strRef>
          </c:tx>
          <c:spPr>
            <a:solidFill>
              <a:schemeClr val="accent2"/>
            </a:solidFill>
            <a:ln>
              <a:noFill/>
            </a:ln>
            <a:effectLst/>
          </c:spPr>
          <c:invertIfNegative val="0"/>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Profit!$D$10:$N$10</c:f>
              <c:numCache>
                <c:formatCode>#,##0.00;\(#,##0.00\)</c:formatCode>
                <c:ptCount val="11"/>
                <c:pt idx="0">
                  <c:v>1617.4400000000003</c:v>
                </c:pt>
                <c:pt idx="1">
                  <c:v>1739.5600000000006</c:v>
                </c:pt>
                <c:pt idx="2">
                  <c:v>1792.3499999999997</c:v>
                </c:pt>
                <c:pt idx="3">
                  <c:v>2002.6800000000003</c:v>
                </c:pt>
                <c:pt idx="4">
                  <c:v>2253.8100000000009</c:v>
                </c:pt>
                <c:pt idx="5">
                  <c:v>2164.1199999999994</c:v>
                </c:pt>
                <c:pt idx="6">
                  <c:v>2270.8197790049999</c:v>
                </c:pt>
                <c:pt idx="7">
                  <c:v>2597.4615293632305</c:v>
                </c:pt>
                <c:pt idx="8">
                  <c:v>2792.271144065473</c:v>
                </c:pt>
                <c:pt idx="9">
                  <c:v>3003.6477060581537</c:v>
                </c:pt>
                <c:pt idx="10">
                  <c:v>3266.6937058804351</c:v>
                </c:pt>
              </c:numCache>
            </c:numRef>
          </c:val>
          <c:extLst>
            <c:ext xmlns:c16="http://schemas.microsoft.com/office/drawing/2014/chart" uri="{C3380CC4-5D6E-409C-BE32-E72D297353CC}">
              <c16:uniqueId val="{00000001-6047-4C9A-9EAD-6113A130E330}"/>
            </c:ext>
          </c:extLst>
        </c:ser>
        <c:ser>
          <c:idx val="2"/>
          <c:order val="2"/>
          <c:tx>
            <c:strRef>
              <c:f>Profit!$C$12</c:f>
              <c:strCache>
                <c:ptCount val="1"/>
                <c:pt idx="0">
                  <c:v>EBIT</c:v>
                </c:pt>
              </c:strCache>
            </c:strRef>
          </c:tx>
          <c:spPr>
            <a:solidFill>
              <a:schemeClr val="accent3"/>
            </a:solidFill>
            <a:ln>
              <a:noFill/>
            </a:ln>
            <a:effectLst/>
          </c:spPr>
          <c:invertIfNegative val="0"/>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Profit!$D$12:$N$12</c:f>
              <c:numCache>
                <c:formatCode>#,##0.00;\(#,##0.00\)</c:formatCode>
                <c:ptCount val="11"/>
                <c:pt idx="0">
                  <c:v>1455.2600000000002</c:v>
                </c:pt>
                <c:pt idx="1">
                  <c:v>1562.6600000000005</c:v>
                </c:pt>
                <c:pt idx="2">
                  <c:v>1571.8999999999996</c:v>
                </c:pt>
                <c:pt idx="3">
                  <c:v>1762.5500000000002</c:v>
                </c:pt>
                <c:pt idx="4">
                  <c:v>2000.920000000001</c:v>
                </c:pt>
                <c:pt idx="5">
                  <c:v>1853.1599999999994</c:v>
                </c:pt>
                <c:pt idx="6">
                  <c:v>1969.6384673370233</c:v>
                </c:pt>
                <c:pt idx="7">
                  <c:v>2267.7585477105076</c:v>
                </c:pt>
                <c:pt idx="8">
                  <c:v>2437.936006089672</c:v>
                </c:pt>
                <c:pt idx="9">
                  <c:v>2624.5977754435767</c:v>
                </c:pt>
                <c:pt idx="10">
                  <c:v>2863.0875491393476</c:v>
                </c:pt>
              </c:numCache>
            </c:numRef>
          </c:val>
          <c:extLst>
            <c:ext xmlns:c16="http://schemas.microsoft.com/office/drawing/2014/chart" uri="{C3380CC4-5D6E-409C-BE32-E72D297353CC}">
              <c16:uniqueId val="{00000002-6047-4C9A-9EAD-6113A130E330}"/>
            </c:ext>
          </c:extLst>
        </c:ser>
        <c:ser>
          <c:idx val="3"/>
          <c:order val="3"/>
          <c:tx>
            <c:strRef>
              <c:f>Profit!$C$14</c:f>
              <c:strCache>
                <c:ptCount val="1"/>
                <c:pt idx="0">
                  <c:v>PBT before other income</c:v>
                </c:pt>
              </c:strCache>
            </c:strRef>
          </c:tx>
          <c:spPr>
            <a:solidFill>
              <a:schemeClr val="accent4"/>
            </a:solidFill>
            <a:ln>
              <a:noFill/>
            </a:ln>
            <a:effectLst/>
          </c:spPr>
          <c:invertIfNegative val="0"/>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Profit!$D$14:$N$14</c:f>
              <c:numCache>
                <c:formatCode>#,##0.00;\(#,##0.00\)</c:formatCode>
                <c:ptCount val="11"/>
                <c:pt idx="0">
                  <c:v>1402.2100000000003</c:v>
                </c:pt>
                <c:pt idx="1">
                  <c:v>1503.0800000000006</c:v>
                </c:pt>
                <c:pt idx="2">
                  <c:v>1522.3599999999997</c:v>
                </c:pt>
                <c:pt idx="3">
                  <c:v>1731.7400000000002</c:v>
                </c:pt>
                <c:pt idx="4">
                  <c:v>1962.3200000000011</c:v>
                </c:pt>
                <c:pt idx="5">
                  <c:v>1774.9199999999994</c:v>
                </c:pt>
                <c:pt idx="6">
                  <c:v>1915.9580460643756</c:v>
                </c:pt>
                <c:pt idx="7">
                  <c:v>2208.9735946692404</c:v>
                </c:pt>
                <c:pt idx="8">
                  <c:v>2374.7421815703096</c:v>
                </c:pt>
                <c:pt idx="9">
                  <c:v>2556.9803832078592</c:v>
                </c:pt>
                <c:pt idx="10">
                  <c:v>2791.0750264083085</c:v>
                </c:pt>
              </c:numCache>
            </c:numRef>
          </c:val>
          <c:extLst>
            <c:ext xmlns:c16="http://schemas.microsoft.com/office/drawing/2014/chart" uri="{C3380CC4-5D6E-409C-BE32-E72D297353CC}">
              <c16:uniqueId val="{00000003-6047-4C9A-9EAD-6113A130E330}"/>
            </c:ext>
          </c:extLst>
        </c:ser>
        <c:ser>
          <c:idx val="4"/>
          <c:order val="4"/>
          <c:tx>
            <c:strRef>
              <c:f>Profit!$C$16</c:f>
              <c:strCache>
                <c:ptCount val="1"/>
                <c:pt idx="0">
                  <c:v>PBT </c:v>
                </c:pt>
              </c:strCache>
            </c:strRef>
          </c:tx>
          <c:spPr>
            <a:solidFill>
              <a:schemeClr val="accent5"/>
            </a:solidFill>
            <a:ln>
              <a:noFill/>
            </a:ln>
            <a:effectLst/>
          </c:spPr>
          <c:invertIfNegative val="0"/>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Profit!$D$16:$N$16</c:f>
              <c:numCache>
                <c:formatCode>#,##0.00;\(#,##0.00\)</c:formatCode>
                <c:ptCount val="11"/>
                <c:pt idx="0">
                  <c:v>1692.8500000000004</c:v>
                </c:pt>
                <c:pt idx="1">
                  <c:v>1723.9100000000005</c:v>
                </c:pt>
                <c:pt idx="2">
                  <c:v>1727.6499999999996</c:v>
                </c:pt>
                <c:pt idx="3">
                  <c:v>2057.0300000000002</c:v>
                </c:pt>
                <c:pt idx="4">
                  <c:v>2270.4800000000009</c:v>
                </c:pt>
                <c:pt idx="5">
                  <c:v>2220.3099999999995</c:v>
                </c:pt>
                <c:pt idx="6">
                  <c:v>2375.6547234953368</c:v>
                </c:pt>
                <c:pt idx="7">
                  <c:v>2712.3833473377604</c:v>
                </c:pt>
                <c:pt idx="8">
                  <c:v>2915.9076656889683</c:v>
                </c:pt>
                <c:pt idx="9">
                  <c:v>3136.0274512148244</c:v>
                </c:pt>
                <c:pt idx="10">
                  <c:v>3407.7601538357262</c:v>
                </c:pt>
              </c:numCache>
            </c:numRef>
          </c:val>
          <c:extLst>
            <c:ext xmlns:c16="http://schemas.microsoft.com/office/drawing/2014/chart" uri="{C3380CC4-5D6E-409C-BE32-E72D297353CC}">
              <c16:uniqueId val="{00000004-6047-4C9A-9EAD-6113A130E330}"/>
            </c:ext>
          </c:extLst>
        </c:ser>
        <c:ser>
          <c:idx val="5"/>
          <c:order val="5"/>
          <c:tx>
            <c:strRef>
              <c:f>Profit!$C$18</c:f>
              <c:strCache>
                <c:ptCount val="1"/>
                <c:pt idx="0">
                  <c:v>PAT EX JV</c:v>
                </c:pt>
              </c:strCache>
            </c:strRef>
          </c:tx>
          <c:spPr>
            <a:solidFill>
              <a:schemeClr val="accent6"/>
            </a:solidFill>
            <a:ln>
              <a:noFill/>
            </a:ln>
            <a:effectLst/>
          </c:spPr>
          <c:invertIfNegative val="0"/>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Profit!$D$18:$N$18</c:f>
              <c:numCache>
                <c:formatCode>#,##0.00;\(#,##0.00\)</c:formatCode>
                <c:ptCount val="11"/>
                <c:pt idx="0">
                  <c:v>1357.5000000000005</c:v>
                </c:pt>
                <c:pt idx="1">
                  <c:v>1445.2900000000004</c:v>
                </c:pt>
                <c:pt idx="2">
                  <c:v>1447.9299999999996</c:v>
                </c:pt>
                <c:pt idx="3">
                  <c:v>1695.9600000000003</c:v>
                </c:pt>
                <c:pt idx="4">
                  <c:v>1744.1000000000008</c:v>
                </c:pt>
                <c:pt idx="5">
                  <c:v>1702.9599999999996</c:v>
                </c:pt>
                <c:pt idx="6">
                  <c:v>1822.1271729209234</c:v>
                </c:pt>
                <c:pt idx="7">
                  <c:v>2080.3980274080623</c:v>
                </c:pt>
                <c:pt idx="8">
                  <c:v>2236.5011795834389</c:v>
                </c:pt>
                <c:pt idx="9">
                  <c:v>2405.33305508177</c:v>
                </c:pt>
                <c:pt idx="10">
                  <c:v>2613.7520379920024</c:v>
                </c:pt>
              </c:numCache>
            </c:numRef>
          </c:val>
          <c:extLst>
            <c:ext xmlns:c16="http://schemas.microsoft.com/office/drawing/2014/chart" uri="{C3380CC4-5D6E-409C-BE32-E72D297353CC}">
              <c16:uniqueId val="{00000005-6047-4C9A-9EAD-6113A130E330}"/>
            </c:ext>
          </c:extLst>
        </c:ser>
        <c:dLbls>
          <c:showLegendKey val="0"/>
          <c:showVal val="0"/>
          <c:showCatName val="0"/>
          <c:showSerName val="0"/>
          <c:showPercent val="0"/>
          <c:showBubbleSize val="0"/>
        </c:dLbls>
        <c:gapWidth val="219"/>
        <c:overlap val="-27"/>
        <c:axId val="1722436607"/>
        <c:axId val="1720909535"/>
      </c:barChart>
      <c:catAx>
        <c:axId val="172243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20909535"/>
        <c:crosses val="autoZero"/>
        <c:auto val="1"/>
        <c:lblAlgn val="ctr"/>
        <c:lblOffset val="100"/>
        <c:noMultiLvlLbl val="0"/>
      </c:catAx>
      <c:valAx>
        <c:axId val="1720909535"/>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224366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IN" sz="1800"/>
              <a:t>Profit</a:t>
            </a:r>
            <a:r>
              <a:rPr lang="en-IN" sz="1800" baseline="0"/>
              <a:t> Growth rate%</a:t>
            </a:r>
            <a:endParaRPr lang="en-IN" sz="1800"/>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GP</c:v>
          </c:tx>
          <c:spPr>
            <a:solidFill>
              <a:schemeClr val="accent1"/>
            </a:solidFill>
            <a:ln>
              <a:noFill/>
            </a:ln>
            <a:effectLst/>
          </c:spPr>
          <c:invertIfNegative val="0"/>
          <c:cat>
            <c:strRef>
              <c:f>Profit!$E$2:$N$2</c:f>
              <c:strCache>
                <c:ptCount val="10"/>
                <c:pt idx="0">
                  <c:v>FY 19</c:v>
                </c:pt>
                <c:pt idx="1">
                  <c:v>FY 20</c:v>
                </c:pt>
                <c:pt idx="2">
                  <c:v>FY 21</c:v>
                </c:pt>
                <c:pt idx="3">
                  <c:v>FY 22</c:v>
                </c:pt>
                <c:pt idx="4">
                  <c:v>FY 23</c:v>
                </c:pt>
                <c:pt idx="5">
                  <c:v>FY 24 F</c:v>
                </c:pt>
                <c:pt idx="6">
                  <c:v>FY 25 F</c:v>
                </c:pt>
                <c:pt idx="7">
                  <c:v>FY 26 F</c:v>
                </c:pt>
                <c:pt idx="8">
                  <c:v>FY 27 F</c:v>
                </c:pt>
                <c:pt idx="9">
                  <c:v>FY 28 F</c:v>
                </c:pt>
              </c:strCache>
            </c:strRef>
          </c:cat>
          <c:val>
            <c:numRef>
              <c:f>Profit!$E$40:$N$40</c:f>
              <c:numCache>
                <c:formatCode>0.00%</c:formatCode>
                <c:ptCount val="10"/>
                <c:pt idx="0">
                  <c:v>8.2546329636872043E-2</c:v>
                </c:pt>
                <c:pt idx="1">
                  <c:v>2.8250339723770012E-2</c:v>
                </c:pt>
                <c:pt idx="2">
                  <c:v>9.884996604003847E-2</c:v>
                </c:pt>
                <c:pt idx="3">
                  <c:v>9.9796969843002611E-2</c:v>
                </c:pt>
                <c:pt idx="4">
                  <c:v>2.3299720517658924E-3</c:v>
                </c:pt>
                <c:pt idx="5">
                  <c:v>0.13536037030479636</c:v>
                </c:pt>
                <c:pt idx="6">
                  <c:v>0.11130783526307016</c:v>
                </c:pt>
                <c:pt idx="7">
                  <c:v>8.172295184490308E-2</c:v>
                </c:pt>
                <c:pt idx="8">
                  <c:v>7.2216697741868605E-2</c:v>
                </c:pt>
                <c:pt idx="9">
                  <c:v>6.9403555923093108E-2</c:v>
                </c:pt>
              </c:numCache>
            </c:numRef>
          </c:val>
          <c:extLst>
            <c:ext xmlns:c16="http://schemas.microsoft.com/office/drawing/2014/chart" uri="{C3380CC4-5D6E-409C-BE32-E72D297353CC}">
              <c16:uniqueId val="{00000000-D20D-4B00-A9EA-CE499BE7050E}"/>
            </c:ext>
          </c:extLst>
        </c:ser>
        <c:ser>
          <c:idx val="1"/>
          <c:order val="1"/>
          <c:tx>
            <c:v>EBITDA</c:v>
          </c:tx>
          <c:spPr>
            <a:solidFill>
              <a:schemeClr val="accent2"/>
            </a:solidFill>
            <a:ln>
              <a:noFill/>
            </a:ln>
            <a:effectLst/>
          </c:spPr>
          <c:invertIfNegative val="0"/>
          <c:cat>
            <c:strRef>
              <c:f>Profit!$E$2:$N$2</c:f>
              <c:strCache>
                <c:ptCount val="10"/>
                <c:pt idx="0">
                  <c:v>FY 19</c:v>
                </c:pt>
                <c:pt idx="1">
                  <c:v>FY 20</c:v>
                </c:pt>
                <c:pt idx="2">
                  <c:v>FY 21</c:v>
                </c:pt>
                <c:pt idx="3">
                  <c:v>FY 22</c:v>
                </c:pt>
                <c:pt idx="4">
                  <c:v>FY 23</c:v>
                </c:pt>
                <c:pt idx="5">
                  <c:v>FY 24 F</c:v>
                </c:pt>
                <c:pt idx="6">
                  <c:v>FY 25 F</c:v>
                </c:pt>
                <c:pt idx="7">
                  <c:v>FY 26 F</c:v>
                </c:pt>
                <c:pt idx="8">
                  <c:v>FY 27 F</c:v>
                </c:pt>
                <c:pt idx="9">
                  <c:v>FY 28 F</c:v>
                </c:pt>
              </c:strCache>
            </c:strRef>
          </c:cat>
          <c:val>
            <c:numRef>
              <c:f>Profit!$E$44:$N$44</c:f>
              <c:numCache>
                <c:formatCode>0.00%</c:formatCode>
                <c:ptCount val="10"/>
                <c:pt idx="0">
                  <c:v>7.550202789593452E-2</c:v>
                </c:pt>
                <c:pt idx="1">
                  <c:v>3.0346754351674582E-2</c:v>
                </c:pt>
                <c:pt idx="2">
                  <c:v>0.11734873211147412</c:v>
                </c:pt>
                <c:pt idx="3">
                  <c:v>0.12539696806279613</c:v>
                </c:pt>
                <c:pt idx="4">
                  <c:v>-3.979483629942248E-2</c:v>
                </c:pt>
                <c:pt idx="5">
                  <c:v>4.9304003015082559E-2</c:v>
                </c:pt>
                <c:pt idx="6">
                  <c:v>0.14384309727183833</c:v>
                </c:pt>
                <c:pt idx="7">
                  <c:v>7.5000000000000067E-2</c:v>
                </c:pt>
                <c:pt idx="8">
                  <c:v>7.5700586041555426E-2</c:v>
                </c:pt>
                <c:pt idx="9">
                  <c:v>8.7575516693164587E-2</c:v>
                </c:pt>
              </c:numCache>
            </c:numRef>
          </c:val>
          <c:extLst>
            <c:ext xmlns:c16="http://schemas.microsoft.com/office/drawing/2014/chart" uri="{C3380CC4-5D6E-409C-BE32-E72D297353CC}">
              <c16:uniqueId val="{00000001-D20D-4B00-A9EA-CE499BE7050E}"/>
            </c:ext>
          </c:extLst>
        </c:ser>
        <c:ser>
          <c:idx val="2"/>
          <c:order val="2"/>
          <c:tx>
            <c:v>EBIT</c:v>
          </c:tx>
          <c:spPr>
            <a:solidFill>
              <a:schemeClr val="accent3"/>
            </a:solidFill>
            <a:ln>
              <a:noFill/>
            </a:ln>
            <a:effectLst/>
          </c:spPr>
          <c:invertIfNegative val="0"/>
          <c:cat>
            <c:strRef>
              <c:f>Profit!$E$2:$N$2</c:f>
              <c:strCache>
                <c:ptCount val="10"/>
                <c:pt idx="0">
                  <c:v>FY 19</c:v>
                </c:pt>
                <c:pt idx="1">
                  <c:v>FY 20</c:v>
                </c:pt>
                <c:pt idx="2">
                  <c:v>FY 21</c:v>
                </c:pt>
                <c:pt idx="3">
                  <c:v>FY 22</c:v>
                </c:pt>
                <c:pt idx="4">
                  <c:v>FY 23</c:v>
                </c:pt>
                <c:pt idx="5">
                  <c:v>FY 24 F</c:v>
                </c:pt>
                <c:pt idx="6">
                  <c:v>FY 25 F</c:v>
                </c:pt>
                <c:pt idx="7">
                  <c:v>FY 26 F</c:v>
                </c:pt>
                <c:pt idx="8">
                  <c:v>FY 27 F</c:v>
                </c:pt>
                <c:pt idx="9">
                  <c:v>FY 28 F</c:v>
                </c:pt>
              </c:strCache>
            </c:strRef>
          </c:cat>
          <c:val>
            <c:numRef>
              <c:f>Profit!$E$46:$N$46</c:f>
              <c:numCache>
                <c:formatCode>0.00%</c:formatCode>
                <c:ptCount val="10"/>
                <c:pt idx="0">
                  <c:v>7.3801245138326005E-2</c:v>
                </c:pt>
                <c:pt idx="1">
                  <c:v>5.9129945093616635E-3</c:v>
                </c:pt>
                <c:pt idx="2">
                  <c:v>0.12128634137031655</c:v>
                </c:pt>
                <c:pt idx="3">
                  <c:v>0.13524155343110877</c:v>
                </c:pt>
                <c:pt idx="4">
                  <c:v>-7.3846030825820877E-2</c:v>
                </c:pt>
                <c:pt idx="5">
                  <c:v>6.2853972315948914E-2</c:v>
                </c:pt>
                <c:pt idx="6">
                  <c:v>0.15135776708125862</c:v>
                </c:pt>
                <c:pt idx="7">
                  <c:v>7.5042141744310814E-2</c:v>
                </c:pt>
                <c:pt idx="8">
                  <c:v>7.6565491829008611E-2</c:v>
                </c:pt>
                <c:pt idx="9">
                  <c:v>9.0867170553577264E-2</c:v>
                </c:pt>
              </c:numCache>
            </c:numRef>
          </c:val>
          <c:extLst>
            <c:ext xmlns:c16="http://schemas.microsoft.com/office/drawing/2014/chart" uri="{C3380CC4-5D6E-409C-BE32-E72D297353CC}">
              <c16:uniqueId val="{00000002-D20D-4B00-A9EA-CE499BE7050E}"/>
            </c:ext>
          </c:extLst>
        </c:ser>
        <c:ser>
          <c:idx val="3"/>
          <c:order val="3"/>
          <c:tx>
            <c:v>PBT before OI</c:v>
          </c:tx>
          <c:spPr>
            <a:solidFill>
              <a:schemeClr val="accent4"/>
            </a:solidFill>
            <a:ln>
              <a:noFill/>
            </a:ln>
            <a:effectLst/>
          </c:spPr>
          <c:invertIfNegative val="0"/>
          <c:cat>
            <c:strRef>
              <c:f>Profit!$E$2:$N$2</c:f>
              <c:strCache>
                <c:ptCount val="10"/>
                <c:pt idx="0">
                  <c:v>FY 19</c:v>
                </c:pt>
                <c:pt idx="1">
                  <c:v>FY 20</c:v>
                </c:pt>
                <c:pt idx="2">
                  <c:v>FY 21</c:v>
                </c:pt>
                <c:pt idx="3">
                  <c:v>FY 22</c:v>
                </c:pt>
                <c:pt idx="4">
                  <c:v>FY 23</c:v>
                </c:pt>
                <c:pt idx="5">
                  <c:v>FY 24 F</c:v>
                </c:pt>
                <c:pt idx="6">
                  <c:v>FY 25 F</c:v>
                </c:pt>
                <c:pt idx="7">
                  <c:v>FY 26 F</c:v>
                </c:pt>
                <c:pt idx="8">
                  <c:v>FY 27 F</c:v>
                </c:pt>
                <c:pt idx="9">
                  <c:v>FY 28 F</c:v>
                </c:pt>
              </c:strCache>
            </c:strRef>
          </c:cat>
          <c:val>
            <c:numRef>
              <c:f>Profit!$E$48:$N$48</c:f>
              <c:numCache>
                <c:formatCode>0.00%</c:formatCode>
                <c:ptCount val="10"/>
                <c:pt idx="0">
                  <c:v>7.1936443186113586E-2</c:v>
                </c:pt>
                <c:pt idx="1">
                  <c:v>1.2826995236447199E-2</c:v>
                </c:pt>
                <c:pt idx="2">
                  <c:v>0.13753645655429766</c:v>
                </c:pt>
                <c:pt idx="3">
                  <c:v>0.13314931802695601</c:v>
                </c:pt>
                <c:pt idx="4">
                  <c:v>-9.5499205022627084E-2</c:v>
                </c:pt>
                <c:pt idx="5">
                  <c:v>7.9461635490262236E-2</c:v>
                </c:pt>
                <c:pt idx="6">
                  <c:v>0.15293421962279205</c:v>
                </c:pt>
                <c:pt idx="7">
                  <c:v>7.50432632155979E-2</c:v>
                </c:pt>
                <c:pt idx="8">
                  <c:v>7.6740204916494831E-2</c:v>
                </c:pt>
                <c:pt idx="9">
                  <c:v>9.1551208111642204E-2</c:v>
                </c:pt>
              </c:numCache>
            </c:numRef>
          </c:val>
          <c:extLst>
            <c:ext xmlns:c16="http://schemas.microsoft.com/office/drawing/2014/chart" uri="{C3380CC4-5D6E-409C-BE32-E72D297353CC}">
              <c16:uniqueId val="{00000003-D20D-4B00-A9EA-CE499BE7050E}"/>
            </c:ext>
          </c:extLst>
        </c:ser>
        <c:ser>
          <c:idx val="4"/>
          <c:order val="4"/>
          <c:tx>
            <c:v>PBT</c:v>
          </c:tx>
          <c:spPr>
            <a:solidFill>
              <a:schemeClr val="accent5"/>
            </a:solidFill>
            <a:ln>
              <a:noFill/>
            </a:ln>
            <a:effectLst/>
          </c:spPr>
          <c:invertIfNegative val="0"/>
          <c:cat>
            <c:strRef>
              <c:f>Profit!$E$2:$N$2</c:f>
              <c:strCache>
                <c:ptCount val="10"/>
                <c:pt idx="0">
                  <c:v>FY 19</c:v>
                </c:pt>
                <c:pt idx="1">
                  <c:v>FY 20</c:v>
                </c:pt>
                <c:pt idx="2">
                  <c:v>FY 21</c:v>
                </c:pt>
                <c:pt idx="3">
                  <c:v>FY 22</c:v>
                </c:pt>
                <c:pt idx="4">
                  <c:v>FY 23</c:v>
                </c:pt>
                <c:pt idx="5">
                  <c:v>FY 24 F</c:v>
                </c:pt>
                <c:pt idx="6">
                  <c:v>FY 25 F</c:v>
                </c:pt>
                <c:pt idx="7">
                  <c:v>FY 26 F</c:v>
                </c:pt>
                <c:pt idx="8">
                  <c:v>FY 27 F</c:v>
                </c:pt>
                <c:pt idx="9">
                  <c:v>FY 28 F</c:v>
                </c:pt>
              </c:strCache>
            </c:strRef>
          </c:cat>
          <c:val>
            <c:numRef>
              <c:f>Profit!$E$50:$N$50</c:f>
              <c:numCache>
                <c:formatCode>0.00%</c:formatCode>
                <c:ptCount val="10"/>
                <c:pt idx="0">
                  <c:v>1.8347756741589723E-2</c:v>
                </c:pt>
                <c:pt idx="1">
                  <c:v>2.1694868061552506E-3</c:v>
                </c:pt>
                <c:pt idx="2">
                  <c:v>0.19065204179087236</c:v>
                </c:pt>
                <c:pt idx="3">
                  <c:v>0.10376610939072387</c:v>
                </c:pt>
                <c:pt idx="4">
                  <c:v>-2.2096649166696652E-2</c:v>
                </c:pt>
                <c:pt idx="5">
                  <c:v>6.9965330740003592E-2</c:v>
                </c:pt>
                <c:pt idx="6">
                  <c:v>0.14174139891296561</c:v>
                </c:pt>
                <c:pt idx="7">
                  <c:v>7.5035233699900769E-2</c:v>
                </c:pt>
                <c:pt idx="8">
                  <c:v>7.5489285245884608E-2</c:v>
                </c:pt>
                <c:pt idx="9">
                  <c:v>8.6648700257913519E-2</c:v>
                </c:pt>
              </c:numCache>
            </c:numRef>
          </c:val>
          <c:extLst>
            <c:ext xmlns:c16="http://schemas.microsoft.com/office/drawing/2014/chart" uri="{C3380CC4-5D6E-409C-BE32-E72D297353CC}">
              <c16:uniqueId val="{00000004-D20D-4B00-A9EA-CE499BE7050E}"/>
            </c:ext>
          </c:extLst>
        </c:ser>
        <c:ser>
          <c:idx val="5"/>
          <c:order val="5"/>
          <c:tx>
            <c:v>PAT</c:v>
          </c:tx>
          <c:spPr>
            <a:solidFill>
              <a:schemeClr val="accent6"/>
            </a:solidFill>
            <a:ln>
              <a:noFill/>
            </a:ln>
            <a:effectLst/>
          </c:spPr>
          <c:invertIfNegative val="0"/>
          <c:cat>
            <c:strRef>
              <c:f>Profit!$E$2:$N$2</c:f>
              <c:strCache>
                <c:ptCount val="10"/>
                <c:pt idx="0">
                  <c:v>FY 19</c:v>
                </c:pt>
                <c:pt idx="1">
                  <c:v>FY 20</c:v>
                </c:pt>
                <c:pt idx="2">
                  <c:v>FY 21</c:v>
                </c:pt>
                <c:pt idx="3">
                  <c:v>FY 22</c:v>
                </c:pt>
                <c:pt idx="4">
                  <c:v>FY 23</c:v>
                </c:pt>
                <c:pt idx="5">
                  <c:v>FY 24 F</c:v>
                </c:pt>
                <c:pt idx="6">
                  <c:v>FY 25 F</c:v>
                </c:pt>
                <c:pt idx="7">
                  <c:v>FY 26 F</c:v>
                </c:pt>
                <c:pt idx="8">
                  <c:v>FY 27 F</c:v>
                </c:pt>
                <c:pt idx="9">
                  <c:v>FY 28 F</c:v>
                </c:pt>
              </c:strCache>
            </c:strRef>
          </c:cat>
          <c:val>
            <c:numRef>
              <c:f>Profit!$E$52:$N$52</c:f>
              <c:numCache>
                <c:formatCode>0.00%</c:formatCode>
                <c:ptCount val="10"/>
                <c:pt idx="0">
                  <c:v>6.4670349907918923E-2</c:v>
                </c:pt>
                <c:pt idx="1">
                  <c:v>1.8266230306714845E-3</c:v>
                </c:pt>
                <c:pt idx="2">
                  <c:v>0.17129971752778153</c:v>
                </c:pt>
                <c:pt idx="3">
                  <c:v>2.8385103422250847E-2</c:v>
                </c:pt>
                <c:pt idx="4">
                  <c:v>-2.3588097012786663E-2</c:v>
                </c:pt>
                <c:pt idx="5">
                  <c:v>6.9976495584701828E-2</c:v>
                </c:pt>
                <c:pt idx="6">
                  <c:v>0.14174139891296561</c:v>
                </c:pt>
                <c:pt idx="7">
                  <c:v>7.5035233699900825E-2</c:v>
                </c:pt>
                <c:pt idx="8">
                  <c:v>7.5489285245884372E-2</c:v>
                </c:pt>
                <c:pt idx="9">
                  <c:v>8.6648700257913838E-2</c:v>
                </c:pt>
              </c:numCache>
            </c:numRef>
          </c:val>
          <c:extLst>
            <c:ext xmlns:c16="http://schemas.microsoft.com/office/drawing/2014/chart" uri="{C3380CC4-5D6E-409C-BE32-E72D297353CC}">
              <c16:uniqueId val="{00000005-D20D-4B00-A9EA-CE499BE7050E}"/>
            </c:ext>
          </c:extLst>
        </c:ser>
        <c:dLbls>
          <c:showLegendKey val="0"/>
          <c:showVal val="0"/>
          <c:showCatName val="0"/>
          <c:showSerName val="0"/>
          <c:showPercent val="0"/>
          <c:showBubbleSize val="0"/>
        </c:dLbls>
        <c:gapWidth val="219"/>
        <c:overlap val="-27"/>
        <c:axId val="1722438047"/>
        <c:axId val="1732111983"/>
      </c:barChart>
      <c:catAx>
        <c:axId val="1722438047"/>
        <c:scaling>
          <c:orientation val="minMax"/>
        </c:scaling>
        <c:delete val="0"/>
        <c:axPos val="b"/>
        <c:numFmt formatCode="General" sourceLinked="1"/>
        <c:majorTickMark val="none"/>
        <c:minorTickMark val="none"/>
        <c:tickLblPos val="high"/>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2">
                    <a:lumMod val="50000"/>
                  </a:schemeClr>
                </a:solidFill>
                <a:latin typeface="+mn-lt"/>
                <a:ea typeface="+mn-ea"/>
                <a:cs typeface="+mn-cs"/>
              </a:defRPr>
            </a:pPr>
            <a:endParaRPr lang="en-US"/>
          </a:p>
        </c:txPr>
        <c:crossAx val="1732111983"/>
        <c:crosses val="autoZero"/>
        <c:auto val="1"/>
        <c:lblAlgn val="ctr"/>
        <c:lblOffset val="100"/>
        <c:tickLblSkip val="1"/>
        <c:noMultiLvlLbl val="0"/>
      </c:catAx>
      <c:valAx>
        <c:axId val="173211198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4380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Margins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Profit!$C$23</c:f>
              <c:strCache>
                <c:ptCount val="1"/>
                <c:pt idx="0">
                  <c:v>GP%</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Profit!$D$23:$N$23</c:f>
              <c:numCache>
                <c:formatCode>0.00%</c:formatCode>
                <c:ptCount val="11"/>
                <c:pt idx="0">
                  <c:v>0.50531025596197798</c:v>
                </c:pt>
                <c:pt idx="1">
                  <c:v>0.49606869767316231</c:v>
                </c:pt>
                <c:pt idx="2">
                  <c:v>0.50011860019528731</c:v>
                </c:pt>
                <c:pt idx="3">
                  <c:v>0.49993610290574658</c:v>
                </c:pt>
                <c:pt idx="4">
                  <c:v>0.48205934970997411</c:v>
                </c:pt>
                <c:pt idx="5">
                  <c:v>0.4563113785127178</c:v>
                </c:pt>
                <c:pt idx="6">
                  <c:v>0.47270000000000001</c:v>
                </c:pt>
                <c:pt idx="7">
                  <c:v>0.47970000000000002</c:v>
                </c:pt>
                <c:pt idx="8">
                  <c:v>0.48269999999999996</c:v>
                </c:pt>
                <c:pt idx="9">
                  <c:v>0.48369999999999996</c:v>
                </c:pt>
                <c:pt idx="10">
                  <c:v>0.48570000000000008</c:v>
                </c:pt>
              </c:numCache>
            </c:numRef>
          </c:val>
          <c:extLst>
            <c:ext xmlns:c16="http://schemas.microsoft.com/office/drawing/2014/chart" uri="{C3380CC4-5D6E-409C-BE32-E72D297353CC}">
              <c16:uniqueId val="{00000000-D7BE-4EC1-82D1-1CE87A8A2BAA}"/>
            </c:ext>
          </c:extLst>
        </c:ser>
        <c:ser>
          <c:idx val="1"/>
          <c:order val="1"/>
          <c:tx>
            <c:strRef>
              <c:f>Profit!$C$27</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Profit!$D$27:$N$27</c:f>
              <c:numCache>
                <c:formatCode>0.00%</c:formatCode>
                <c:ptCount val="11"/>
                <c:pt idx="0">
                  <c:v>0.20946275827683783</c:v>
                </c:pt>
                <c:pt idx="1">
                  <c:v>0.20429383945254201</c:v>
                </c:pt>
                <c:pt idx="2">
                  <c:v>0.20638161167302269</c:v>
                </c:pt>
                <c:pt idx="3">
                  <c:v>0.20977939790082334</c:v>
                </c:pt>
                <c:pt idx="4">
                  <c:v>0.20698652178225468</c:v>
                </c:pt>
                <c:pt idx="5">
                  <c:v>0.18769650014007069</c:v>
                </c:pt>
                <c:pt idx="6">
                  <c:v>0.17969999999999997</c:v>
                </c:pt>
                <c:pt idx="7">
                  <c:v>0.18770000000000001</c:v>
                </c:pt>
                <c:pt idx="8">
                  <c:v>0.18770000000000001</c:v>
                </c:pt>
                <c:pt idx="9">
                  <c:v>0.18869999999999995</c:v>
                </c:pt>
                <c:pt idx="10">
                  <c:v>0.19270000000000009</c:v>
                </c:pt>
              </c:numCache>
            </c:numRef>
          </c:val>
          <c:extLst>
            <c:ext xmlns:c16="http://schemas.microsoft.com/office/drawing/2014/chart" uri="{C3380CC4-5D6E-409C-BE32-E72D297353CC}">
              <c16:uniqueId val="{00000001-D7BE-4EC1-82D1-1CE87A8A2BAA}"/>
            </c:ext>
          </c:extLst>
        </c:ser>
        <c:ser>
          <c:idx val="2"/>
          <c:order val="2"/>
          <c:tx>
            <c:strRef>
              <c:f>Profit!$C$29</c:f>
              <c:strCache>
                <c:ptCount val="1"/>
                <c:pt idx="0">
                  <c:v>EBIT%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Profit!$D$29:$N$29</c:f>
              <c:numCache>
                <c:formatCode>0.00%</c:formatCode>
                <c:ptCount val="11"/>
                <c:pt idx="0">
                  <c:v>0.18846001929589415</c:v>
                </c:pt>
                <c:pt idx="1">
                  <c:v>0.18351871229443611</c:v>
                </c:pt>
                <c:pt idx="2">
                  <c:v>0.18099771550691793</c:v>
                </c:pt>
                <c:pt idx="3">
                  <c:v>0.18462594012528022</c:v>
                </c:pt>
                <c:pt idx="4">
                  <c:v>0.1837614844039866</c:v>
                </c:pt>
                <c:pt idx="5">
                  <c:v>0.16072659843242212</c:v>
                </c:pt>
                <c:pt idx="6">
                  <c:v>0.15586619240015159</c:v>
                </c:pt>
                <c:pt idx="7">
                  <c:v>0.16387471944949755</c:v>
                </c:pt>
                <c:pt idx="8">
                  <c:v>0.1638811436044055</c:v>
                </c:pt>
                <c:pt idx="9">
                  <c:v>0.16488671398689458</c:v>
                </c:pt>
                <c:pt idx="10">
                  <c:v>0.16889155225235741</c:v>
                </c:pt>
              </c:numCache>
            </c:numRef>
          </c:val>
          <c:extLst>
            <c:ext xmlns:c16="http://schemas.microsoft.com/office/drawing/2014/chart" uri="{C3380CC4-5D6E-409C-BE32-E72D297353CC}">
              <c16:uniqueId val="{00000002-D7BE-4EC1-82D1-1CE87A8A2BAA}"/>
            </c:ext>
          </c:extLst>
        </c:ser>
        <c:ser>
          <c:idx val="3"/>
          <c:order val="3"/>
          <c:tx>
            <c:strRef>
              <c:f>Profit!$C$31</c:f>
              <c:strCache>
                <c:ptCount val="1"/>
                <c:pt idx="0">
                  <c:v>PBT before other income%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Profit!$D$31:$N$31</c:f>
              <c:numCache>
                <c:formatCode>0.00%</c:formatCode>
                <c:ptCount val="11"/>
                <c:pt idx="0">
                  <c:v>0.18158990397378869</c:v>
                </c:pt>
                <c:pt idx="1">
                  <c:v>0.17652164007239007</c:v>
                </c:pt>
                <c:pt idx="2">
                  <c:v>0.17529339155106025</c:v>
                </c:pt>
                <c:pt idx="3">
                  <c:v>0.1813986131188067</c:v>
                </c:pt>
                <c:pt idx="4">
                  <c:v>0.18021651843933342</c:v>
                </c:pt>
                <c:pt idx="5">
                  <c:v>0.15394075745735644</c:v>
                </c:pt>
                <c:pt idx="6">
                  <c:v>0.15161822354243734</c:v>
                </c:pt>
                <c:pt idx="7">
                  <c:v>0.1596267505917833</c:v>
                </c:pt>
                <c:pt idx="8">
                  <c:v>0.15963317474669125</c:v>
                </c:pt>
                <c:pt idx="9">
                  <c:v>0.16063874512918033</c:v>
                </c:pt>
                <c:pt idx="10">
                  <c:v>0.16464358339464316</c:v>
                </c:pt>
              </c:numCache>
            </c:numRef>
          </c:val>
          <c:extLst>
            <c:ext xmlns:c16="http://schemas.microsoft.com/office/drawing/2014/chart" uri="{C3380CC4-5D6E-409C-BE32-E72D297353CC}">
              <c16:uniqueId val="{00000003-D7BE-4EC1-82D1-1CE87A8A2BAA}"/>
            </c:ext>
          </c:extLst>
        </c:ser>
        <c:ser>
          <c:idx val="4"/>
          <c:order val="4"/>
          <c:tx>
            <c:strRef>
              <c:f>Profit!$C$33</c:f>
              <c:strCache>
                <c:ptCount val="1"/>
                <c:pt idx="0">
                  <c:v>PBT%</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Profit!$D$33:$N$33</c:f>
              <c:numCache>
                <c:formatCode>0.00%</c:formatCode>
                <c:ptCount val="11"/>
                <c:pt idx="0">
                  <c:v>0.21922855274318981</c:v>
                </c:pt>
                <c:pt idx="1">
                  <c:v>0.20245590423476723</c:v>
                </c:pt>
                <c:pt idx="2">
                  <c:v>0.19893167707584883</c:v>
                </c:pt>
                <c:pt idx="3">
                  <c:v>0.21547252424947103</c:v>
                </c:pt>
                <c:pt idx="4">
                  <c:v>0.20851746951880309</c:v>
                </c:pt>
                <c:pt idx="5">
                  <c:v>0.19256992044156532</c:v>
                </c:pt>
                <c:pt idx="6">
                  <c:v>0.18799605224469557</c:v>
                </c:pt>
                <c:pt idx="7">
                  <c:v>0.1960045792940415</c:v>
                </c:pt>
                <c:pt idx="8">
                  <c:v>0.19601100344894942</c:v>
                </c:pt>
                <c:pt idx="9">
                  <c:v>0.19701657383143853</c:v>
                </c:pt>
                <c:pt idx="10">
                  <c:v>0.20102141209690133</c:v>
                </c:pt>
              </c:numCache>
            </c:numRef>
          </c:val>
          <c:extLst>
            <c:ext xmlns:c16="http://schemas.microsoft.com/office/drawing/2014/chart" uri="{C3380CC4-5D6E-409C-BE32-E72D297353CC}">
              <c16:uniqueId val="{00000004-D7BE-4EC1-82D1-1CE87A8A2BAA}"/>
            </c:ext>
          </c:extLst>
        </c:ser>
        <c:ser>
          <c:idx val="5"/>
          <c:order val="5"/>
          <c:tx>
            <c:strRef>
              <c:f>Profit!$C$35</c:f>
              <c:strCache>
                <c:ptCount val="1"/>
                <c:pt idx="0">
                  <c:v>PAT%</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Profit!$D$35:$N$35</c:f>
              <c:numCache>
                <c:formatCode>0.00%</c:formatCode>
                <c:ptCount val="11"/>
                <c:pt idx="0">
                  <c:v>0.17579984071174659</c:v>
                </c:pt>
                <c:pt idx="1">
                  <c:v>0.16973478536087541</c:v>
                </c:pt>
                <c:pt idx="2">
                  <c:v>0.16672308811879361</c:v>
                </c:pt>
                <c:pt idx="3">
                  <c:v>0.17765068191816985</c:v>
                </c:pt>
                <c:pt idx="4">
                  <c:v>0.16017552173449864</c:v>
                </c:pt>
                <c:pt idx="5">
                  <c:v>0.14769958776709921</c:v>
                </c:pt>
                <c:pt idx="6">
                  <c:v>0.1441929720716815</c:v>
                </c:pt>
                <c:pt idx="7">
                  <c:v>0.15033551231852985</c:v>
                </c:pt>
                <c:pt idx="8">
                  <c:v>0.15034043964534421</c:v>
                </c:pt>
                <c:pt idx="9">
                  <c:v>0.15111171212871333</c:v>
                </c:pt>
                <c:pt idx="10">
                  <c:v>0.15418342307832336</c:v>
                </c:pt>
              </c:numCache>
            </c:numRef>
          </c:val>
          <c:extLst>
            <c:ext xmlns:c16="http://schemas.microsoft.com/office/drawing/2014/chart" uri="{C3380CC4-5D6E-409C-BE32-E72D297353CC}">
              <c16:uniqueId val="{00000005-D7BE-4EC1-82D1-1CE87A8A2BAA}"/>
            </c:ext>
          </c:extLst>
        </c:ser>
        <c:dLbls>
          <c:dLblPos val="ctr"/>
          <c:showLegendKey val="0"/>
          <c:showVal val="1"/>
          <c:showCatName val="0"/>
          <c:showSerName val="0"/>
          <c:showPercent val="0"/>
          <c:showBubbleSize val="0"/>
        </c:dLbls>
        <c:gapWidth val="50"/>
        <c:overlap val="100"/>
        <c:axId val="1919500367"/>
        <c:axId val="1968111711"/>
      </c:barChart>
      <c:catAx>
        <c:axId val="1919500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8111711"/>
        <c:crosses val="autoZero"/>
        <c:auto val="1"/>
        <c:lblAlgn val="ctr"/>
        <c:lblOffset val="100"/>
        <c:noMultiLvlLbl val="0"/>
      </c:catAx>
      <c:valAx>
        <c:axId val="196811171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9500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Opex</a:t>
            </a:r>
            <a:r>
              <a:rPr lang="en-IN" baseline="0"/>
              <a:t> Breakdown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Profit!$C$118</c:f>
              <c:strCache>
                <c:ptCount val="1"/>
                <c:pt idx="0">
                  <c:v>Employee exp</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Profit!$D$118:$N$118</c:f>
              <c:numCache>
                <c:formatCode>0.00%</c:formatCode>
                <c:ptCount val="11"/>
                <c:pt idx="0">
                  <c:v>0.34703150374919567</c:v>
                </c:pt>
                <c:pt idx="1">
                  <c:v>0.3775106059264387</c:v>
                </c:pt>
                <c:pt idx="2">
                  <c:v>0.37151705213641711</c:v>
                </c:pt>
                <c:pt idx="3">
                  <c:v>0.37308890581622445</c:v>
                </c:pt>
                <c:pt idx="4">
                  <c:v>0.36056263730393495</c:v>
                </c:pt>
                <c:pt idx="5">
                  <c:v>0.36711762616641375</c:v>
                </c:pt>
                <c:pt idx="6">
                  <c:v>0.34129692832764508</c:v>
                </c:pt>
                <c:pt idx="7">
                  <c:v>0.34931506849315064</c:v>
                </c:pt>
                <c:pt idx="8">
                  <c:v>0.35593220338983056</c:v>
                </c:pt>
                <c:pt idx="9">
                  <c:v>0.3559322033898305</c:v>
                </c:pt>
                <c:pt idx="10">
                  <c:v>0.35836177474402725</c:v>
                </c:pt>
              </c:numCache>
            </c:numRef>
          </c:val>
          <c:extLst>
            <c:ext xmlns:c16="http://schemas.microsoft.com/office/drawing/2014/chart" uri="{C3380CC4-5D6E-409C-BE32-E72D297353CC}">
              <c16:uniqueId val="{00000000-8A94-4466-9FB7-07C9CE190E52}"/>
            </c:ext>
          </c:extLst>
        </c:ser>
        <c:ser>
          <c:idx val="1"/>
          <c:order val="1"/>
          <c:tx>
            <c:strRef>
              <c:f>Profit!$C$119</c:f>
              <c:strCache>
                <c:ptCount val="1"/>
                <c:pt idx="0">
                  <c:v>Ad spends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Profit!$D$119:$N$119</c:f>
              <c:numCache>
                <c:formatCode>0.00%</c:formatCode>
                <c:ptCount val="11"/>
                <c:pt idx="0">
                  <c:v>0.26557787514937692</c:v>
                </c:pt>
                <c:pt idx="1">
                  <c:v>0.24485401254196085</c:v>
                </c:pt>
                <c:pt idx="2">
                  <c:v>0.25479419835358685</c:v>
                </c:pt>
                <c:pt idx="3">
                  <c:v>0.2831614326302071</c:v>
                </c:pt>
                <c:pt idx="4">
                  <c:v>0.25973063388510875</c:v>
                </c:pt>
                <c:pt idx="5">
                  <c:v>0.20673210422653451</c:v>
                </c:pt>
                <c:pt idx="6">
                  <c:v>0.28327645051194544</c:v>
                </c:pt>
                <c:pt idx="7">
                  <c:v>0.27397260273972601</c:v>
                </c:pt>
                <c:pt idx="8">
                  <c:v>0.2711864406779661</c:v>
                </c:pt>
                <c:pt idx="9">
                  <c:v>0.2711864406779661</c:v>
                </c:pt>
                <c:pt idx="10">
                  <c:v>0.2662116040955631</c:v>
                </c:pt>
              </c:numCache>
            </c:numRef>
          </c:val>
          <c:extLst>
            <c:ext xmlns:c16="http://schemas.microsoft.com/office/drawing/2014/chart" uri="{C3380CC4-5D6E-409C-BE32-E72D297353CC}">
              <c16:uniqueId val="{00000001-8A94-4466-9FB7-07C9CE190E52}"/>
            </c:ext>
          </c:extLst>
        </c:ser>
        <c:ser>
          <c:idx val="2"/>
          <c:order val="2"/>
          <c:tx>
            <c:strRef>
              <c:f>Profit!$C$120</c:f>
              <c:strCache>
                <c:ptCount val="1"/>
                <c:pt idx="0">
                  <c:v>Other costs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Profit!$D$120:$N$120</c:f>
              <c:numCache>
                <c:formatCode>0.00%</c:formatCode>
                <c:ptCount val="11"/>
                <c:pt idx="0">
                  <c:v>0.38739062110142747</c:v>
                </c:pt>
                <c:pt idx="1">
                  <c:v>0.37763538153160042</c:v>
                </c:pt>
                <c:pt idx="2">
                  <c:v>0.37368874950999609</c:v>
                </c:pt>
                <c:pt idx="3">
                  <c:v>0.3437496615535684</c:v>
                </c:pt>
                <c:pt idx="4">
                  <c:v>0.37970672881095624</c:v>
                </c:pt>
                <c:pt idx="5">
                  <c:v>0.42615026960705177</c:v>
                </c:pt>
                <c:pt idx="6">
                  <c:v>0.37542662116040953</c:v>
                </c:pt>
                <c:pt idx="7">
                  <c:v>0.37671232876712329</c:v>
                </c:pt>
                <c:pt idx="8">
                  <c:v>0.3728813559322034</c:v>
                </c:pt>
                <c:pt idx="9">
                  <c:v>0.3728813559322034</c:v>
                </c:pt>
                <c:pt idx="10">
                  <c:v>0.37542662116040953</c:v>
                </c:pt>
              </c:numCache>
            </c:numRef>
          </c:val>
          <c:extLst>
            <c:ext xmlns:c16="http://schemas.microsoft.com/office/drawing/2014/chart" uri="{C3380CC4-5D6E-409C-BE32-E72D297353CC}">
              <c16:uniqueId val="{00000002-8A94-4466-9FB7-07C9CE190E52}"/>
            </c:ext>
          </c:extLst>
        </c:ser>
        <c:dLbls>
          <c:showLegendKey val="0"/>
          <c:showVal val="1"/>
          <c:showCatName val="0"/>
          <c:showSerName val="0"/>
          <c:showPercent val="0"/>
          <c:showBubbleSize val="0"/>
        </c:dLbls>
        <c:gapWidth val="56"/>
        <c:overlap val="100"/>
        <c:axId val="1969197807"/>
        <c:axId val="2069477951"/>
      </c:barChart>
      <c:catAx>
        <c:axId val="1969197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477951"/>
        <c:crosses val="autoZero"/>
        <c:auto val="1"/>
        <c:lblAlgn val="ctr"/>
        <c:lblOffset val="100"/>
        <c:noMultiLvlLbl val="0"/>
      </c:catAx>
      <c:valAx>
        <c:axId val="206947795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91978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a:t>
            </a:r>
            <a:r>
              <a:rPr lang="en-IN" baseline="0"/>
              <a:t> Breakup</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Profit!$C$149</c:f>
              <c:strCache>
                <c:ptCount val="1"/>
                <c:pt idx="0">
                  <c:v>COGS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Profit!$D$149:$N$149</c:f>
              <c:numCache>
                <c:formatCode>0.00%</c:formatCode>
                <c:ptCount val="11"/>
                <c:pt idx="0">
                  <c:v>0.49468974403802196</c:v>
                </c:pt>
                <c:pt idx="1">
                  <c:v>0.50393130232683769</c:v>
                </c:pt>
                <c:pt idx="2">
                  <c:v>0.49988139980471274</c:v>
                </c:pt>
                <c:pt idx="3">
                  <c:v>0.50006389709425336</c:v>
                </c:pt>
                <c:pt idx="4">
                  <c:v>0.51794065029002589</c:v>
                </c:pt>
                <c:pt idx="5">
                  <c:v>0.54368862148728225</c:v>
                </c:pt>
                <c:pt idx="6">
                  <c:v>0.52729999999999999</c:v>
                </c:pt>
                <c:pt idx="7">
                  <c:v>0.52029999999999998</c:v>
                </c:pt>
                <c:pt idx="8">
                  <c:v>0.51729999999999998</c:v>
                </c:pt>
                <c:pt idx="9">
                  <c:v>0.51630000000000009</c:v>
                </c:pt>
                <c:pt idx="10">
                  <c:v>0.51429999999999998</c:v>
                </c:pt>
              </c:numCache>
            </c:numRef>
          </c:val>
          <c:extLst>
            <c:ext xmlns:c16="http://schemas.microsoft.com/office/drawing/2014/chart" uri="{C3380CC4-5D6E-409C-BE32-E72D297353CC}">
              <c16:uniqueId val="{00000000-4F1F-4767-B139-47F0A85BC81C}"/>
            </c:ext>
          </c:extLst>
        </c:ser>
        <c:ser>
          <c:idx val="1"/>
          <c:order val="1"/>
          <c:tx>
            <c:strRef>
              <c:f>Profit!$C$150</c:f>
              <c:strCache>
                <c:ptCount val="1"/>
                <c:pt idx="0">
                  <c:v>Employee exp</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Profit!$D$150:$N$150</c:f>
              <c:numCache>
                <c:formatCode>0.00%</c:formatCode>
                <c:ptCount val="11"/>
                <c:pt idx="0">
                  <c:v>0.10266840200211089</c:v>
                </c:pt>
                <c:pt idx="1">
                  <c:v>0.11014810352096714</c:v>
                </c:pt>
                <c:pt idx="2">
                  <c:v>0.10912830007922034</c:v>
                </c:pt>
                <c:pt idx="3">
                  <c:v>0.10825424758552783</c:v>
                </c:pt>
                <c:pt idx="4">
                  <c:v>9.9180984288270019E-2</c:v>
                </c:pt>
                <c:pt idx="5">
                  <c:v>9.8613256501146163E-2</c:v>
                </c:pt>
                <c:pt idx="6">
                  <c:v>0.1</c:v>
                </c:pt>
                <c:pt idx="7">
                  <c:v>0.10199999999999999</c:v>
                </c:pt>
                <c:pt idx="8">
                  <c:v>0.10500000000000001</c:v>
                </c:pt>
                <c:pt idx="9">
                  <c:v>0.105</c:v>
                </c:pt>
                <c:pt idx="10">
                  <c:v>0.105</c:v>
                </c:pt>
              </c:numCache>
            </c:numRef>
          </c:val>
          <c:extLst>
            <c:ext xmlns:c16="http://schemas.microsoft.com/office/drawing/2014/chart" uri="{C3380CC4-5D6E-409C-BE32-E72D297353CC}">
              <c16:uniqueId val="{00000001-4F1F-4767-B139-47F0A85BC81C}"/>
            </c:ext>
          </c:extLst>
        </c:ser>
        <c:ser>
          <c:idx val="2"/>
          <c:order val="2"/>
          <c:tx>
            <c:strRef>
              <c:f>Profit!$C$151</c:f>
              <c:strCache>
                <c:ptCount val="1"/>
                <c:pt idx="0">
                  <c:v>Ad spends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Profit!$D$151:$N$151</c:f>
              <c:numCache>
                <c:formatCode>0.00%</c:formatCode>
                <c:ptCount val="11"/>
                <c:pt idx="0">
                  <c:v>7.8570549803479731E-2</c:v>
                </c:pt>
                <c:pt idx="1">
                  <c:v>7.1442244794180626E-2</c:v>
                </c:pt>
                <c:pt idx="2">
                  <c:v>7.4842480517327156E-2</c:v>
                </c:pt>
                <c:pt idx="3">
                  <c:v>8.2161188276454439E-2</c:v>
                </c:pt>
                <c:pt idx="4">
                  <c:v>7.1444839962236009E-2</c:v>
                </c:pt>
                <c:pt idx="5">
                  <c:v>5.5531319032531966E-2</c:v>
                </c:pt>
                <c:pt idx="6">
                  <c:v>8.3000000000000004E-2</c:v>
                </c:pt>
                <c:pt idx="7">
                  <c:v>0.08</c:v>
                </c:pt>
                <c:pt idx="8">
                  <c:v>0.08</c:v>
                </c:pt>
                <c:pt idx="9">
                  <c:v>0.08</c:v>
                </c:pt>
                <c:pt idx="10">
                  <c:v>7.8E-2</c:v>
                </c:pt>
              </c:numCache>
            </c:numRef>
          </c:val>
          <c:extLst>
            <c:ext xmlns:c16="http://schemas.microsoft.com/office/drawing/2014/chart" uri="{C3380CC4-5D6E-409C-BE32-E72D297353CC}">
              <c16:uniqueId val="{00000002-4F1F-4767-B139-47F0A85BC81C}"/>
            </c:ext>
          </c:extLst>
        </c:ser>
        <c:ser>
          <c:idx val="3"/>
          <c:order val="3"/>
          <c:tx>
            <c:strRef>
              <c:f>Profit!$C$152</c:f>
              <c:strCache>
                <c:ptCount val="1"/>
                <c:pt idx="0">
                  <c:v>Other costs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Profit!$D$152:$N$152</c:f>
              <c:numCache>
                <c:formatCode>0.00%</c:formatCode>
                <c:ptCount val="11"/>
                <c:pt idx="0">
                  <c:v>0.11460854587954959</c:v>
                </c:pt>
                <c:pt idx="1">
                  <c:v>0.11018450990547259</c:v>
                </c:pt>
                <c:pt idx="2">
                  <c:v>0.10976620792571713</c:v>
                </c:pt>
                <c:pt idx="3">
                  <c:v>9.9741269142940944E-2</c:v>
                </c:pt>
                <c:pt idx="4">
                  <c:v>0.10444700367721339</c:v>
                </c:pt>
                <c:pt idx="5">
                  <c:v>0.11447030283896897</c:v>
                </c:pt>
                <c:pt idx="6">
                  <c:v>0.10999999999999999</c:v>
                </c:pt>
                <c:pt idx="7">
                  <c:v>0.11</c:v>
                </c:pt>
                <c:pt idx="8">
                  <c:v>0.11</c:v>
                </c:pt>
                <c:pt idx="9">
                  <c:v>0.11</c:v>
                </c:pt>
                <c:pt idx="10">
                  <c:v>0.11</c:v>
                </c:pt>
              </c:numCache>
            </c:numRef>
          </c:val>
          <c:extLst>
            <c:ext xmlns:c16="http://schemas.microsoft.com/office/drawing/2014/chart" uri="{C3380CC4-5D6E-409C-BE32-E72D297353CC}">
              <c16:uniqueId val="{00000003-4F1F-4767-B139-47F0A85BC81C}"/>
            </c:ext>
          </c:extLst>
        </c:ser>
        <c:ser>
          <c:idx val="4"/>
          <c:order val="4"/>
          <c:tx>
            <c:strRef>
              <c:f>Profit!$C$153</c:f>
              <c:strCache>
                <c:ptCount val="1"/>
                <c:pt idx="0">
                  <c:v>D&amp;A</c:v>
                </c:pt>
              </c:strCache>
            </c:strRef>
          </c:tx>
          <c:spPr>
            <a:solidFill>
              <a:schemeClr val="accent5"/>
            </a:solidFill>
            <a:ln>
              <a:noFill/>
            </a:ln>
            <a:effectLst/>
          </c:spPr>
          <c:invertIfNegative val="0"/>
          <c:dLbls>
            <c:delete val="1"/>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Profit!$D$153:$N$153</c:f>
              <c:numCache>
                <c:formatCode>0.00%</c:formatCode>
                <c:ptCount val="11"/>
                <c:pt idx="0">
                  <c:v>2.1002738980943687E-2</c:v>
                </c:pt>
                <c:pt idx="1">
                  <c:v>2.0775127158105883E-2</c:v>
                </c:pt>
                <c:pt idx="2">
                  <c:v>2.5383896166104754E-2</c:v>
                </c:pt>
                <c:pt idx="3">
                  <c:v>2.5153457775543123E-2</c:v>
                </c:pt>
                <c:pt idx="4">
                  <c:v>2.322503737826807E-2</c:v>
                </c:pt>
                <c:pt idx="5">
                  <c:v>2.6969901707648555E-2</c:v>
                </c:pt>
                <c:pt idx="6">
                  <c:v>2.3833807599848378E-2</c:v>
                </c:pt>
                <c:pt idx="7">
                  <c:v>2.3825280550502419E-2</c:v>
                </c:pt>
                <c:pt idx="8">
                  <c:v>2.3818856395594494E-2</c:v>
                </c:pt>
                <c:pt idx="9">
                  <c:v>2.3813286013105363E-2</c:v>
                </c:pt>
                <c:pt idx="10">
                  <c:v>2.380844774764268E-2</c:v>
                </c:pt>
              </c:numCache>
            </c:numRef>
          </c:val>
          <c:extLst>
            <c:ext xmlns:c16="http://schemas.microsoft.com/office/drawing/2014/chart" uri="{C3380CC4-5D6E-409C-BE32-E72D297353CC}">
              <c16:uniqueId val="{00000004-4F1F-4767-B139-47F0A85BC81C}"/>
            </c:ext>
          </c:extLst>
        </c:ser>
        <c:ser>
          <c:idx val="5"/>
          <c:order val="5"/>
          <c:tx>
            <c:strRef>
              <c:f>Profit!$C$154</c:f>
              <c:strCache>
                <c:ptCount val="1"/>
                <c:pt idx="0">
                  <c:v>Finance Cost</c:v>
                </c:pt>
              </c:strCache>
            </c:strRef>
          </c:tx>
          <c:spPr>
            <a:solidFill>
              <a:schemeClr val="accent6"/>
            </a:solidFill>
            <a:ln>
              <a:noFill/>
            </a:ln>
            <a:effectLst/>
          </c:spPr>
          <c:invertIfNegative val="0"/>
          <c:dLbls>
            <c:delete val="1"/>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Profit!$D$154:$N$154</c:f>
              <c:numCache>
                <c:formatCode>0.00%</c:formatCode>
                <c:ptCount val="11"/>
                <c:pt idx="0">
                  <c:v>6.8701153221054538E-3</c:v>
                </c:pt>
                <c:pt idx="1">
                  <c:v>6.997072222046063E-3</c:v>
                </c:pt>
                <c:pt idx="2">
                  <c:v>5.7043239558576984E-3</c:v>
                </c:pt>
                <c:pt idx="3">
                  <c:v>3.2273270064735091E-3</c:v>
                </c:pt>
                <c:pt idx="4">
                  <c:v>3.5449659646531986E-3</c:v>
                </c:pt>
                <c:pt idx="5">
                  <c:v>6.7858409750656771E-3</c:v>
                </c:pt>
                <c:pt idx="6">
                  <c:v>4.2479688577142525E-3</c:v>
                </c:pt>
                <c:pt idx="7">
                  <c:v>4.2479688577142525E-3</c:v>
                </c:pt>
                <c:pt idx="8">
                  <c:v>4.2479688577142525E-3</c:v>
                </c:pt>
                <c:pt idx="9">
                  <c:v>4.2479688577142525E-3</c:v>
                </c:pt>
                <c:pt idx="10">
                  <c:v>4.2479688577142525E-3</c:v>
                </c:pt>
              </c:numCache>
            </c:numRef>
          </c:val>
          <c:extLst>
            <c:ext xmlns:c16="http://schemas.microsoft.com/office/drawing/2014/chart" uri="{C3380CC4-5D6E-409C-BE32-E72D297353CC}">
              <c16:uniqueId val="{00000005-4F1F-4767-B139-47F0A85BC81C}"/>
            </c:ext>
          </c:extLst>
        </c:ser>
        <c:ser>
          <c:idx val="6"/>
          <c:order val="6"/>
          <c:tx>
            <c:strRef>
              <c:f>Profit!$C$155</c:f>
              <c:strCache>
                <c:ptCount val="1"/>
                <c:pt idx="0">
                  <c:v>PBT before other income</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Profit!$D$2:$N$2</c:f>
              <c:strCache>
                <c:ptCount val="11"/>
                <c:pt idx="0">
                  <c:v>FY 18</c:v>
                </c:pt>
                <c:pt idx="1">
                  <c:v>FY 19</c:v>
                </c:pt>
                <c:pt idx="2">
                  <c:v>FY 20</c:v>
                </c:pt>
                <c:pt idx="3">
                  <c:v>FY 21</c:v>
                </c:pt>
                <c:pt idx="4">
                  <c:v>FY 22</c:v>
                </c:pt>
                <c:pt idx="5">
                  <c:v>FY 23</c:v>
                </c:pt>
                <c:pt idx="6">
                  <c:v>FY 24 F</c:v>
                </c:pt>
                <c:pt idx="7">
                  <c:v>FY 25 F</c:v>
                </c:pt>
                <c:pt idx="8">
                  <c:v>FY 26 F</c:v>
                </c:pt>
                <c:pt idx="9">
                  <c:v>FY 27 F</c:v>
                </c:pt>
                <c:pt idx="10">
                  <c:v>FY 28 F</c:v>
                </c:pt>
              </c:strCache>
            </c:strRef>
          </c:cat>
          <c:val>
            <c:numRef>
              <c:f>Profit!$D$155:$N$155</c:f>
              <c:numCache>
                <c:formatCode>0.00%</c:formatCode>
                <c:ptCount val="11"/>
                <c:pt idx="0">
                  <c:v>0.18158990397378869</c:v>
                </c:pt>
                <c:pt idx="1">
                  <c:v>0.17652164007239007</c:v>
                </c:pt>
                <c:pt idx="2">
                  <c:v>0.17529339155106025</c:v>
                </c:pt>
                <c:pt idx="3">
                  <c:v>0.1813986131188067</c:v>
                </c:pt>
                <c:pt idx="4">
                  <c:v>0.18021651843933342</c:v>
                </c:pt>
                <c:pt idx="5">
                  <c:v>0.15394075745735644</c:v>
                </c:pt>
                <c:pt idx="6">
                  <c:v>0.15161822354243734</c:v>
                </c:pt>
                <c:pt idx="7">
                  <c:v>0.1596267505917833</c:v>
                </c:pt>
                <c:pt idx="8">
                  <c:v>0.15963317474669125</c:v>
                </c:pt>
                <c:pt idx="9">
                  <c:v>0.16063874512918033</c:v>
                </c:pt>
                <c:pt idx="10">
                  <c:v>0.16464358339464316</c:v>
                </c:pt>
              </c:numCache>
            </c:numRef>
          </c:val>
          <c:extLst>
            <c:ext xmlns:c16="http://schemas.microsoft.com/office/drawing/2014/chart" uri="{C3380CC4-5D6E-409C-BE32-E72D297353CC}">
              <c16:uniqueId val="{00000006-4F1F-4767-B139-47F0A85BC81C}"/>
            </c:ext>
          </c:extLst>
        </c:ser>
        <c:dLbls>
          <c:dLblPos val="ctr"/>
          <c:showLegendKey val="0"/>
          <c:showVal val="1"/>
          <c:showCatName val="0"/>
          <c:showSerName val="0"/>
          <c:showPercent val="0"/>
          <c:showBubbleSize val="0"/>
        </c:dLbls>
        <c:gapWidth val="50"/>
        <c:overlap val="100"/>
        <c:axId val="1313241071"/>
        <c:axId val="1658020623"/>
      </c:barChart>
      <c:catAx>
        <c:axId val="1313241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8020623"/>
        <c:crosses val="autoZero"/>
        <c:auto val="1"/>
        <c:lblAlgn val="ctr"/>
        <c:lblOffset val="100"/>
        <c:noMultiLvlLbl val="0"/>
      </c:catAx>
      <c:valAx>
        <c:axId val="1658020623"/>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241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a:t>
            </a:r>
            <a:r>
              <a:rPr lang="en-IN" baseline="0"/>
              <a:t> B/S size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'Balance sheet'!$C$4</c:f>
              <c:strCache>
                <c:ptCount val="1"/>
                <c:pt idx="0">
                  <c:v>Total Assets</c:v>
                </c:pt>
              </c:strCache>
            </c:strRef>
          </c:tx>
          <c:spPr>
            <a:solidFill>
              <a:schemeClr val="accent1"/>
            </a:solidFill>
            <a:ln>
              <a:noFill/>
            </a:ln>
            <a:effectLst/>
          </c:spPr>
          <c:invertIfNegative val="0"/>
          <c:cat>
            <c:strRef>
              <c:f>'Balance sheet'!$D$2:$N$2</c:f>
              <c:strCache>
                <c:ptCount val="11"/>
                <c:pt idx="0">
                  <c:v>FY 18</c:v>
                </c:pt>
                <c:pt idx="1">
                  <c:v>FY 19</c:v>
                </c:pt>
                <c:pt idx="2">
                  <c:v>FY 20</c:v>
                </c:pt>
                <c:pt idx="3">
                  <c:v>FY 21</c:v>
                </c:pt>
                <c:pt idx="4">
                  <c:v>FY 22</c:v>
                </c:pt>
                <c:pt idx="5">
                  <c:v>FY 23</c:v>
                </c:pt>
                <c:pt idx="6">
                  <c:v>FY 24</c:v>
                </c:pt>
                <c:pt idx="7">
                  <c:v>FY 25</c:v>
                </c:pt>
                <c:pt idx="8">
                  <c:v>FY 26</c:v>
                </c:pt>
                <c:pt idx="9">
                  <c:v>FY 27</c:v>
                </c:pt>
                <c:pt idx="10">
                  <c:v>FY 28</c:v>
                </c:pt>
              </c:strCache>
            </c:strRef>
          </c:cat>
          <c:val>
            <c:numRef>
              <c:f>'Balance sheet'!$D$4:$N$4</c:f>
              <c:numCache>
                <c:formatCode>#,##0.00;\(#,##0.00\)</c:formatCode>
                <c:ptCount val="11"/>
                <c:pt idx="0">
                  <c:v>8701.6299999999992</c:v>
                </c:pt>
                <c:pt idx="1">
                  <c:v>8436.64</c:v>
                </c:pt>
                <c:pt idx="2">
                  <c:v>9354.01</c:v>
                </c:pt>
                <c:pt idx="3">
                  <c:v>10847.13</c:v>
                </c:pt>
                <c:pt idx="4">
                  <c:v>12284.529999999999</c:v>
                </c:pt>
                <c:pt idx="5">
                  <c:v>13654.369999999999</c:v>
                </c:pt>
                <c:pt idx="6">
                  <c:v>14769.74</c:v>
                </c:pt>
                <c:pt idx="7">
                  <c:v>16007.6</c:v>
                </c:pt>
                <c:pt idx="8">
                  <c:v>17303.919999999998</c:v>
                </c:pt>
                <c:pt idx="9">
                  <c:v>18725.189999999999</c:v>
                </c:pt>
                <c:pt idx="10">
                  <c:v>20197.07</c:v>
                </c:pt>
              </c:numCache>
            </c:numRef>
          </c:val>
          <c:extLst>
            <c:ext xmlns:c16="http://schemas.microsoft.com/office/drawing/2014/chart" uri="{C3380CC4-5D6E-409C-BE32-E72D297353CC}">
              <c16:uniqueId val="{00000000-7242-41D6-9719-76C00E071135}"/>
            </c:ext>
          </c:extLst>
        </c:ser>
        <c:ser>
          <c:idx val="1"/>
          <c:order val="1"/>
          <c:tx>
            <c:strRef>
              <c:f>'Balance sheet'!$C$5</c:f>
              <c:strCache>
                <c:ptCount val="1"/>
                <c:pt idx="0">
                  <c:v>Total Liabilities</c:v>
                </c:pt>
              </c:strCache>
            </c:strRef>
          </c:tx>
          <c:spPr>
            <a:solidFill>
              <a:schemeClr val="accent2"/>
            </a:solidFill>
            <a:ln>
              <a:noFill/>
            </a:ln>
            <a:effectLst/>
          </c:spPr>
          <c:invertIfNegative val="0"/>
          <c:cat>
            <c:strRef>
              <c:f>'Balance sheet'!$D$2:$N$2</c:f>
              <c:strCache>
                <c:ptCount val="11"/>
                <c:pt idx="0">
                  <c:v>FY 18</c:v>
                </c:pt>
                <c:pt idx="1">
                  <c:v>FY 19</c:v>
                </c:pt>
                <c:pt idx="2">
                  <c:v>FY 20</c:v>
                </c:pt>
                <c:pt idx="3">
                  <c:v>FY 21</c:v>
                </c:pt>
                <c:pt idx="4">
                  <c:v>FY 22</c:v>
                </c:pt>
                <c:pt idx="5">
                  <c:v>FY 23</c:v>
                </c:pt>
                <c:pt idx="6">
                  <c:v>FY 24</c:v>
                </c:pt>
                <c:pt idx="7">
                  <c:v>FY 25</c:v>
                </c:pt>
                <c:pt idx="8">
                  <c:v>FY 26</c:v>
                </c:pt>
                <c:pt idx="9">
                  <c:v>FY 27</c:v>
                </c:pt>
                <c:pt idx="10">
                  <c:v>FY 28</c:v>
                </c:pt>
              </c:strCache>
            </c:strRef>
          </c:cat>
          <c:val>
            <c:numRef>
              <c:f>'Balance sheet'!$D$5:$N$5</c:f>
              <c:numCache>
                <c:formatCode>#,##0.00;\(#,##0.00\)</c:formatCode>
                <c:ptCount val="11"/>
                <c:pt idx="0">
                  <c:v>2968.5799999999995</c:v>
                </c:pt>
                <c:pt idx="1">
                  <c:v>2773.5799999999995</c:v>
                </c:pt>
                <c:pt idx="2">
                  <c:v>2711.8</c:v>
                </c:pt>
                <c:pt idx="3">
                  <c:v>3146.91</c:v>
                </c:pt>
                <c:pt idx="4">
                  <c:v>3862.6799999999994</c:v>
                </c:pt>
                <c:pt idx="5">
                  <c:v>4212.9399999999996</c:v>
                </c:pt>
                <c:pt idx="6">
                  <c:v>4417.2457924087585</c:v>
                </c:pt>
                <c:pt idx="7">
                  <c:v>4614.9118803577821</c:v>
                </c:pt>
                <c:pt idx="8">
                  <c:v>4792.9720460552171</c:v>
                </c:pt>
                <c:pt idx="9">
                  <c:v>5011.5831251514255</c:v>
                </c:pt>
                <c:pt idx="10">
                  <c:v>5176.585562428967</c:v>
                </c:pt>
              </c:numCache>
            </c:numRef>
          </c:val>
          <c:extLst>
            <c:ext xmlns:c16="http://schemas.microsoft.com/office/drawing/2014/chart" uri="{C3380CC4-5D6E-409C-BE32-E72D297353CC}">
              <c16:uniqueId val="{00000001-7242-41D6-9719-76C00E071135}"/>
            </c:ext>
          </c:extLst>
        </c:ser>
        <c:ser>
          <c:idx val="2"/>
          <c:order val="2"/>
          <c:tx>
            <c:strRef>
              <c:f>'Balance sheet'!$C$6</c:f>
              <c:strCache>
                <c:ptCount val="1"/>
                <c:pt idx="0">
                  <c:v>Total Equity</c:v>
                </c:pt>
              </c:strCache>
            </c:strRef>
          </c:tx>
          <c:spPr>
            <a:solidFill>
              <a:schemeClr val="accent3"/>
            </a:solidFill>
            <a:ln>
              <a:noFill/>
            </a:ln>
            <a:effectLst/>
          </c:spPr>
          <c:invertIfNegative val="0"/>
          <c:cat>
            <c:strRef>
              <c:f>'Balance sheet'!$D$2:$N$2</c:f>
              <c:strCache>
                <c:ptCount val="11"/>
                <c:pt idx="0">
                  <c:v>FY 18</c:v>
                </c:pt>
                <c:pt idx="1">
                  <c:v>FY 19</c:v>
                </c:pt>
                <c:pt idx="2">
                  <c:v>FY 20</c:v>
                </c:pt>
                <c:pt idx="3">
                  <c:v>FY 21</c:v>
                </c:pt>
                <c:pt idx="4">
                  <c:v>FY 22</c:v>
                </c:pt>
                <c:pt idx="5">
                  <c:v>FY 23</c:v>
                </c:pt>
                <c:pt idx="6">
                  <c:v>FY 24</c:v>
                </c:pt>
                <c:pt idx="7">
                  <c:v>FY 25</c:v>
                </c:pt>
                <c:pt idx="8">
                  <c:v>FY 26</c:v>
                </c:pt>
                <c:pt idx="9">
                  <c:v>FY 27</c:v>
                </c:pt>
                <c:pt idx="10">
                  <c:v>FY 28</c:v>
                </c:pt>
              </c:strCache>
            </c:strRef>
          </c:cat>
          <c:val>
            <c:numRef>
              <c:f>'Balance sheet'!$D$6:$N$6</c:f>
              <c:numCache>
                <c:formatCode>#,##0.00;\(#,##0.00\)</c:formatCode>
                <c:ptCount val="11"/>
                <c:pt idx="0">
                  <c:v>5733.0499999999993</c:v>
                </c:pt>
                <c:pt idx="1">
                  <c:v>5663.0599999999995</c:v>
                </c:pt>
                <c:pt idx="2">
                  <c:v>6642.21</c:v>
                </c:pt>
                <c:pt idx="3">
                  <c:v>7700.2199999999993</c:v>
                </c:pt>
                <c:pt idx="4">
                  <c:v>8421.8499999999985</c:v>
                </c:pt>
                <c:pt idx="5">
                  <c:v>9441.43</c:v>
                </c:pt>
                <c:pt idx="6">
                  <c:v>10352.49420759124</c:v>
                </c:pt>
                <c:pt idx="7">
                  <c:v>11392.688119642218</c:v>
                </c:pt>
                <c:pt idx="8">
                  <c:v>12510.947953944782</c:v>
                </c:pt>
                <c:pt idx="9">
                  <c:v>13713.606874848574</c:v>
                </c:pt>
                <c:pt idx="10">
                  <c:v>15020.484437571033</c:v>
                </c:pt>
              </c:numCache>
            </c:numRef>
          </c:val>
          <c:extLst>
            <c:ext xmlns:c16="http://schemas.microsoft.com/office/drawing/2014/chart" uri="{C3380CC4-5D6E-409C-BE32-E72D297353CC}">
              <c16:uniqueId val="{00000002-7242-41D6-9719-76C00E071135}"/>
            </c:ext>
          </c:extLst>
        </c:ser>
        <c:dLbls>
          <c:showLegendKey val="0"/>
          <c:showVal val="0"/>
          <c:showCatName val="0"/>
          <c:showSerName val="0"/>
          <c:showPercent val="0"/>
          <c:showBubbleSize val="0"/>
        </c:dLbls>
        <c:gapWidth val="219"/>
        <c:overlap val="100"/>
        <c:axId val="1012070239"/>
        <c:axId val="1284241791"/>
      </c:barChart>
      <c:lineChart>
        <c:grouping val="standard"/>
        <c:varyColors val="0"/>
        <c:ser>
          <c:idx val="3"/>
          <c:order val="3"/>
          <c:tx>
            <c:strRef>
              <c:f>'Balance sheet'!$C$7</c:f>
              <c:strCache>
                <c:ptCount val="1"/>
                <c:pt idx="0">
                  <c:v>Total Balance sheet size</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sheet'!$D$2:$N$2</c:f>
              <c:strCache>
                <c:ptCount val="11"/>
                <c:pt idx="0">
                  <c:v>FY 18</c:v>
                </c:pt>
                <c:pt idx="1">
                  <c:v>FY 19</c:v>
                </c:pt>
                <c:pt idx="2">
                  <c:v>FY 20</c:v>
                </c:pt>
                <c:pt idx="3">
                  <c:v>FY 21</c:v>
                </c:pt>
                <c:pt idx="4">
                  <c:v>FY 22</c:v>
                </c:pt>
                <c:pt idx="5">
                  <c:v>FY 23</c:v>
                </c:pt>
                <c:pt idx="6">
                  <c:v>FY 24</c:v>
                </c:pt>
                <c:pt idx="7">
                  <c:v>FY 25</c:v>
                </c:pt>
                <c:pt idx="8">
                  <c:v>FY 26</c:v>
                </c:pt>
                <c:pt idx="9">
                  <c:v>FY 27</c:v>
                </c:pt>
                <c:pt idx="10">
                  <c:v>FY 28</c:v>
                </c:pt>
              </c:strCache>
            </c:strRef>
          </c:cat>
          <c:val>
            <c:numRef>
              <c:f>'Balance sheet'!$D$7:$N$7</c:f>
              <c:numCache>
                <c:formatCode>#,##0.00;\(#,##0.00\)</c:formatCode>
                <c:ptCount val="11"/>
                <c:pt idx="0">
                  <c:v>17403.259999999998</c:v>
                </c:pt>
                <c:pt idx="1">
                  <c:v>16873.28</c:v>
                </c:pt>
                <c:pt idx="2">
                  <c:v>18708.02</c:v>
                </c:pt>
                <c:pt idx="3">
                  <c:v>21694.26</c:v>
                </c:pt>
                <c:pt idx="4">
                  <c:v>24569.059999999998</c:v>
                </c:pt>
                <c:pt idx="5">
                  <c:v>27308.739999999998</c:v>
                </c:pt>
                <c:pt idx="6">
                  <c:v>29539.48</c:v>
                </c:pt>
                <c:pt idx="7">
                  <c:v>32015.200000000001</c:v>
                </c:pt>
                <c:pt idx="8">
                  <c:v>34607.839999999997</c:v>
                </c:pt>
                <c:pt idx="9">
                  <c:v>37450.379999999997</c:v>
                </c:pt>
                <c:pt idx="10">
                  <c:v>40394.14</c:v>
                </c:pt>
              </c:numCache>
            </c:numRef>
          </c:val>
          <c:smooth val="0"/>
          <c:extLst>
            <c:ext xmlns:c16="http://schemas.microsoft.com/office/drawing/2014/chart" uri="{C3380CC4-5D6E-409C-BE32-E72D297353CC}">
              <c16:uniqueId val="{00000003-7242-41D6-9719-76C00E071135}"/>
            </c:ext>
          </c:extLst>
        </c:ser>
        <c:dLbls>
          <c:showLegendKey val="0"/>
          <c:showVal val="0"/>
          <c:showCatName val="0"/>
          <c:showSerName val="0"/>
          <c:showPercent val="0"/>
          <c:showBubbleSize val="0"/>
        </c:dLbls>
        <c:marker val="1"/>
        <c:smooth val="0"/>
        <c:axId val="1012070239"/>
        <c:axId val="1284241791"/>
      </c:lineChart>
      <c:catAx>
        <c:axId val="101207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241791"/>
        <c:crosses val="autoZero"/>
        <c:auto val="1"/>
        <c:lblAlgn val="ctr"/>
        <c:lblOffset val="100"/>
        <c:noMultiLvlLbl val="0"/>
      </c:catAx>
      <c:valAx>
        <c:axId val="1284241791"/>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702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Growth</a:t>
            </a:r>
            <a:r>
              <a:rPr lang="en-IN" baseline="0"/>
              <a:t> rates%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'Balance sheet'!$C$10:$D$10</c:f>
              <c:strCache>
                <c:ptCount val="2"/>
                <c:pt idx="0">
                  <c:v>Total Assets</c:v>
                </c:pt>
                <c:pt idx="1">
                  <c:v>-</c:v>
                </c:pt>
              </c:strCache>
            </c:strRef>
          </c:tx>
          <c:spPr>
            <a:ln w="28575" cap="rnd">
              <a:solidFill>
                <a:schemeClr val="accent1"/>
              </a:solidFill>
              <a:round/>
            </a:ln>
            <a:effectLst/>
          </c:spPr>
          <c:marker>
            <c:symbol val="none"/>
          </c:marker>
          <c:cat>
            <c:strRef>
              <c:f>'Balance sheet'!$E$2:$N$2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'Balance sheet'!$E$10:$N$10</c:f>
              <c:numCache>
                <c:formatCode>0.00%</c:formatCode>
                <c:ptCount val="10"/>
                <c:pt idx="0">
                  <c:v>-3.0452915143484589E-2</c:v>
                </c:pt>
                <c:pt idx="1">
                  <c:v>0.10873641639325618</c:v>
                </c:pt>
                <c:pt idx="2">
                  <c:v>0.15962351975249106</c:v>
                </c:pt>
                <c:pt idx="3">
                  <c:v>0.13251431484641557</c:v>
                </c:pt>
                <c:pt idx="4">
                  <c:v>0.111509353634205</c:v>
                </c:pt>
                <c:pt idx="5">
                  <c:v>8.1685936443790588E-2</c:v>
                </c:pt>
                <c:pt idx="6">
                  <c:v>8.3810547782154632E-2</c:v>
                </c:pt>
                <c:pt idx="7">
                  <c:v>8.0981533771458419E-2</c:v>
                </c:pt>
                <c:pt idx="8">
                  <c:v>8.2135724159612428E-2</c:v>
                </c:pt>
                <c:pt idx="9">
                  <c:v>7.8604275844464125E-2</c:v>
                </c:pt>
              </c:numCache>
            </c:numRef>
          </c:val>
          <c:smooth val="0"/>
          <c:extLst>
            <c:ext xmlns:c16="http://schemas.microsoft.com/office/drawing/2014/chart" uri="{C3380CC4-5D6E-409C-BE32-E72D297353CC}">
              <c16:uniqueId val="{00000000-8BC6-461E-9862-D05EACFDBAA8}"/>
            </c:ext>
          </c:extLst>
        </c:ser>
        <c:ser>
          <c:idx val="1"/>
          <c:order val="1"/>
          <c:tx>
            <c:strRef>
              <c:f>'Balance sheet'!$C$11:$D$11</c:f>
              <c:strCache>
                <c:ptCount val="2"/>
                <c:pt idx="0">
                  <c:v>Total Liabilities</c:v>
                </c:pt>
                <c:pt idx="1">
                  <c:v>-</c:v>
                </c:pt>
              </c:strCache>
            </c:strRef>
          </c:tx>
          <c:spPr>
            <a:ln w="28575" cap="rnd">
              <a:solidFill>
                <a:schemeClr val="accent2"/>
              </a:solidFill>
              <a:round/>
            </a:ln>
            <a:effectLst/>
          </c:spPr>
          <c:marker>
            <c:symbol val="none"/>
          </c:marker>
          <c:cat>
            <c:strRef>
              <c:f>'Balance sheet'!$E$2:$N$2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'Balance sheet'!$E$11:$N$11</c:f>
              <c:numCache>
                <c:formatCode>0.00%</c:formatCode>
                <c:ptCount val="10"/>
                <c:pt idx="0">
                  <c:v>-6.5687972027029765E-2</c:v>
                </c:pt>
                <c:pt idx="1">
                  <c:v>-2.2274461165713376E-2</c:v>
                </c:pt>
                <c:pt idx="2">
                  <c:v>0.16045062320230091</c:v>
                </c:pt>
                <c:pt idx="3">
                  <c:v>0.22745169070612109</c:v>
                </c:pt>
                <c:pt idx="4">
                  <c:v>9.0677974877546225E-2</c:v>
                </c:pt>
                <c:pt idx="5">
                  <c:v>4.8494826038053919E-2</c:v>
                </c:pt>
                <c:pt idx="6">
                  <c:v>4.4748718373046392E-2</c:v>
                </c:pt>
                <c:pt idx="7">
                  <c:v>3.8583654534185913E-2</c:v>
                </c:pt>
                <c:pt idx="8">
                  <c:v>4.5610756122838846E-2</c:v>
                </c:pt>
                <c:pt idx="9">
                  <c:v>3.2924214396335277E-2</c:v>
                </c:pt>
              </c:numCache>
            </c:numRef>
          </c:val>
          <c:smooth val="0"/>
          <c:extLst>
            <c:ext xmlns:c16="http://schemas.microsoft.com/office/drawing/2014/chart" uri="{C3380CC4-5D6E-409C-BE32-E72D297353CC}">
              <c16:uniqueId val="{00000001-8BC6-461E-9862-D05EACFDBAA8}"/>
            </c:ext>
          </c:extLst>
        </c:ser>
        <c:ser>
          <c:idx val="2"/>
          <c:order val="2"/>
          <c:tx>
            <c:strRef>
              <c:f>'Balance sheet'!$C$12:$D$12</c:f>
              <c:strCache>
                <c:ptCount val="2"/>
                <c:pt idx="0">
                  <c:v>Total Equity</c:v>
                </c:pt>
                <c:pt idx="1">
                  <c:v>-</c:v>
                </c:pt>
              </c:strCache>
            </c:strRef>
          </c:tx>
          <c:spPr>
            <a:ln w="28575" cap="rnd">
              <a:solidFill>
                <a:schemeClr val="accent3"/>
              </a:solidFill>
              <a:round/>
            </a:ln>
            <a:effectLst/>
          </c:spPr>
          <c:marker>
            <c:symbol val="none"/>
          </c:marker>
          <c:cat>
            <c:strRef>
              <c:f>'Balance sheet'!$E$2:$N$2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'Balance sheet'!$E$12:$N$12</c:f>
              <c:numCache>
                <c:formatCode>0.00%</c:formatCode>
                <c:ptCount val="10"/>
                <c:pt idx="0">
                  <c:v>-1.2208161449839054E-2</c:v>
                </c:pt>
                <c:pt idx="1">
                  <c:v>0.17290122301370647</c:v>
                </c:pt>
                <c:pt idx="2">
                  <c:v>0.15928584010442298</c:v>
                </c:pt>
                <c:pt idx="3">
                  <c:v>9.3715504232346508E-2</c:v>
                </c:pt>
                <c:pt idx="4">
                  <c:v>0.121063661784525</c:v>
                </c:pt>
                <c:pt idx="5">
                  <c:v>9.6496421367445406E-2</c:v>
                </c:pt>
                <c:pt idx="6">
                  <c:v>0.1004776135289434</c:v>
                </c:pt>
                <c:pt idx="7">
                  <c:v>9.8155924445483919E-2</c:v>
                </c:pt>
                <c:pt idx="8">
                  <c:v>9.6128520822803515E-2</c:v>
                </c:pt>
                <c:pt idx="9">
                  <c:v>9.5297872736846201E-2</c:v>
                </c:pt>
              </c:numCache>
            </c:numRef>
          </c:val>
          <c:smooth val="0"/>
          <c:extLst>
            <c:ext xmlns:c16="http://schemas.microsoft.com/office/drawing/2014/chart" uri="{C3380CC4-5D6E-409C-BE32-E72D297353CC}">
              <c16:uniqueId val="{00000002-8BC6-461E-9862-D05EACFDBAA8}"/>
            </c:ext>
          </c:extLst>
        </c:ser>
        <c:dLbls>
          <c:showLegendKey val="0"/>
          <c:showVal val="0"/>
          <c:showCatName val="0"/>
          <c:showSerName val="0"/>
          <c:showPercent val="0"/>
          <c:showBubbleSize val="0"/>
        </c:dLbls>
        <c:smooth val="0"/>
        <c:axId val="1419939631"/>
        <c:axId val="1204346207"/>
      </c:lineChart>
      <c:catAx>
        <c:axId val="1419939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346207"/>
        <c:crosses val="autoZero"/>
        <c:auto val="1"/>
        <c:lblAlgn val="ctr"/>
        <c:lblOffset val="100"/>
        <c:noMultiLvlLbl val="0"/>
      </c:catAx>
      <c:valAx>
        <c:axId val="12043462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99396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Return Ratios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Returns!$C$4:$D$4</c:f>
              <c:strCache>
                <c:ptCount val="2"/>
                <c:pt idx="0">
                  <c:v>ROE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Returns!$E$4:$N$4</c:f>
              <c:numCache>
                <c:formatCode>0.00%</c:formatCode>
                <c:ptCount val="10"/>
                <c:pt idx="0">
                  <c:v>0.25494170150464807</c:v>
                </c:pt>
                <c:pt idx="1">
                  <c:v>0.23663955585445626</c:v>
                </c:pt>
                <c:pt idx="2">
                  <c:v>0.23770785912113301</c:v>
                </c:pt>
                <c:pt idx="3">
                  <c:v>0.21740336295242768</c:v>
                </c:pt>
                <c:pt idx="4">
                  <c:v>0.19625504766470592</c:v>
                </c:pt>
                <c:pt idx="5">
                  <c:v>0.19325139560608295</c:v>
                </c:pt>
                <c:pt idx="6">
                  <c:v>0.19995323226957717</c:v>
                </c:pt>
                <c:pt idx="7">
                  <c:v>0.19475529030679017</c:v>
                </c:pt>
                <c:pt idx="8">
                  <c:v>0.19023353400926449</c:v>
                </c:pt>
                <c:pt idx="9">
                  <c:v>0.18805489834013298</c:v>
                </c:pt>
              </c:numCache>
            </c:numRef>
          </c:val>
          <c:smooth val="0"/>
          <c:extLst>
            <c:ext xmlns:c16="http://schemas.microsoft.com/office/drawing/2014/chart" uri="{C3380CC4-5D6E-409C-BE32-E72D297353CC}">
              <c16:uniqueId val="{00000000-10CB-4FD9-960B-98B9D5E98430}"/>
            </c:ext>
          </c:extLst>
        </c:ser>
        <c:ser>
          <c:idx val="1"/>
          <c:order val="1"/>
          <c:tx>
            <c:strRef>
              <c:f>Returns!$C$5:$D$5</c:f>
              <c:strCache>
                <c:ptCount val="2"/>
                <c:pt idx="0">
                  <c:v>ROA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Returns!$E$5:$N$5</c:f>
              <c:numCache>
                <c:formatCode>0.00%</c:formatCode>
                <c:ptCount val="10"/>
                <c:pt idx="0">
                  <c:v>0.16866229788654288</c:v>
                </c:pt>
                <c:pt idx="1">
                  <c:v>0.16277426625783761</c:v>
                </c:pt>
                <c:pt idx="2">
                  <c:v>0.16790735572348892</c:v>
                </c:pt>
                <c:pt idx="3">
                  <c:v>0.15079765135749018</c:v>
                </c:pt>
                <c:pt idx="4">
                  <c:v>0.13130549098072777</c:v>
                </c:pt>
                <c:pt idx="5">
                  <c:v>0.12820997195134154</c:v>
                </c:pt>
                <c:pt idx="6">
                  <c:v>0.13519024239314134</c:v>
                </c:pt>
                <c:pt idx="7">
                  <c:v>0.13427794226042156</c:v>
                </c:pt>
                <c:pt idx="8">
                  <c:v>0.13352164708380362</c:v>
                </c:pt>
                <c:pt idx="9">
                  <c:v>0.13430628324213453</c:v>
                </c:pt>
              </c:numCache>
            </c:numRef>
          </c:val>
          <c:smooth val="0"/>
          <c:extLst>
            <c:ext xmlns:c16="http://schemas.microsoft.com/office/drawing/2014/chart" uri="{C3380CC4-5D6E-409C-BE32-E72D297353CC}">
              <c16:uniqueId val="{00000001-10CB-4FD9-960B-98B9D5E98430}"/>
            </c:ext>
          </c:extLst>
        </c:ser>
        <c:ser>
          <c:idx val="2"/>
          <c:order val="2"/>
          <c:tx>
            <c:strRef>
              <c:f>Returns!$C$6:$D$6</c:f>
              <c:strCache>
                <c:ptCount val="2"/>
                <c:pt idx="0">
                  <c:v>ROCE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Returns!$E$6:$N$6</c:f>
              <c:numCache>
                <c:formatCode>0.00%</c:formatCode>
                <c:ptCount val="10"/>
                <c:pt idx="0">
                  <c:v>0.26075602326456482</c:v>
                </c:pt>
                <c:pt idx="1">
                  <c:v>0.24953526656094069</c:v>
                </c:pt>
                <c:pt idx="2">
                  <c:v>0.23931562425322067</c:v>
                </c:pt>
                <c:pt idx="3">
                  <c:v>0.23823751956370195</c:v>
                </c:pt>
                <c:pt idx="4">
                  <c:v>0.20036100790292677</c:v>
                </c:pt>
                <c:pt idx="5">
                  <c:v>0.19632966670381963</c:v>
                </c:pt>
                <c:pt idx="6">
                  <c:v>0.20601129462607409</c:v>
                </c:pt>
                <c:pt idx="7">
                  <c:v>0.20169638117211833</c:v>
                </c:pt>
                <c:pt idx="8">
                  <c:v>0.19811849056856243</c:v>
                </c:pt>
                <c:pt idx="9">
                  <c:v>0.19742180412194649</c:v>
                </c:pt>
              </c:numCache>
            </c:numRef>
          </c:val>
          <c:smooth val="0"/>
          <c:extLst>
            <c:ext xmlns:c16="http://schemas.microsoft.com/office/drawing/2014/chart" uri="{C3380CC4-5D6E-409C-BE32-E72D297353CC}">
              <c16:uniqueId val="{00000002-10CB-4FD9-960B-98B9D5E98430}"/>
            </c:ext>
          </c:extLst>
        </c:ser>
        <c:ser>
          <c:idx val="3"/>
          <c:order val="3"/>
          <c:tx>
            <c:strRef>
              <c:f>Returns!$C$7:$D$7</c:f>
              <c:strCache>
                <c:ptCount val="2"/>
                <c:pt idx="0">
                  <c:v>ROIC I</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Returns!$E$7:$N$7</c:f>
              <c:numCache>
                <c:formatCode>0.00%</c:formatCode>
                <c:ptCount val="10"/>
                <c:pt idx="0">
                  <c:v>0.21861238281815343</c:v>
                </c:pt>
                <c:pt idx="1">
                  <c:v>0.20913356207077988</c:v>
                </c:pt>
                <c:pt idx="2">
                  <c:v>0.19730860809443329</c:v>
                </c:pt>
                <c:pt idx="3">
                  <c:v>0.18300538118417803</c:v>
                </c:pt>
                <c:pt idx="4">
                  <c:v>0.15367528949487599</c:v>
                </c:pt>
                <c:pt idx="5">
                  <c:v>0.15058485436182964</c:v>
                </c:pt>
                <c:pt idx="6">
                  <c:v>0.15801066297819882</c:v>
                </c:pt>
                <c:pt idx="7">
                  <c:v>0.15470112435901476</c:v>
                </c:pt>
                <c:pt idx="8">
                  <c:v>0.15195688226608736</c:v>
                </c:pt>
                <c:pt idx="9">
                  <c:v>0.15142252376153295</c:v>
                </c:pt>
              </c:numCache>
            </c:numRef>
          </c:val>
          <c:smooth val="0"/>
          <c:extLst>
            <c:ext xmlns:c16="http://schemas.microsoft.com/office/drawing/2014/chart" uri="{C3380CC4-5D6E-409C-BE32-E72D297353CC}">
              <c16:uniqueId val="{00000003-10CB-4FD9-960B-98B9D5E98430}"/>
            </c:ext>
          </c:extLst>
        </c:ser>
        <c:ser>
          <c:idx val="4"/>
          <c:order val="4"/>
          <c:tx>
            <c:strRef>
              <c:f>Returns!$C$8:$D$8</c:f>
              <c:strCache>
                <c:ptCount val="2"/>
                <c:pt idx="0">
                  <c:v>ROIC I</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Returns!$E$8:$N$8</c:f>
              <c:numCache>
                <c:formatCode>0.00%</c:formatCode>
                <c:ptCount val="10"/>
              </c:numCache>
            </c:numRef>
          </c:val>
          <c:smooth val="0"/>
          <c:extLst>
            <c:ext xmlns:c16="http://schemas.microsoft.com/office/drawing/2014/chart" uri="{C3380CC4-5D6E-409C-BE32-E72D297353CC}">
              <c16:uniqueId val="{00000004-10CB-4FD9-960B-98B9D5E98430}"/>
            </c:ext>
          </c:extLst>
        </c:ser>
        <c:dLbls>
          <c:showLegendKey val="0"/>
          <c:showVal val="0"/>
          <c:showCatName val="0"/>
          <c:showSerName val="0"/>
          <c:showPercent val="0"/>
          <c:showBubbleSize val="0"/>
        </c:dLbls>
        <c:marker val="1"/>
        <c:smooth val="0"/>
        <c:axId val="1200864783"/>
        <c:axId val="1339427839"/>
      </c:lineChart>
      <c:catAx>
        <c:axId val="1200864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427839"/>
        <c:crosses val="autoZero"/>
        <c:auto val="1"/>
        <c:lblAlgn val="ctr"/>
        <c:lblOffset val="100"/>
        <c:noMultiLvlLbl val="0"/>
      </c:catAx>
      <c:valAx>
        <c:axId val="133942783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08647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ROE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v>Shareholder equity</c:v>
          </c:tx>
          <c:spPr>
            <a:solidFill>
              <a:schemeClr val="accent2"/>
            </a:solidFill>
            <a:ln>
              <a:noFill/>
            </a:ln>
            <a:effectLst/>
          </c:spPr>
          <c:invertIfNegative val="0"/>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Returns!$E$11:$N$11</c:f>
              <c:numCache>
                <c:formatCode>0.00</c:formatCode>
                <c:ptCount val="10"/>
                <c:pt idx="0">
                  <c:v>5669.1</c:v>
                </c:pt>
                <c:pt idx="1">
                  <c:v>6118.7150000000001</c:v>
                </c:pt>
                <c:pt idx="2">
                  <c:v>7134.6399999999994</c:v>
                </c:pt>
                <c:pt idx="3">
                  <c:v>8022.4150000000009</c:v>
                </c:pt>
                <c:pt idx="4">
                  <c:v>8677.2800000000007</c:v>
                </c:pt>
                <c:pt idx="5">
                  <c:v>9428.7917932302298</c:v>
                </c:pt>
                <c:pt idx="6">
                  <c:v>10404.423093312476</c:v>
                </c:pt>
                <c:pt idx="7">
                  <c:v>11483.647895060352</c:v>
                </c:pt>
                <c:pt idx="8">
                  <c:v>12644.106453726654</c:v>
                </c:pt>
                <c:pt idx="9">
                  <c:v>13898.877726995097</c:v>
                </c:pt>
              </c:numCache>
            </c:numRef>
          </c:val>
          <c:extLst>
            <c:ext xmlns:c16="http://schemas.microsoft.com/office/drawing/2014/chart" uri="{C3380CC4-5D6E-409C-BE32-E72D297353CC}">
              <c16:uniqueId val="{00000001-47D6-418B-9246-93D6FE429258}"/>
            </c:ext>
          </c:extLst>
        </c:ser>
        <c:dLbls>
          <c:showLegendKey val="0"/>
          <c:showVal val="0"/>
          <c:showCatName val="0"/>
          <c:showSerName val="0"/>
          <c:showPercent val="0"/>
          <c:showBubbleSize val="0"/>
        </c:dLbls>
        <c:gapWidth val="100"/>
        <c:axId val="1285400399"/>
        <c:axId val="1415069103"/>
      </c:barChart>
      <c:lineChart>
        <c:grouping val="stacked"/>
        <c:varyColors val="0"/>
        <c:ser>
          <c:idx val="0"/>
          <c:order val="0"/>
          <c:tx>
            <c:v>ROE</c:v>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7030A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Returns!$E$4:$N$4</c:f>
              <c:numCache>
                <c:formatCode>0.00%</c:formatCode>
                <c:ptCount val="10"/>
                <c:pt idx="0">
                  <c:v>0.25494170150464807</c:v>
                </c:pt>
                <c:pt idx="1">
                  <c:v>0.23663955585445626</c:v>
                </c:pt>
                <c:pt idx="2">
                  <c:v>0.23770785912113301</c:v>
                </c:pt>
                <c:pt idx="3">
                  <c:v>0.21740336295242768</c:v>
                </c:pt>
                <c:pt idx="4">
                  <c:v>0.19625504766470592</c:v>
                </c:pt>
                <c:pt idx="5">
                  <c:v>0.19325139560608295</c:v>
                </c:pt>
                <c:pt idx="6">
                  <c:v>0.19995323226957717</c:v>
                </c:pt>
                <c:pt idx="7">
                  <c:v>0.19475529030679017</c:v>
                </c:pt>
                <c:pt idx="8">
                  <c:v>0.19023353400926449</c:v>
                </c:pt>
                <c:pt idx="9">
                  <c:v>0.18805489834013298</c:v>
                </c:pt>
              </c:numCache>
            </c:numRef>
          </c:val>
          <c:smooth val="0"/>
          <c:extLst>
            <c:ext xmlns:c16="http://schemas.microsoft.com/office/drawing/2014/chart" uri="{C3380CC4-5D6E-409C-BE32-E72D297353CC}">
              <c16:uniqueId val="{00000000-47D6-418B-9246-93D6FE429258}"/>
            </c:ext>
          </c:extLst>
        </c:ser>
        <c:dLbls>
          <c:showLegendKey val="0"/>
          <c:showVal val="0"/>
          <c:showCatName val="0"/>
          <c:showSerName val="0"/>
          <c:showPercent val="0"/>
          <c:showBubbleSize val="0"/>
        </c:dLbls>
        <c:marker val="1"/>
        <c:smooth val="0"/>
        <c:axId val="1204603103"/>
        <c:axId val="1349253599"/>
      </c:lineChart>
      <c:catAx>
        <c:axId val="128540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069103"/>
        <c:crosses val="autoZero"/>
        <c:auto val="1"/>
        <c:lblAlgn val="ctr"/>
        <c:lblOffset val="100"/>
        <c:noMultiLvlLbl val="0"/>
      </c:catAx>
      <c:valAx>
        <c:axId val="141506910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400399"/>
        <c:crosses val="autoZero"/>
        <c:crossBetween val="between"/>
      </c:valAx>
      <c:valAx>
        <c:axId val="1349253599"/>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603103"/>
        <c:crosses val="max"/>
        <c:crossBetween val="between"/>
      </c:valAx>
      <c:catAx>
        <c:axId val="1204603103"/>
        <c:scaling>
          <c:orientation val="minMax"/>
        </c:scaling>
        <c:delete val="1"/>
        <c:axPos val="b"/>
        <c:numFmt formatCode="General" sourceLinked="1"/>
        <c:majorTickMark val="out"/>
        <c:minorTickMark val="none"/>
        <c:tickLblPos val="nextTo"/>
        <c:crossAx val="13492535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ROA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v>Total assets</c:v>
          </c:tx>
          <c:spPr>
            <a:solidFill>
              <a:schemeClr val="accent2"/>
            </a:solidFill>
            <a:ln>
              <a:noFill/>
            </a:ln>
            <a:effectLst/>
          </c:spPr>
          <c:invertIfNegative val="0"/>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Returns!$E$9:$N$9</c:f>
              <c:numCache>
                <c:formatCode>0.00</c:formatCode>
                <c:ptCount val="10"/>
                <c:pt idx="0">
                  <c:v>8569.1349999999984</c:v>
                </c:pt>
                <c:pt idx="1">
                  <c:v>8895.3250000000007</c:v>
                </c:pt>
                <c:pt idx="2">
                  <c:v>10100.57</c:v>
                </c:pt>
                <c:pt idx="3">
                  <c:v>11565.829999999998</c:v>
                </c:pt>
                <c:pt idx="4">
                  <c:v>12969.449999999999</c:v>
                </c:pt>
                <c:pt idx="5">
                  <c:v>14212.055</c:v>
                </c:pt>
                <c:pt idx="6">
                  <c:v>15388.67</c:v>
                </c:pt>
                <c:pt idx="7">
                  <c:v>16655.759999999998</c:v>
                </c:pt>
                <c:pt idx="8">
                  <c:v>18014.555</c:v>
                </c:pt>
                <c:pt idx="9">
                  <c:v>19461.129999999997</c:v>
                </c:pt>
              </c:numCache>
            </c:numRef>
          </c:val>
          <c:extLst>
            <c:ext xmlns:c16="http://schemas.microsoft.com/office/drawing/2014/chart" uri="{C3380CC4-5D6E-409C-BE32-E72D297353CC}">
              <c16:uniqueId val="{00000001-3FCC-464D-84D0-70F21A32F048}"/>
            </c:ext>
          </c:extLst>
        </c:ser>
        <c:dLbls>
          <c:showLegendKey val="0"/>
          <c:showVal val="0"/>
          <c:showCatName val="0"/>
          <c:showSerName val="0"/>
          <c:showPercent val="0"/>
          <c:showBubbleSize val="0"/>
        </c:dLbls>
        <c:gapWidth val="219"/>
        <c:axId val="1423589471"/>
        <c:axId val="1194273407"/>
      </c:barChart>
      <c:lineChart>
        <c:grouping val="stacked"/>
        <c:varyColors val="0"/>
        <c:ser>
          <c:idx val="0"/>
          <c:order val="0"/>
          <c:tx>
            <c:v>ROA</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Returns!$E$5:$N$5</c:f>
              <c:numCache>
                <c:formatCode>0.00%</c:formatCode>
                <c:ptCount val="10"/>
                <c:pt idx="0">
                  <c:v>0.16866229788654288</c:v>
                </c:pt>
                <c:pt idx="1">
                  <c:v>0.16277426625783761</c:v>
                </c:pt>
                <c:pt idx="2">
                  <c:v>0.16790735572348892</c:v>
                </c:pt>
                <c:pt idx="3">
                  <c:v>0.15079765135749018</c:v>
                </c:pt>
                <c:pt idx="4">
                  <c:v>0.13130549098072777</c:v>
                </c:pt>
                <c:pt idx="5">
                  <c:v>0.12820997195134154</c:v>
                </c:pt>
                <c:pt idx="6">
                  <c:v>0.13519024239314134</c:v>
                </c:pt>
                <c:pt idx="7">
                  <c:v>0.13427794226042156</c:v>
                </c:pt>
                <c:pt idx="8">
                  <c:v>0.13352164708380362</c:v>
                </c:pt>
                <c:pt idx="9">
                  <c:v>0.13430628324213453</c:v>
                </c:pt>
              </c:numCache>
            </c:numRef>
          </c:val>
          <c:smooth val="0"/>
          <c:extLst>
            <c:ext xmlns:c16="http://schemas.microsoft.com/office/drawing/2014/chart" uri="{C3380CC4-5D6E-409C-BE32-E72D297353CC}">
              <c16:uniqueId val="{00000000-3FCC-464D-84D0-70F21A32F048}"/>
            </c:ext>
          </c:extLst>
        </c:ser>
        <c:dLbls>
          <c:showLegendKey val="0"/>
          <c:showVal val="0"/>
          <c:showCatName val="0"/>
          <c:showSerName val="0"/>
          <c:showPercent val="0"/>
          <c:showBubbleSize val="0"/>
        </c:dLbls>
        <c:marker val="1"/>
        <c:smooth val="0"/>
        <c:axId val="1351607759"/>
        <c:axId val="1193344431"/>
      </c:lineChart>
      <c:catAx>
        <c:axId val="1423589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273407"/>
        <c:crosses val="autoZero"/>
        <c:auto val="1"/>
        <c:lblAlgn val="ctr"/>
        <c:lblOffset val="100"/>
        <c:noMultiLvlLbl val="0"/>
      </c:catAx>
      <c:valAx>
        <c:axId val="11942734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589471"/>
        <c:crosses val="autoZero"/>
        <c:crossBetween val="between"/>
      </c:valAx>
      <c:valAx>
        <c:axId val="1193344431"/>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607759"/>
        <c:crosses val="max"/>
        <c:crossBetween val="between"/>
      </c:valAx>
      <c:catAx>
        <c:axId val="1351607759"/>
        <c:scaling>
          <c:orientation val="minMax"/>
        </c:scaling>
        <c:delete val="1"/>
        <c:axPos val="b"/>
        <c:numFmt formatCode="General" sourceLinked="1"/>
        <c:majorTickMark val="out"/>
        <c:minorTickMark val="none"/>
        <c:tickLblPos val="nextTo"/>
        <c:crossAx val="119334443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ROCE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v>Avg Capital Employed</c:v>
          </c:tx>
          <c:spPr>
            <a:solidFill>
              <a:schemeClr val="accent2"/>
            </a:solidFill>
            <a:ln>
              <a:noFill/>
            </a:ln>
            <a:effectLst/>
          </c:spPr>
          <c:invertIfNegative val="0"/>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Returns!$E$10:$N$10</c:f>
              <c:numCache>
                <c:formatCode>0.00</c:formatCode>
                <c:ptCount val="10"/>
                <c:pt idx="0">
                  <c:v>5992.8050000000003</c:v>
                </c:pt>
                <c:pt idx="1">
                  <c:v>6299.31</c:v>
                </c:pt>
                <c:pt idx="2">
                  <c:v>7364.96</c:v>
                </c:pt>
                <c:pt idx="3">
                  <c:v>8398.8450000000012</c:v>
                </c:pt>
                <c:pt idx="4">
                  <c:v>9249.1049999999996</c:v>
                </c:pt>
                <c:pt idx="5">
                  <c:v>10032.301793230232</c:v>
                </c:pt>
                <c:pt idx="6">
                  <c:v>11007.933093312477</c:v>
                </c:pt>
                <c:pt idx="7">
                  <c:v>12087.157895060351</c:v>
                </c:pt>
                <c:pt idx="8">
                  <c:v>13247.616453726654</c:v>
                </c:pt>
                <c:pt idx="9">
                  <c:v>14502.387726995097</c:v>
                </c:pt>
              </c:numCache>
            </c:numRef>
          </c:val>
          <c:extLst>
            <c:ext xmlns:c16="http://schemas.microsoft.com/office/drawing/2014/chart" uri="{C3380CC4-5D6E-409C-BE32-E72D297353CC}">
              <c16:uniqueId val="{00000001-FC5A-44B5-94DF-010CDFE378BF}"/>
            </c:ext>
          </c:extLst>
        </c:ser>
        <c:dLbls>
          <c:showLegendKey val="0"/>
          <c:showVal val="0"/>
          <c:showCatName val="0"/>
          <c:showSerName val="0"/>
          <c:showPercent val="0"/>
          <c:showBubbleSize val="0"/>
        </c:dLbls>
        <c:gapWidth val="219"/>
        <c:axId val="1204604543"/>
        <c:axId val="1349247647"/>
      </c:barChart>
      <c:lineChart>
        <c:grouping val="stacked"/>
        <c:varyColors val="0"/>
        <c:ser>
          <c:idx val="0"/>
          <c:order val="0"/>
          <c:tx>
            <c:v>ROCE</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Returns!$E$6:$N$6</c:f>
              <c:numCache>
                <c:formatCode>0.00%</c:formatCode>
                <c:ptCount val="10"/>
                <c:pt idx="0">
                  <c:v>0.26075602326456482</c:v>
                </c:pt>
                <c:pt idx="1">
                  <c:v>0.24953526656094069</c:v>
                </c:pt>
                <c:pt idx="2">
                  <c:v>0.23931562425322067</c:v>
                </c:pt>
                <c:pt idx="3">
                  <c:v>0.23823751956370195</c:v>
                </c:pt>
                <c:pt idx="4">
                  <c:v>0.20036100790292677</c:v>
                </c:pt>
                <c:pt idx="5">
                  <c:v>0.19632966670381963</c:v>
                </c:pt>
                <c:pt idx="6">
                  <c:v>0.20601129462607409</c:v>
                </c:pt>
                <c:pt idx="7">
                  <c:v>0.20169638117211833</c:v>
                </c:pt>
                <c:pt idx="8">
                  <c:v>0.19811849056856243</c:v>
                </c:pt>
                <c:pt idx="9">
                  <c:v>0.19742180412194649</c:v>
                </c:pt>
              </c:numCache>
            </c:numRef>
          </c:val>
          <c:smooth val="0"/>
          <c:extLst>
            <c:ext xmlns:c16="http://schemas.microsoft.com/office/drawing/2014/chart" uri="{C3380CC4-5D6E-409C-BE32-E72D297353CC}">
              <c16:uniqueId val="{00000000-FC5A-44B5-94DF-010CDFE378BF}"/>
            </c:ext>
          </c:extLst>
        </c:ser>
        <c:dLbls>
          <c:showLegendKey val="0"/>
          <c:showVal val="0"/>
          <c:showCatName val="0"/>
          <c:showSerName val="0"/>
          <c:showPercent val="0"/>
          <c:showBubbleSize val="0"/>
        </c:dLbls>
        <c:marker val="1"/>
        <c:smooth val="0"/>
        <c:axId val="591267343"/>
        <c:axId val="1349250623"/>
      </c:lineChart>
      <c:catAx>
        <c:axId val="120460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9247647"/>
        <c:crosses val="autoZero"/>
        <c:auto val="1"/>
        <c:lblAlgn val="ctr"/>
        <c:lblOffset val="100"/>
        <c:noMultiLvlLbl val="0"/>
      </c:catAx>
      <c:valAx>
        <c:axId val="13492476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604543"/>
        <c:crosses val="autoZero"/>
        <c:crossBetween val="between"/>
      </c:valAx>
      <c:valAx>
        <c:axId val="1349250623"/>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267343"/>
        <c:crosses val="max"/>
        <c:crossBetween val="between"/>
      </c:valAx>
      <c:catAx>
        <c:axId val="591267343"/>
        <c:scaling>
          <c:orientation val="minMax"/>
        </c:scaling>
        <c:delete val="1"/>
        <c:axPos val="b"/>
        <c:numFmt formatCode="General" sourceLinked="1"/>
        <c:majorTickMark val="out"/>
        <c:minorTickMark val="none"/>
        <c:tickLblPos val="nextTo"/>
        <c:crossAx val="13492506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ROIC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v>Invested Capital</c:v>
          </c:tx>
          <c:spPr>
            <a:solidFill>
              <a:schemeClr val="accent2"/>
            </a:solidFill>
            <a:ln>
              <a:noFill/>
            </a:ln>
            <a:effectLst/>
          </c:spPr>
          <c:invertIfNegative val="0"/>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Returns!$E$10:$N$10</c:f>
              <c:numCache>
                <c:formatCode>0.00</c:formatCode>
                <c:ptCount val="10"/>
                <c:pt idx="0">
                  <c:v>5992.8050000000003</c:v>
                </c:pt>
                <c:pt idx="1">
                  <c:v>6299.31</c:v>
                </c:pt>
                <c:pt idx="2">
                  <c:v>7364.96</c:v>
                </c:pt>
                <c:pt idx="3">
                  <c:v>8398.8450000000012</c:v>
                </c:pt>
                <c:pt idx="4">
                  <c:v>9249.1049999999996</c:v>
                </c:pt>
                <c:pt idx="5">
                  <c:v>10032.301793230232</c:v>
                </c:pt>
                <c:pt idx="6">
                  <c:v>11007.933093312477</c:v>
                </c:pt>
                <c:pt idx="7">
                  <c:v>12087.157895060351</c:v>
                </c:pt>
                <c:pt idx="8">
                  <c:v>13247.616453726654</c:v>
                </c:pt>
                <c:pt idx="9">
                  <c:v>14502.387726995097</c:v>
                </c:pt>
              </c:numCache>
            </c:numRef>
          </c:val>
          <c:extLst>
            <c:ext xmlns:c16="http://schemas.microsoft.com/office/drawing/2014/chart" uri="{C3380CC4-5D6E-409C-BE32-E72D297353CC}">
              <c16:uniqueId val="{00000001-6D14-42A9-9262-A813192BAD7D}"/>
            </c:ext>
          </c:extLst>
        </c:ser>
        <c:dLbls>
          <c:showLegendKey val="0"/>
          <c:showVal val="0"/>
          <c:showCatName val="0"/>
          <c:showSerName val="0"/>
          <c:showPercent val="0"/>
          <c:showBubbleSize val="0"/>
        </c:dLbls>
        <c:gapWidth val="219"/>
        <c:axId val="1161814127"/>
        <c:axId val="1159431695"/>
      </c:barChart>
      <c:lineChart>
        <c:grouping val="stacked"/>
        <c:varyColors val="0"/>
        <c:ser>
          <c:idx val="0"/>
          <c:order val="0"/>
          <c:tx>
            <c:v>ROIC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Returns!$E$2:$N$2</c:f>
              <c:strCache>
                <c:ptCount val="10"/>
                <c:pt idx="0">
                  <c:v>FY 19</c:v>
                </c:pt>
                <c:pt idx="1">
                  <c:v>FY 20</c:v>
                </c:pt>
                <c:pt idx="2">
                  <c:v>FY 21</c:v>
                </c:pt>
                <c:pt idx="3">
                  <c:v>FY 22</c:v>
                </c:pt>
                <c:pt idx="4">
                  <c:v>FY 23</c:v>
                </c:pt>
                <c:pt idx="5">
                  <c:v>FY 24</c:v>
                </c:pt>
                <c:pt idx="6">
                  <c:v>FY 25</c:v>
                </c:pt>
                <c:pt idx="7">
                  <c:v>FY 26</c:v>
                </c:pt>
                <c:pt idx="8">
                  <c:v>FY 27</c:v>
                </c:pt>
                <c:pt idx="9">
                  <c:v>FY 28</c:v>
                </c:pt>
              </c:strCache>
            </c:strRef>
          </c:cat>
          <c:val>
            <c:numRef>
              <c:f>Returns!$E$7:$N$7</c:f>
              <c:numCache>
                <c:formatCode>0.00%</c:formatCode>
                <c:ptCount val="10"/>
                <c:pt idx="0">
                  <c:v>0.21861238281815343</c:v>
                </c:pt>
                <c:pt idx="1">
                  <c:v>0.20913356207077988</c:v>
                </c:pt>
                <c:pt idx="2">
                  <c:v>0.19730860809443329</c:v>
                </c:pt>
                <c:pt idx="3">
                  <c:v>0.18300538118417803</c:v>
                </c:pt>
                <c:pt idx="4">
                  <c:v>0.15367528949487599</c:v>
                </c:pt>
                <c:pt idx="5">
                  <c:v>0.15058485436182964</c:v>
                </c:pt>
                <c:pt idx="6">
                  <c:v>0.15801066297819882</c:v>
                </c:pt>
                <c:pt idx="7">
                  <c:v>0.15470112435901476</c:v>
                </c:pt>
                <c:pt idx="8">
                  <c:v>0.15195688226608736</c:v>
                </c:pt>
                <c:pt idx="9">
                  <c:v>0.15142252376153295</c:v>
                </c:pt>
              </c:numCache>
            </c:numRef>
          </c:val>
          <c:smooth val="0"/>
          <c:extLst>
            <c:ext xmlns:c16="http://schemas.microsoft.com/office/drawing/2014/chart" uri="{C3380CC4-5D6E-409C-BE32-E72D297353CC}">
              <c16:uniqueId val="{00000000-6D14-42A9-9262-A813192BAD7D}"/>
            </c:ext>
          </c:extLst>
        </c:ser>
        <c:dLbls>
          <c:showLegendKey val="0"/>
          <c:showVal val="0"/>
          <c:showCatName val="0"/>
          <c:showSerName val="0"/>
          <c:showPercent val="0"/>
          <c:showBubbleSize val="0"/>
        </c:dLbls>
        <c:marker val="1"/>
        <c:smooth val="0"/>
        <c:axId val="591264943"/>
        <c:axId val="1287617535"/>
      </c:lineChart>
      <c:catAx>
        <c:axId val="1161814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31695"/>
        <c:crosses val="autoZero"/>
        <c:auto val="1"/>
        <c:lblAlgn val="ctr"/>
        <c:lblOffset val="100"/>
        <c:noMultiLvlLbl val="0"/>
      </c:catAx>
      <c:valAx>
        <c:axId val="11594316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1814127"/>
        <c:crosses val="autoZero"/>
        <c:crossBetween val="between"/>
      </c:valAx>
      <c:valAx>
        <c:axId val="1287617535"/>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264943"/>
        <c:crosses val="max"/>
        <c:crossBetween val="between"/>
      </c:valAx>
      <c:catAx>
        <c:axId val="591264943"/>
        <c:scaling>
          <c:orientation val="minMax"/>
        </c:scaling>
        <c:delete val="1"/>
        <c:axPos val="b"/>
        <c:numFmt formatCode="General" sourceLinked="1"/>
        <c:majorTickMark val="out"/>
        <c:minorTickMark val="none"/>
        <c:tickLblPos val="nextTo"/>
        <c:crossAx val="12876175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2028 - Road to profit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2028 - Road to profit</a:t>
          </a:r>
        </a:p>
      </cx:txPr>
    </cx:title>
    <cx:plotArea>
      <cx:plotAreaRegion>
        <cx:series layoutId="waterfall" uniqueId="{60A475CD-05DE-4A21-BBC4-7C038820F4AF}">
          <cx:dataLabels pos="outEnd">
            <cx:visibility seriesName="0" categoryName="0" value="1"/>
          </cx:dataLabels>
          <cx:dataId val="0"/>
          <cx:layoutPr>
            <cx:subtotals/>
          </cx:layoutPr>
        </cx:series>
      </cx:plotAreaRegion>
      <cx:axis id="0">
        <cx:catScaling gapWidth="0.5"/>
        <cx:tickLabels/>
      </cx:axis>
      <cx:axis id="1">
        <cx:valScaling/>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8.xml"/><Relationship Id="rId5" Type="http://schemas.openxmlformats.org/officeDocument/2006/relationships/chart" Target="../charts/chart7.xml"/><Relationship Id="rId4" Type="http://schemas.microsoft.com/office/2014/relationships/chartEx" Target="../charts/chartEx1.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7</xdr:col>
      <xdr:colOff>128693</xdr:colOff>
      <xdr:row>2</xdr:row>
      <xdr:rowOff>45719</xdr:rowOff>
    </xdr:from>
    <xdr:to>
      <xdr:col>10</xdr:col>
      <xdr:colOff>563033</xdr:colOff>
      <xdr:row>13</xdr:row>
      <xdr:rowOff>42333</xdr:rowOff>
    </xdr:to>
    <xdr:pic>
      <xdr:nvPicPr>
        <xdr:cNvPr id="2" name="Picture 1" descr="dabur block deal: Burman family sells 1% stake in Dabur India via block  deal - The Economic Times">
          <a:extLst>
            <a:ext uri="{FF2B5EF4-FFF2-40B4-BE49-F238E27FC236}">
              <a16:creationId xmlns:a16="http://schemas.microsoft.com/office/drawing/2014/main" id="{561C07BE-DF14-1913-1A15-555028DC67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11893" y="528319"/>
          <a:ext cx="2847340" cy="21725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190500</xdr:colOff>
      <xdr:row>14</xdr:row>
      <xdr:rowOff>8468</xdr:rowOff>
    </xdr:from>
    <xdr:to>
      <xdr:col>11</xdr:col>
      <xdr:colOff>510540</xdr:colOff>
      <xdr:row>25</xdr:row>
      <xdr:rowOff>127612</xdr:rowOff>
    </xdr:to>
    <xdr:pic>
      <xdr:nvPicPr>
        <xdr:cNvPr id="3" name="Picture 2">
          <a:extLst>
            <a:ext uri="{FF2B5EF4-FFF2-40B4-BE49-F238E27FC236}">
              <a16:creationId xmlns:a16="http://schemas.microsoft.com/office/drawing/2014/main" id="{8D6F1147-2EA9-DF56-380A-D43F3EC4AB6C}"/>
            </a:ext>
          </a:extLst>
        </xdr:cNvPr>
        <xdr:cNvPicPr>
          <a:picLocks noChangeAspect="1"/>
        </xdr:cNvPicPr>
      </xdr:nvPicPr>
      <xdr:blipFill>
        <a:blip xmlns:r="http://schemas.openxmlformats.org/officeDocument/2006/relationships" r:embed="rId2"/>
        <a:stretch>
          <a:fillRect/>
        </a:stretch>
      </xdr:blipFill>
      <xdr:spPr>
        <a:xfrm>
          <a:off x="4669367" y="2827868"/>
          <a:ext cx="4341706" cy="2269066"/>
        </a:xfrm>
        <a:prstGeom prst="rect">
          <a:avLst/>
        </a:prstGeom>
        <a:ln>
          <a:solidFill>
            <a:srgbClr val="00206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110490</xdr:colOff>
      <xdr:row>4</xdr:row>
      <xdr:rowOff>26670</xdr:rowOff>
    </xdr:from>
    <xdr:to>
      <xdr:col>10</xdr:col>
      <xdr:colOff>449580</xdr:colOff>
      <xdr:row>6</xdr:row>
      <xdr:rowOff>11430</xdr:rowOff>
    </xdr:to>
    <xdr:sp macro="" textlink="">
      <xdr:nvSpPr>
        <xdr:cNvPr id="2" name="Arrow: Up 1">
          <a:extLst>
            <a:ext uri="{FF2B5EF4-FFF2-40B4-BE49-F238E27FC236}">
              <a16:creationId xmlns:a16="http://schemas.microsoft.com/office/drawing/2014/main" id="{4E51153D-0A92-CE3F-AD5A-8E0CA62BEA19}"/>
            </a:ext>
          </a:extLst>
        </xdr:cNvPr>
        <xdr:cNvSpPr/>
      </xdr:nvSpPr>
      <xdr:spPr>
        <a:xfrm rot="5400000">
          <a:off x="8006715" y="360045"/>
          <a:ext cx="1066800" cy="1954530"/>
        </a:xfrm>
        <a:prstGeom prst="upArrow">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0</xdr:row>
      <xdr:rowOff>45720</xdr:rowOff>
    </xdr:from>
    <xdr:to>
      <xdr:col>11</xdr:col>
      <xdr:colOff>335280</xdr:colOff>
      <xdr:row>2</xdr:row>
      <xdr:rowOff>175260</xdr:rowOff>
    </xdr:to>
    <xdr:sp macro="" textlink="">
      <xdr:nvSpPr>
        <xdr:cNvPr id="2" name="Arrow: Right 1">
          <a:extLst>
            <a:ext uri="{FF2B5EF4-FFF2-40B4-BE49-F238E27FC236}">
              <a16:creationId xmlns:a16="http://schemas.microsoft.com/office/drawing/2014/main" id="{E8EEE827-9A5B-AEBA-5C77-33546DA0CC6E}"/>
            </a:ext>
          </a:extLst>
        </xdr:cNvPr>
        <xdr:cNvSpPr/>
      </xdr:nvSpPr>
      <xdr:spPr>
        <a:xfrm>
          <a:off x="5417820" y="45720"/>
          <a:ext cx="3177540" cy="861060"/>
        </a:xfrm>
        <a:prstGeom prst="rightArrow">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144780</xdr:colOff>
      <xdr:row>5</xdr:row>
      <xdr:rowOff>152400</xdr:rowOff>
    </xdr:from>
    <xdr:to>
      <xdr:col>9</xdr:col>
      <xdr:colOff>327660</xdr:colOff>
      <xdr:row>32</xdr:row>
      <xdr:rowOff>83820</xdr:rowOff>
    </xdr:to>
    <xdr:sp macro="" textlink="">
      <xdr:nvSpPr>
        <xdr:cNvPr id="3" name="TextBox 2">
          <a:extLst>
            <a:ext uri="{FF2B5EF4-FFF2-40B4-BE49-F238E27FC236}">
              <a16:creationId xmlns:a16="http://schemas.microsoft.com/office/drawing/2014/main" id="{208A28B4-B0B4-AEAB-093B-7E5DEF3AF733}"/>
            </a:ext>
          </a:extLst>
        </xdr:cNvPr>
        <xdr:cNvSpPr txBox="1"/>
      </xdr:nvSpPr>
      <xdr:spPr>
        <a:xfrm>
          <a:off x="144780" y="3185160"/>
          <a:ext cx="6827520" cy="509016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200" b="0">
              <a:solidFill>
                <a:schemeClr val="dk1"/>
              </a:solidFill>
              <a:effectLst/>
              <a:latin typeface="Calibri "/>
              <a:ea typeface="+mn-ea"/>
              <a:cs typeface="+mn-cs"/>
            </a:rPr>
            <a:t>We have decided to incorporate 3 cases for forecasting as the usage of three cases allows for a robust analysis consisting of different potential scenarios. This methodology aims to provide 2 things- (1) a better understanding of the company &amp; its financial health and (2) a bigger safety net for</a:t>
          </a:r>
          <a:r>
            <a:rPr lang="en-IN" sz="1200" b="0" baseline="0">
              <a:solidFill>
                <a:schemeClr val="dk1"/>
              </a:solidFill>
              <a:effectLst/>
              <a:latin typeface="Calibri "/>
              <a:ea typeface="+mn-ea"/>
              <a:cs typeface="+mn-cs"/>
            </a:rPr>
            <a:t> </a:t>
          </a:r>
          <a:r>
            <a:rPr lang="en-IN" sz="1200" b="0">
              <a:solidFill>
                <a:schemeClr val="dk1"/>
              </a:solidFill>
              <a:effectLst/>
              <a:latin typeface="Calibri "/>
              <a:ea typeface="+mn-ea"/>
              <a:cs typeface="+mn-cs"/>
            </a:rPr>
            <a:t>the investor. This</a:t>
          </a:r>
          <a:r>
            <a:rPr lang="en-IN" sz="1200" b="0" baseline="0">
              <a:solidFill>
                <a:schemeClr val="dk1"/>
              </a:solidFill>
              <a:effectLst/>
              <a:latin typeface="Calibri "/>
              <a:ea typeface="+mn-ea"/>
              <a:cs typeface="+mn-cs"/>
            </a:rPr>
            <a:t> methodology also aims to improve flexibility of this model.</a:t>
          </a:r>
          <a:br>
            <a:rPr lang="en-IN" sz="1200" b="0" baseline="0">
              <a:solidFill>
                <a:schemeClr val="dk1"/>
              </a:solidFill>
              <a:effectLst/>
              <a:latin typeface="Calibri "/>
              <a:ea typeface="+mn-ea"/>
              <a:cs typeface="+mn-cs"/>
            </a:rPr>
          </a:br>
          <a:br>
            <a:rPr lang="en-IN" sz="1200" b="0" baseline="0">
              <a:solidFill>
                <a:schemeClr val="dk1"/>
              </a:solidFill>
              <a:effectLst/>
              <a:latin typeface="Calibri "/>
              <a:ea typeface="+mn-ea"/>
              <a:cs typeface="+mn-cs"/>
            </a:rPr>
          </a:br>
          <a:r>
            <a:rPr lang="en-IN" sz="1200" b="0" baseline="0">
              <a:solidFill>
                <a:schemeClr val="dk1"/>
              </a:solidFill>
              <a:effectLst/>
              <a:latin typeface="Calibri "/>
              <a:ea typeface="+mn-ea"/>
              <a:cs typeface="+mn-cs"/>
            </a:rPr>
            <a:t>The three cases are:</a:t>
          </a:r>
        </a:p>
        <a:p>
          <a:pPr marL="0" marR="0" lvl="0" indent="0" defTabSz="914400" eaLnBrk="1" fontAlgn="auto" latinLnBrk="0" hangingPunct="1">
            <a:lnSpc>
              <a:spcPct val="100000"/>
            </a:lnSpc>
            <a:spcBef>
              <a:spcPts val="0"/>
            </a:spcBef>
            <a:spcAft>
              <a:spcPts val="0"/>
            </a:spcAft>
            <a:buClrTx/>
            <a:buSzTx/>
            <a:buFontTx/>
            <a:buNone/>
            <a:tabLst/>
            <a:defRPr/>
          </a:pPr>
          <a:endParaRPr lang="en-IN" sz="1200" b="0" baseline="0">
            <a:solidFill>
              <a:schemeClr val="dk1"/>
            </a:solidFill>
            <a:effectLst/>
            <a:latin typeface="Calibri "/>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IN" sz="1200" b="0" baseline="0">
              <a:solidFill>
                <a:schemeClr val="dk1"/>
              </a:solidFill>
              <a:effectLst/>
              <a:latin typeface="Calibri "/>
              <a:ea typeface="+mn-ea"/>
              <a:cs typeface="+mn-cs"/>
            </a:rPr>
            <a:t>1. </a:t>
          </a:r>
          <a:r>
            <a:rPr lang="en-IN" sz="1200" b="1" baseline="0">
              <a:solidFill>
                <a:schemeClr val="dk1"/>
              </a:solidFill>
              <a:effectLst/>
              <a:latin typeface="Calibri "/>
              <a:ea typeface="+mn-ea"/>
              <a:cs typeface="+mn-cs"/>
            </a:rPr>
            <a:t>Best Case (Optimistic)</a:t>
          </a:r>
          <a:br>
            <a:rPr lang="en-IN" sz="1200" b="0" baseline="0">
              <a:solidFill>
                <a:schemeClr val="dk1"/>
              </a:solidFill>
              <a:effectLst/>
              <a:latin typeface="Calibri "/>
              <a:ea typeface="+mn-ea"/>
              <a:cs typeface="+mn-cs"/>
            </a:rPr>
          </a:br>
          <a:r>
            <a:rPr lang="en-IN" sz="1200" b="0" baseline="0">
              <a:solidFill>
                <a:schemeClr val="dk1"/>
              </a:solidFill>
              <a:effectLst/>
              <a:latin typeface="Calibri "/>
              <a:ea typeface="+mn-ea"/>
              <a:cs typeface="+mn-cs"/>
            </a:rPr>
            <a:t>    This case assumes that the best posible course of action will take place in the future.</a:t>
          </a:r>
        </a:p>
        <a:p>
          <a:pPr marL="0" marR="0" lvl="0" indent="0" defTabSz="914400" eaLnBrk="1" fontAlgn="auto" latinLnBrk="0" hangingPunct="1">
            <a:lnSpc>
              <a:spcPct val="100000"/>
            </a:lnSpc>
            <a:spcBef>
              <a:spcPts val="0"/>
            </a:spcBef>
            <a:spcAft>
              <a:spcPts val="0"/>
            </a:spcAft>
            <a:buClrTx/>
            <a:buSzTx/>
            <a:buFontTx/>
            <a:buNone/>
            <a:tabLst/>
            <a:defRPr/>
          </a:pPr>
          <a:endParaRPr lang="en-IN" sz="1200" b="0" baseline="0">
            <a:solidFill>
              <a:schemeClr val="dk1"/>
            </a:solidFill>
            <a:effectLst/>
            <a:latin typeface="Calibri "/>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IN" sz="1200" b="0" baseline="0">
              <a:solidFill>
                <a:schemeClr val="dk1"/>
              </a:solidFill>
              <a:effectLst/>
              <a:latin typeface="Calibri "/>
              <a:ea typeface="+mn-ea"/>
              <a:cs typeface="+mn-cs"/>
            </a:rPr>
            <a:t>2.</a:t>
          </a:r>
          <a:r>
            <a:rPr lang="en-IN" sz="1200" b="1" baseline="0">
              <a:solidFill>
                <a:schemeClr val="dk1"/>
              </a:solidFill>
              <a:effectLst/>
              <a:latin typeface="Calibri "/>
              <a:ea typeface="+mn-ea"/>
              <a:cs typeface="+mn-cs"/>
            </a:rPr>
            <a:t>Base Case (Basic)</a:t>
          </a:r>
          <a:br>
            <a:rPr lang="en-IN" sz="1200" b="0" baseline="0">
              <a:solidFill>
                <a:schemeClr val="dk1"/>
              </a:solidFill>
              <a:effectLst/>
              <a:latin typeface="Calibri "/>
              <a:ea typeface="+mn-ea"/>
              <a:cs typeface="+mn-cs"/>
            </a:rPr>
          </a:br>
          <a:r>
            <a:rPr lang="en-IN" sz="1200" b="0" baseline="0">
              <a:solidFill>
                <a:schemeClr val="dk1"/>
              </a:solidFill>
              <a:effectLst/>
              <a:latin typeface="Calibri "/>
              <a:ea typeface="+mn-ea"/>
              <a:cs typeface="+mn-cs"/>
            </a:rPr>
            <a:t>    This case assumes standard/expected course of action will take place in the future . </a:t>
          </a:r>
        </a:p>
        <a:p>
          <a:pPr marL="0" marR="0" lvl="0" indent="0" defTabSz="914400" eaLnBrk="1" fontAlgn="auto" latinLnBrk="0" hangingPunct="1">
            <a:lnSpc>
              <a:spcPct val="100000"/>
            </a:lnSpc>
            <a:spcBef>
              <a:spcPts val="0"/>
            </a:spcBef>
            <a:spcAft>
              <a:spcPts val="0"/>
            </a:spcAft>
            <a:buClrTx/>
            <a:buSzTx/>
            <a:buFontTx/>
            <a:buNone/>
            <a:tabLst/>
            <a:defRPr/>
          </a:pPr>
          <a:endParaRPr lang="en-IN" sz="1200" b="0" baseline="0">
            <a:solidFill>
              <a:schemeClr val="dk1"/>
            </a:solidFill>
            <a:effectLst/>
            <a:latin typeface="Calibri "/>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IN" sz="1200" b="0" baseline="0">
              <a:solidFill>
                <a:schemeClr val="dk1"/>
              </a:solidFill>
              <a:effectLst/>
              <a:latin typeface="Calibri "/>
              <a:ea typeface="+mn-ea"/>
              <a:cs typeface="+mn-cs"/>
            </a:rPr>
            <a:t>3.</a:t>
          </a:r>
          <a:r>
            <a:rPr lang="en-IN" sz="1200" b="1" baseline="0">
              <a:solidFill>
                <a:schemeClr val="dk1"/>
              </a:solidFill>
              <a:effectLst/>
              <a:latin typeface="Calibri "/>
              <a:ea typeface="+mn-ea"/>
              <a:cs typeface="+mn-cs"/>
            </a:rPr>
            <a:t>Worst Case (Pessimistic)</a:t>
          </a:r>
          <a:br>
            <a:rPr lang="en-IN" sz="1200" b="0" baseline="0">
              <a:solidFill>
                <a:schemeClr val="dk1"/>
              </a:solidFill>
              <a:effectLst/>
              <a:latin typeface="Calibri "/>
              <a:ea typeface="+mn-ea"/>
              <a:cs typeface="+mn-cs"/>
            </a:rPr>
          </a:br>
          <a:r>
            <a:rPr lang="en-IN" sz="1200" b="0" baseline="0">
              <a:solidFill>
                <a:schemeClr val="dk1"/>
              </a:solidFill>
              <a:effectLst/>
              <a:latin typeface="Calibri "/>
              <a:ea typeface="+mn-ea"/>
              <a:cs typeface="+mn-cs"/>
            </a:rPr>
            <a:t>    This case assumes that the worst possible course of action will take place in future.</a:t>
          </a:r>
          <a:br>
            <a:rPr lang="en-IN" sz="1200" b="0" baseline="0">
              <a:solidFill>
                <a:schemeClr val="dk1"/>
              </a:solidFill>
              <a:effectLst/>
              <a:latin typeface="Calibri "/>
              <a:ea typeface="+mn-ea"/>
              <a:cs typeface="+mn-cs"/>
            </a:rPr>
          </a:br>
          <a:br>
            <a:rPr lang="en-IN" sz="1200" b="0" baseline="0">
              <a:solidFill>
                <a:schemeClr val="dk1"/>
              </a:solidFill>
              <a:effectLst/>
              <a:latin typeface="Calibri "/>
              <a:ea typeface="+mn-ea"/>
              <a:cs typeface="+mn-cs"/>
            </a:rPr>
          </a:br>
          <a:br>
            <a:rPr lang="en-IN" sz="1200" b="0" baseline="0">
              <a:solidFill>
                <a:schemeClr val="dk1"/>
              </a:solidFill>
              <a:effectLst/>
              <a:latin typeface="Calibri "/>
              <a:ea typeface="+mn-ea"/>
              <a:cs typeface="+mn-cs"/>
            </a:rPr>
          </a:br>
          <a:r>
            <a:rPr lang="en-IN" sz="1200" b="0" baseline="0">
              <a:solidFill>
                <a:schemeClr val="dk1"/>
              </a:solidFill>
              <a:effectLst/>
              <a:latin typeface="Calibri "/>
              <a:ea typeface="+mn-ea"/>
              <a:cs typeface="+mn-cs"/>
            </a:rPr>
            <a:t>Items forecasted in this section:</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IN" sz="1200" b="0" baseline="0">
              <a:solidFill>
                <a:schemeClr val="dk1"/>
              </a:solidFill>
              <a:effectLst/>
              <a:latin typeface="Calibri "/>
              <a:ea typeface="+mn-ea"/>
              <a:cs typeface="+mn-cs"/>
            </a:rPr>
            <a:t>Revenue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IN" sz="1200" b="0" baseline="0">
              <a:solidFill>
                <a:schemeClr val="dk1"/>
              </a:solidFill>
              <a:effectLst/>
              <a:latin typeface="Calibri "/>
              <a:ea typeface="+mn-ea"/>
              <a:cs typeface="+mn-cs"/>
            </a:rPr>
            <a:t>COGS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IN" sz="1200" b="0" baseline="0">
              <a:solidFill>
                <a:schemeClr val="dk1"/>
              </a:solidFill>
              <a:effectLst/>
              <a:latin typeface="Calibri "/>
              <a:ea typeface="+mn-ea"/>
              <a:cs typeface="+mn-cs"/>
            </a:rPr>
            <a:t>OPEX</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IN" sz="1200" b="0" baseline="0">
              <a:solidFill>
                <a:schemeClr val="dk1"/>
              </a:solidFill>
              <a:effectLst/>
              <a:latin typeface="Calibri "/>
              <a:ea typeface="+mn-ea"/>
              <a:cs typeface="+mn-cs"/>
            </a:rPr>
            <a:t>Inventory</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IN" sz="1200" b="0" baseline="0">
              <a:solidFill>
                <a:schemeClr val="dk1"/>
              </a:solidFill>
              <a:effectLst/>
              <a:latin typeface="Calibri "/>
              <a:ea typeface="+mn-ea"/>
              <a:cs typeface="+mn-cs"/>
            </a:rPr>
            <a:t>TR (Trade recievables) and TP (Trade Payables)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IN" sz="1200" b="0" baseline="0">
              <a:solidFill>
                <a:schemeClr val="dk1"/>
              </a:solidFill>
              <a:effectLst/>
              <a:latin typeface="Calibri "/>
              <a:ea typeface="+mn-ea"/>
              <a:cs typeface="+mn-cs"/>
            </a:rPr>
            <a:t>Capex &amp; Depreciation (in Fixed asset schedule)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IN" sz="1200" b="0" baseline="0">
              <a:solidFill>
                <a:schemeClr val="dk1"/>
              </a:solidFill>
              <a:effectLst/>
              <a:latin typeface="Calibri "/>
              <a:ea typeface="+mn-ea"/>
              <a:cs typeface="+mn-cs"/>
            </a:rPr>
            <a:t>Interest &amp; other income</a:t>
          </a:r>
          <a:br>
            <a:rPr lang="en-IN" sz="1200" b="0" baseline="0">
              <a:solidFill>
                <a:schemeClr val="dk1"/>
              </a:solidFill>
              <a:effectLst/>
              <a:latin typeface="+mn-lt"/>
              <a:ea typeface="+mn-ea"/>
              <a:cs typeface="+mn-cs"/>
            </a:rPr>
          </a:br>
          <a:br>
            <a:rPr lang="en-IN" sz="1200" b="0" baseline="0">
              <a:solidFill>
                <a:schemeClr val="dk1"/>
              </a:solidFill>
              <a:effectLst/>
              <a:latin typeface="+mn-lt"/>
              <a:ea typeface="+mn-ea"/>
              <a:cs typeface="+mn-cs"/>
            </a:rPr>
          </a:br>
          <a:r>
            <a:rPr lang="en-IN" sz="1200" b="0" baseline="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574110</xdr:colOff>
      <xdr:row>36</xdr:row>
      <xdr:rowOff>75289</xdr:rowOff>
    </xdr:from>
    <xdr:to>
      <xdr:col>9</xdr:col>
      <xdr:colOff>895034</xdr:colOff>
      <xdr:row>44</xdr:row>
      <xdr:rowOff>40310</xdr:rowOff>
    </xdr:to>
    <xdr:sp macro="" textlink="">
      <xdr:nvSpPr>
        <xdr:cNvPr id="2" name="TextBox 1">
          <a:extLst>
            <a:ext uri="{FF2B5EF4-FFF2-40B4-BE49-F238E27FC236}">
              <a16:creationId xmlns:a16="http://schemas.microsoft.com/office/drawing/2014/main" id="{911B80DB-44D0-4686-49BB-9F95D73CBA4D}"/>
            </a:ext>
          </a:extLst>
        </xdr:cNvPr>
        <xdr:cNvSpPr txBox="1"/>
      </xdr:nvSpPr>
      <xdr:spPr>
        <a:xfrm>
          <a:off x="762000" y="6995919"/>
          <a:ext cx="9725883" cy="1468144"/>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latin typeface="Calibri" panose="020F0502020204030204" pitchFamily="34" charset="0"/>
              <a:ea typeface="Calibri" panose="020F0502020204030204" pitchFamily="34" charset="0"/>
              <a:cs typeface="Calibri" panose="020F0502020204030204" pitchFamily="34" charset="0"/>
            </a:rPr>
            <a:t>We have only considered those items which occurred before EBIT as after that forecasted P&amp;L starts to looks different among different valuation report due to different preferences of Valuation experts</a:t>
          </a:r>
          <a:r>
            <a:rPr lang="en-IN" sz="1400" baseline="0">
              <a:latin typeface="Calibri" panose="020F0502020204030204" pitchFamily="34" charset="0"/>
              <a:ea typeface="Calibri" panose="020F0502020204030204" pitchFamily="34" charset="0"/>
              <a:cs typeface="Calibri" panose="020F0502020204030204" pitchFamily="34" charset="0"/>
            </a:rPr>
            <a:t> while creating a three statement model.</a:t>
          </a:r>
        </a:p>
        <a:p>
          <a:endParaRPr lang="en-IN" sz="1400" baseline="0">
            <a:latin typeface="Calibri" panose="020F0502020204030204" pitchFamily="34" charset="0"/>
            <a:ea typeface="Calibri" panose="020F0502020204030204" pitchFamily="34" charset="0"/>
            <a:cs typeface="Calibri" panose="020F0502020204030204" pitchFamily="34" charset="0"/>
          </a:endParaRPr>
        </a:p>
        <a:p>
          <a:r>
            <a:rPr lang="en-IN" sz="1400" baseline="0">
              <a:latin typeface="Calibri" panose="020F0502020204030204" pitchFamily="34" charset="0"/>
              <a:ea typeface="Calibri" panose="020F0502020204030204" pitchFamily="34" charset="0"/>
              <a:cs typeface="Calibri" panose="020F0502020204030204" pitchFamily="34" charset="0"/>
            </a:rPr>
            <a:t>We have also included other income to determine expected percentage of other income in future and EPS is used just to determine average P/E that market is willing to give.</a:t>
          </a:r>
          <a:endParaRPr lang="en-IN" sz="14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31315</xdr:colOff>
      <xdr:row>36</xdr:row>
      <xdr:rowOff>83507</xdr:rowOff>
    </xdr:from>
    <xdr:to>
      <xdr:col>9</xdr:col>
      <xdr:colOff>352239</xdr:colOff>
      <xdr:row>44</xdr:row>
      <xdr:rowOff>48528</xdr:rowOff>
    </xdr:to>
    <xdr:sp macro="" textlink="">
      <xdr:nvSpPr>
        <xdr:cNvPr id="4" name="TextBox 3">
          <a:extLst>
            <a:ext uri="{FF2B5EF4-FFF2-40B4-BE49-F238E27FC236}">
              <a16:creationId xmlns:a16="http://schemas.microsoft.com/office/drawing/2014/main" id="{B95A37D5-F044-4415-B87B-A28A27FD7847}"/>
            </a:ext>
          </a:extLst>
        </xdr:cNvPr>
        <xdr:cNvSpPr txBox="1"/>
      </xdr:nvSpPr>
      <xdr:spPr>
        <a:xfrm>
          <a:off x="219205" y="7004137"/>
          <a:ext cx="9725883" cy="1468144"/>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latin typeface="Calibri" panose="020F0502020204030204" pitchFamily="34" charset="0"/>
              <a:ea typeface="Calibri" panose="020F0502020204030204" pitchFamily="34" charset="0"/>
              <a:cs typeface="Calibri" panose="020F0502020204030204" pitchFamily="34" charset="0"/>
            </a:rPr>
            <a:t>We have only considered those items which occurred before EBIT as after that forecasted P&amp;L starts to looks different among different valuation report due to different preferences of Valuation experts</a:t>
          </a:r>
          <a:r>
            <a:rPr lang="en-IN" sz="1400" baseline="0">
              <a:latin typeface="Calibri" panose="020F0502020204030204" pitchFamily="34" charset="0"/>
              <a:ea typeface="Calibri" panose="020F0502020204030204" pitchFamily="34" charset="0"/>
              <a:cs typeface="Calibri" panose="020F0502020204030204" pitchFamily="34" charset="0"/>
            </a:rPr>
            <a:t> while creating a three statement model.</a:t>
          </a:r>
        </a:p>
        <a:p>
          <a:endParaRPr lang="en-IN" sz="1400" baseline="0">
            <a:latin typeface="Calibri" panose="020F0502020204030204" pitchFamily="34" charset="0"/>
            <a:ea typeface="Calibri" panose="020F0502020204030204" pitchFamily="34" charset="0"/>
            <a:cs typeface="Calibri" panose="020F0502020204030204" pitchFamily="34" charset="0"/>
          </a:endParaRPr>
        </a:p>
        <a:p>
          <a:r>
            <a:rPr lang="en-IN" sz="1400" baseline="0">
              <a:latin typeface="Calibri" panose="020F0502020204030204" pitchFamily="34" charset="0"/>
              <a:ea typeface="Calibri" panose="020F0502020204030204" pitchFamily="34" charset="0"/>
              <a:cs typeface="Calibri" panose="020F0502020204030204" pitchFamily="34" charset="0"/>
            </a:rPr>
            <a:t>We have also included other income to determine expected percentage of other income in future and EPS is used just to determine average P/E that market is willing to give.</a:t>
          </a:r>
          <a:endParaRPr lang="en-IN" sz="14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182880</xdr:colOff>
      <xdr:row>2</xdr:row>
      <xdr:rowOff>243840</xdr:rowOff>
    </xdr:from>
    <xdr:to>
      <xdr:col>13</xdr:col>
      <xdr:colOff>19050</xdr:colOff>
      <xdr:row>2</xdr:row>
      <xdr:rowOff>731520</xdr:rowOff>
    </xdr:to>
    <xdr:sp macro="" textlink="">
      <xdr:nvSpPr>
        <xdr:cNvPr id="2" name="Arrow: Up 1">
          <a:extLst>
            <a:ext uri="{FF2B5EF4-FFF2-40B4-BE49-F238E27FC236}">
              <a16:creationId xmlns:a16="http://schemas.microsoft.com/office/drawing/2014/main" id="{C11E6F03-2074-44CD-A9F1-97AFC2E8674C}"/>
            </a:ext>
          </a:extLst>
        </xdr:cNvPr>
        <xdr:cNvSpPr/>
      </xdr:nvSpPr>
      <xdr:spPr>
        <a:xfrm rot="5400000">
          <a:off x="7713345" y="-1068705"/>
          <a:ext cx="487680" cy="3874770"/>
        </a:xfrm>
        <a:prstGeom prst="upArrow">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182880</xdr:colOff>
      <xdr:row>5</xdr:row>
      <xdr:rowOff>243840</xdr:rowOff>
    </xdr:from>
    <xdr:to>
      <xdr:col>13</xdr:col>
      <xdr:colOff>19050</xdr:colOff>
      <xdr:row>5</xdr:row>
      <xdr:rowOff>731520</xdr:rowOff>
    </xdr:to>
    <xdr:sp macro="" textlink="">
      <xdr:nvSpPr>
        <xdr:cNvPr id="2" name="Arrow: Up 1">
          <a:extLst>
            <a:ext uri="{FF2B5EF4-FFF2-40B4-BE49-F238E27FC236}">
              <a16:creationId xmlns:a16="http://schemas.microsoft.com/office/drawing/2014/main" id="{01E91880-4D98-4A12-8126-FBC21838564F}"/>
            </a:ext>
          </a:extLst>
        </xdr:cNvPr>
        <xdr:cNvSpPr/>
      </xdr:nvSpPr>
      <xdr:spPr>
        <a:xfrm rot="5400000">
          <a:off x="7713345" y="-1068705"/>
          <a:ext cx="487680" cy="3874770"/>
        </a:xfrm>
        <a:prstGeom prst="upArrow">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182880</xdr:colOff>
      <xdr:row>6</xdr:row>
      <xdr:rowOff>243840</xdr:rowOff>
    </xdr:from>
    <xdr:to>
      <xdr:col>14</xdr:col>
      <xdr:colOff>19050</xdr:colOff>
      <xdr:row>6</xdr:row>
      <xdr:rowOff>731520</xdr:rowOff>
    </xdr:to>
    <xdr:sp macro="" textlink="">
      <xdr:nvSpPr>
        <xdr:cNvPr id="2" name="Arrow: Up 1">
          <a:extLst>
            <a:ext uri="{FF2B5EF4-FFF2-40B4-BE49-F238E27FC236}">
              <a16:creationId xmlns:a16="http://schemas.microsoft.com/office/drawing/2014/main" id="{FEBA1151-47EA-4720-940A-B9F1BCE2E8C1}"/>
            </a:ext>
          </a:extLst>
        </xdr:cNvPr>
        <xdr:cNvSpPr/>
      </xdr:nvSpPr>
      <xdr:spPr>
        <a:xfrm rot="5400000">
          <a:off x="10174605" y="-1114425"/>
          <a:ext cx="487680" cy="5170170"/>
        </a:xfrm>
        <a:prstGeom prst="upArrow">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707779</xdr:colOff>
      <xdr:row>15</xdr:row>
      <xdr:rowOff>156208</xdr:rowOff>
    </xdr:from>
    <xdr:to>
      <xdr:col>10</xdr:col>
      <xdr:colOff>203852</xdr:colOff>
      <xdr:row>38</xdr:row>
      <xdr:rowOff>118752</xdr:rowOff>
    </xdr:to>
    <xdr:graphicFrame macro="">
      <xdr:nvGraphicFramePr>
        <xdr:cNvPr id="8" name="Chart 7">
          <a:extLst>
            <a:ext uri="{FF2B5EF4-FFF2-40B4-BE49-F238E27FC236}">
              <a16:creationId xmlns:a16="http://schemas.microsoft.com/office/drawing/2014/main" id="{5DB4FA25-F1A6-BE16-EF04-C04C0BA1F8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528733</xdr:colOff>
      <xdr:row>17</xdr:row>
      <xdr:rowOff>70184</xdr:rowOff>
    </xdr:from>
    <xdr:to>
      <xdr:col>17</xdr:col>
      <xdr:colOff>541420</xdr:colOff>
      <xdr:row>36</xdr:row>
      <xdr:rowOff>108857</xdr:rowOff>
    </xdr:to>
    <xdr:graphicFrame macro="">
      <xdr:nvGraphicFramePr>
        <xdr:cNvPr id="9" name="Chart 8">
          <a:extLst>
            <a:ext uri="{FF2B5EF4-FFF2-40B4-BE49-F238E27FC236}">
              <a16:creationId xmlns:a16="http://schemas.microsoft.com/office/drawing/2014/main" id="{2ED80B85-86F5-40B4-8EA5-B44128887E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223025</xdr:colOff>
      <xdr:row>39</xdr:row>
      <xdr:rowOff>175631</xdr:rowOff>
    </xdr:from>
    <xdr:to>
      <xdr:col>15</xdr:col>
      <xdr:colOff>427464</xdr:colOff>
      <xdr:row>59</xdr:row>
      <xdr:rowOff>9292</xdr:rowOff>
    </xdr:to>
    <xdr:graphicFrame macro="">
      <xdr:nvGraphicFramePr>
        <xdr:cNvPr id="2" name="Chart 1">
          <a:extLst>
            <a:ext uri="{FF2B5EF4-FFF2-40B4-BE49-F238E27FC236}">
              <a16:creationId xmlns:a16="http://schemas.microsoft.com/office/drawing/2014/main" id="{7FA770A9-FDAA-A812-9658-85C29275FD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859971</xdr:colOff>
      <xdr:row>56</xdr:row>
      <xdr:rowOff>65315</xdr:rowOff>
    </xdr:from>
    <xdr:to>
      <xdr:col>8</xdr:col>
      <xdr:colOff>849086</xdr:colOff>
      <xdr:row>82</xdr:row>
      <xdr:rowOff>108857</xdr:rowOff>
    </xdr:to>
    <xdr:graphicFrame macro="">
      <xdr:nvGraphicFramePr>
        <xdr:cNvPr id="4" name="Chart 3">
          <a:extLst>
            <a:ext uri="{FF2B5EF4-FFF2-40B4-BE49-F238E27FC236}">
              <a16:creationId xmlns:a16="http://schemas.microsoft.com/office/drawing/2014/main" id="{81FC0571-BC9C-34D6-E0DD-5A5286F79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901389</xdr:colOff>
      <xdr:row>56</xdr:row>
      <xdr:rowOff>36242</xdr:rowOff>
    </xdr:from>
    <xdr:to>
      <xdr:col>17</xdr:col>
      <xdr:colOff>642650</xdr:colOff>
      <xdr:row>82</xdr:row>
      <xdr:rowOff>148683</xdr:rowOff>
    </xdr:to>
    <xdr:graphicFrame macro="">
      <xdr:nvGraphicFramePr>
        <xdr:cNvPr id="6" name="Chart 5">
          <a:extLst>
            <a:ext uri="{FF2B5EF4-FFF2-40B4-BE49-F238E27FC236}">
              <a16:creationId xmlns:a16="http://schemas.microsoft.com/office/drawing/2014/main" id="{514BE23F-AA20-08F1-6426-64F0C0E7CE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784087</xdr:colOff>
      <xdr:row>82</xdr:row>
      <xdr:rowOff>140137</xdr:rowOff>
    </xdr:from>
    <xdr:to>
      <xdr:col>10</xdr:col>
      <xdr:colOff>845343</xdr:colOff>
      <xdr:row>111</xdr:row>
      <xdr:rowOff>119061</xdr:rowOff>
    </xdr:to>
    <xdr:graphicFrame macro="">
      <xdr:nvGraphicFramePr>
        <xdr:cNvPr id="7" name="Chart 6">
          <a:extLst>
            <a:ext uri="{FF2B5EF4-FFF2-40B4-BE49-F238E27FC236}">
              <a16:creationId xmlns:a16="http://schemas.microsoft.com/office/drawing/2014/main" id="{FAA5ECF3-0462-F343-A8C8-1C1C8F9B5C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59377</xdr:colOff>
      <xdr:row>83</xdr:row>
      <xdr:rowOff>73229</xdr:rowOff>
    </xdr:from>
    <xdr:to>
      <xdr:col>18</xdr:col>
      <xdr:colOff>791687</xdr:colOff>
      <xdr:row>108</xdr:row>
      <xdr:rowOff>108856</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B6AAE304-E757-1BA8-DF42-7B2F58AD3A6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489377" y="15884729"/>
              <a:ext cx="8199910" cy="460762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69271</xdr:colOff>
      <xdr:row>121</xdr:row>
      <xdr:rowOff>63335</xdr:rowOff>
    </xdr:from>
    <xdr:to>
      <xdr:col>9</xdr:col>
      <xdr:colOff>603662</xdr:colOff>
      <xdr:row>143</xdr:row>
      <xdr:rowOff>168234</xdr:rowOff>
    </xdr:to>
    <xdr:graphicFrame macro="">
      <xdr:nvGraphicFramePr>
        <xdr:cNvPr id="12" name="Chart 11">
          <a:extLst>
            <a:ext uri="{FF2B5EF4-FFF2-40B4-BE49-F238E27FC236}">
              <a16:creationId xmlns:a16="http://schemas.microsoft.com/office/drawing/2014/main" id="{AAF9EC80-D353-0E2B-B17C-D5904DB3EE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90128</xdr:colOff>
      <xdr:row>156</xdr:row>
      <xdr:rowOff>54076</xdr:rowOff>
    </xdr:from>
    <xdr:to>
      <xdr:col>11</xdr:col>
      <xdr:colOff>524386</xdr:colOff>
      <xdr:row>175</xdr:row>
      <xdr:rowOff>131096</xdr:rowOff>
    </xdr:to>
    <xdr:graphicFrame macro="">
      <xdr:nvGraphicFramePr>
        <xdr:cNvPr id="13" name="Chart 12">
          <a:extLst>
            <a:ext uri="{FF2B5EF4-FFF2-40B4-BE49-F238E27FC236}">
              <a16:creationId xmlns:a16="http://schemas.microsoft.com/office/drawing/2014/main" id="{932BF6CE-022E-CE20-4895-41CB752737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1021080</xdr:colOff>
      <xdr:row>14</xdr:row>
      <xdr:rowOff>72390</xdr:rowOff>
    </xdr:from>
    <xdr:to>
      <xdr:col>8</xdr:col>
      <xdr:colOff>563880</xdr:colOff>
      <xdr:row>32</xdr:row>
      <xdr:rowOff>0</xdr:rowOff>
    </xdr:to>
    <xdr:graphicFrame macro="">
      <xdr:nvGraphicFramePr>
        <xdr:cNvPr id="5" name="Chart 4">
          <a:extLst>
            <a:ext uri="{FF2B5EF4-FFF2-40B4-BE49-F238E27FC236}">
              <a16:creationId xmlns:a16="http://schemas.microsoft.com/office/drawing/2014/main" id="{F9576B83-EE21-07A6-2252-D87CE97CCA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662940</xdr:colOff>
      <xdr:row>14</xdr:row>
      <xdr:rowOff>49530</xdr:rowOff>
    </xdr:from>
    <xdr:to>
      <xdr:col>14</xdr:col>
      <xdr:colOff>68580</xdr:colOff>
      <xdr:row>30</xdr:row>
      <xdr:rowOff>22860</xdr:rowOff>
    </xdr:to>
    <xdr:graphicFrame macro="">
      <xdr:nvGraphicFramePr>
        <xdr:cNvPr id="6" name="Chart 5">
          <a:extLst>
            <a:ext uri="{FF2B5EF4-FFF2-40B4-BE49-F238E27FC236}">
              <a16:creationId xmlns:a16="http://schemas.microsoft.com/office/drawing/2014/main" id="{3556C4CB-AEF4-BEF5-37E3-0E94D9F5E3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335280</xdr:colOff>
      <xdr:row>13</xdr:row>
      <xdr:rowOff>121926</xdr:rowOff>
    </xdr:from>
    <xdr:to>
      <xdr:col>5</xdr:col>
      <xdr:colOff>327660</xdr:colOff>
      <xdr:row>28</xdr:row>
      <xdr:rowOff>121926</xdr:rowOff>
    </xdr:to>
    <xdr:graphicFrame macro="">
      <xdr:nvGraphicFramePr>
        <xdr:cNvPr id="2" name="Chart 1">
          <a:extLst>
            <a:ext uri="{FF2B5EF4-FFF2-40B4-BE49-F238E27FC236}">
              <a16:creationId xmlns:a16="http://schemas.microsoft.com/office/drawing/2014/main" id="{72B2923E-FF7D-5F98-310C-E189365E4B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502920</xdr:colOff>
      <xdr:row>14</xdr:row>
      <xdr:rowOff>80010</xdr:rowOff>
    </xdr:from>
    <xdr:to>
      <xdr:col>12</xdr:col>
      <xdr:colOff>45720</xdr:colOff>
      <xdr:row>29</xdr:row>
      <xdr:rowOff>80010</xdr:rowOff>
    </xdr:to>
    <xdr:graphicFrame macro="">
      <xdr:nvGraphicFramePr>
        <xdr:cNvPr id="3" name="Chart 2">
          <a:extLst>
            <a:ext uri="{FF2B5EF4-FFF2-40B4-BE49-F238E27FC236}">
              <a16:creationId xmlns:a16="http://schemas.microsoft.com/office/drawing/2014/main" id="{AB9DD642-9FFD-EB27-65D1-193110294B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289560</xdr:colOff>
      <xdr:row>29</xdr:row>
      <xdr:rowOff>133350</xdr:rowOff>
    </xdr:from>
    <xdr:to>
      <xdr:col>5</xdr:col>
      <xdr:colOff>281940</xdr:colOff>
      <xdr:row>46</xdr:row>
      <xdr:rowOff>129540</xdr:rowOff>
    </xdr:to>
    <xdr:graphicFrame macro="">
      <xdr:nvGraphicFramePr>
        <xdr:cNvPr id="4" name="Chart 3">
          <a:extLst>
            <a:ext uri="{FF2B5EF4-FFF2-40B4-BE49-F238E27FC236}">
              <a16:creationId xmlns:a16="http://schemas.microsoft.com/office/drawing/2014/main" id="{1CC821FB-14CD-AD66-CAE1-9B9A60B599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533400</xdr:colOff>
      <xdr:row>30</xdr:row>
      <xdr:rowOff>19050</xdr:rowOff>
    </xdr:from>
    <xdr:to>
      <xdr:col>12</xdr:col>
      <xdr:colOff>441960</xdr:colOff>
      <xdr:row>46</xdr:row>
      <xdr:rowOff>30480</xdr:rowOff>
    </xdr:to>
    <xdr:graphicFrame macro="">
      <xdr:nvGraphicFramePr>
        <xdr:cNvPr id="5" name="Chart 4">
          <a:extLst>
            <a:ext uri="{FF2B5EF4-FFF2-40B4-BE49-F238E27FC236}">
              <a16:creationId xmlns:a16="http://schemas.microsoft.com/office/drawing/2014/main" id="{2D0D31BA-A916-F1B2-8D3A-31EFC20C9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411480</xdr:colOff>
      <xdr:row>47</xdr:row>
      <xdr:rowOff>156210</xdr:rowOff>
    </xdr:from>
    <xdr:to>
      <xdr:col>5</xdr:col>
      <xdr:colOff>342900</xdr:colOff>
      <xdr:row>62</xdr:row>
      <xdr:rowOff>156210</xdr:rowOff>
    </xdr:to>
    <xdr:graphicFrame macro="">
      <xdr:nvGraphicFramePr>
        <xdr:cNvPr id="6" name="Chart 5">
          <a:extLst>
            <a:ext uri="{FF2B5EF4-FFF2-40B4-BE49-F238E27FC236}">
              <a16:creationId xmlns:a16="http://schemas.microsoft.com/office/drawing/2014/main" id="{A5DC0A2E-E6AB-8418-F3D9-F0C4FEED12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C9822BF-FBB1-4CC2-8AE6-1AEAB624A10F}" name="Table5" displayName="Table5" ref="N7:O14" headerRowCount="0" totalsRowShown="0" headerRowDxfId="20">
  <tableColumns count="2">
    <tableColumn id="1" xr3:uid="{44621DCB-A0D3-48A3-B5E6-4927990450C9}" name="Column1" headerRowDxfId="19" dataDxfId="18"/>
    <tableColumn id="2" xr3:uid="{D6363259-25D9-4443-9FF1-20DC54A138C1}" name="Column2" headerRowDxfId="17"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04529C-72EB-47FC-89BB-375F11A32942}" name="Table2" displayName="Table2" ref="D3:H34" totalsRowShown="0" headerRowDxfId="15" dataDxfId="14" tableBorderDxfId="13">
  <autoFilter ref="D3:H34" xr:uid="{AA04529C-72EB-47FC-89BB-375F11A32942}">
    <filterColumn colId="0" hiddenButton="1"/>
    <filterColumn colId="1" hiddenButton="1"/>
    <filterColumn colId="2" hiddenButton="1"/>
    <filterColumn colId="3" hiddenButton="1"/>
    <filterColumn colId="4" hiddenButton="1"/>
  </autoFilter>
  <tableColumns count="5">
    <tableColumn id="1" xr3:uid="{67BE1FC1-8B91-4EEA-B080-0D8816C8E415}" name="SL NO" dataDxfId="12"/>
    <tableColumn id="2" xr3:uid="{8528DDA4-2B2B-4F63-A44D-047B79ACB99E}" name="Sheet Title" dataDxfId="11"/>
    <tableColumn id="3" xr3:uid="{6E4C2DDF-5EC3-4815-8356-44D5107B13CB}" name="Link" dataDxfId="10"/>
    <tableColumn id="4" xr3:uid="{FD946A7A-6E9D-4385-B06D-EDB3874B7725}" name="Description" dataDxfId="9"/>
    <tableColumn id="5" xr3:uid="{36320AA3-2B55-40E3-A543-2058E94F690F}" name="Description2" dataDxfId="8"/>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hyperlink" Target="https://www.linkedin.com/in/piyush-anand-770237pathania/?originalSubdomain=in"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hyperlink" Target="https://www.dabur.com/sites/default/files/2022-10/142394-Dabur-IR-2020-211.pdf" TargetMode="External"/><Relationship Id="rId2" Type="http://schemas.openxmlformats.org/officeDocument/2006/relationships/hyperlink" Target="https://www.dabur.com/sites/default/files/2021-07/3244-Dabur-IR-2019-20.pdf" TargetMode="External"/><Relationship Id="rId1" Type="http://schemas.openxmlformats.org/officeDocument/2006/relationships/hyperlink" Target="https://www.dabur.com/sites/default/files/2021-07/3227-Dabur-AR-2018-19.pdf" TargetMode="External"/><Relationship Id="rId6" Type="http://schemas.openxmlformats.org/officeDocument/2006/relationships/hyperlink" Target="https://www.dabur.com/sites/default/files/2021-07/3224-Dabur-AR-2017-18.pdf" TargetMode="External"/><Relationship Id="rId5" Type="http://schemas.openxmlformats.org/officeDocument/2006/relationships/hyperlink" Target="https://www.dabur.com/sites/default/files/2023-07/Annual%20Report.pdf" TargetMode="External"/><Relationship Id="rId4" Type="http://schemas.openxmlformats.org/officeDocument/2006/relationships/hyperlink" Target="https://www.dabur.com/sites/default/files/2022-10/3258-Dabur-AR-2021-22.pdf"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F7EF5-A646-41A2-83F4-92991A9E602C}">
  <sheetPr codeName="Sheet2"/>
  <dimension ref="B2:P28"/>
  <sheetViews>
    <sheetView showGridLines="0" topLeftCell="A3" zoomScale="88" zoomScaleNormal="100" workbookViewId="0">
      <selection activeCell="C16" sqref="C16"/>
    </sheetView>
  </sheetViews>
  <sheetFormatPr defaultColWidth="11.77734375" defaultRowHeight="15"/>
  <cols>
    <col min="1" max="1" width="2.6640625" style="2" customWidth="1"/>
    <col min="2" max="2" width="11.77734375" style="2"/>
    <col min="3" max="3" width="16.5546875" style="2" customWidth="1"/>
    <col min="4" max="4" width="11.77734375" style="2"/>
    <col min="5" max="5" width="14.109375" style="2" bestFit="1" customWidth="1"/>
    <col min="6" max="6" width="12.6640625" style="2" customWidth="1"/>
    <col min="7" max="13" width="11.77734375" style="2"/>
    <col min="14" max="14" width="14.33203125" style="2" customWidth="1"/>
    <col min="15" max="16" width="12.5546875" style="2" customWidth="1"/>
    <col min="17" max="16384" width="11.77734375" style="2"/>
  </cols>
  <sheetData>
    <row r="2" spans="2:16" ht="22.8">
      <c r="B2" s="3" t="s">
        <v>10</v>
      </c>
      <c r="C2" s="383">
        <v>45243</v>
      </c>
      <c r="G2" s="9" t="s">
        <v>789</v>
      </c>
      <c r="H2" s="9"/>
      <c r="I2" s="9"/>
      <c r="J2" s="9"/>
      <c r="K2" s="3"/>
    </row>
    <row r="3" spans="2:16" ht="15.6">
      <c r="F3"/>
    </row>
    <row r="4" spans="2:16" ht="15.6">
      <c r="L4"/>
    </row>
    <row r="5" spans="2:16" ht="15.6">
      <c r="G5"/>
      <c r="N5" s="3" t="s">
        <v>24</v>
      </c>
      <c r="O5" s="3"/>
    </row>
    <row r="6" spans="2:16" ht="15.6">
      <c r="D6" s="3" t="s">
        <v>1</v>
      </c>
    </row>
    <row r="7" spans="2:16" ht="18">
      <c r="N7" s="3" t="s">
        <v>32</v>
      </c>
      <c r="O7" s="3"/>
    </row>
    <row r="8" spans="2:16" ht="15.6">
      <c r="C8" s="2" t="s">
        <v>0</v>
      </c>
      <c r="E8" s="2" t="s">
        <v>2</v>
      </c>
      <c r="N8" s="2" t="s">
        <v>27</v>
      </c>
      <c r="O8" s="8">
        <v>0.6623</v>
      </c>
      <c r="P8"/>
    </row>
    <row r="9" spans="2:16">
      <c r="C9" s="2" t="s">
        <v>3</v>
      </c>
      <c r="E9" s="2" t="s">
        <v>4</v>
      </c>
      <c r="N9" s="2" t="s">
        <v>28</v>
      </c>
      <c r="O9" s="8">
        <v>0.1837</v>
      </c>
    </row>
    <row r="10" spans="2:16">
      <c r="C10" s="2" t="s">
        <v>16</v>
      </c>
      <c r="E10" s="2" t="s">
        <v>17</v>
      </c>
      <c r="N10" s="2" t="s">
        <v>29</v>
      </c>
      <c r="O10" s="8">
        <v>6.8000000000000005E-2</v>
      </c>
    </row>
    <row r="11" spans="2:16">
      <c r="C11" s="2" t="s">
        <v>5</v>
      </c>
      <c r="E11" s="2" t="s">
        <v>6</v>
      </c>
      <c r="N11" s="2" t="s">
        <v>30</v>
      </c>
      <c r="O11" s="8">
        <v>4.3099999999999999E-2</v>
      </c>
    </row>
    <row r="12" spans="2:16">
      <c r="C12" s="2" t="s">
        <v>9</v>
      </c>
      <c r="E12" s="2">
        <v>535.80999999999995</v>
      </c>
      <c r="F12" s="6" t="s">
        <v>13</v>
      </c>
      <c r="N12" s="2" t="s">
        <v>31</v>
      </c>
      <c r="O12" s="8">
        <v>4.2900000000000001E-2</v>
      </c>
    </row>
    <row r="13" spans="2:16">
      <c r="C13" s="2" t="s">
        <v>11</v>
      </c>
      <c r="E13" s="2">
        <v>610.75</v>
      </c>
      <c r="F13" s="6" t="s">
        <v>12</v>
      </c>
    </row>
    <row r="14" spans="2:16">
      <c r="C14" s="2" t="s">
        <v>14</v>
      </c>
      <c r="E14" s="2">
        <v>503.65</v>
      </c>
      <c r="F14" s="2" t="s">
        <v>15</v>
      </c>
      <c r="O14" s="8">
        <f>SUM(O8:O12)</f>
        <v>1</v>
      </c>
    </row>
    <row r="15" spans="2:16">
      <c r="C15" s="2" t="s">
        <v>7</v>
      </c>
      <c r="E15" s="7">
        <v>9494561.7699999996</v>
      </c>
    </row>
    <row r="16" spans="2:16">
      <c r="C16" s="2" t="s">
        <v>8</v>
      </c>
      <c r="E16" s="4">
        <v>3133205.38</v>
      </c>
    </row>
    <row r="18" spans="3:15" ht="15.6">
      <c r="D18" s="3" t="s">
        <v>18</v>
      </c>
      <c r="F18" s="2" t="s">
        <v>19</v>
      </c>
      <c r="N18" s="3" t="s">
        <v>38</v>
      </c>
    </row>
    <row r="19" spans="3:15">
      <c r="O19" s="2" t="s">
        <v>34</v>
      </c>
    </row>
    <row r="20" spans="3:15">
      <c r="C20" s="2" t="s">
        <v>20</v>
      </c>
      <c r="D20" s="2" t="s">
        <v>21</v>
      </c>
    </row>
    <row r="21" spans="3:15">
      <c r="C21" s="2" t="s">
        <v>22</v>
      </c>
      <c r="D21" s="2" t="s">
        <v>23</v>
      </c>
      <c r="M21" s="2" t="s">
        <v>33</v>
      </c>
      <c r="O21" s="8">
        <v>2.86E-2</v>
      </c>
    </row>
    <row r="22" spans="3:15">
      <c r="M22" s="2" t="s">
        <v>36</v>
      </c>
      <c r="O22" s="8">
        <v>1.4999999999999999E-2</v>
      </c>
    </row>
    <row r="23" spans="3:15">
      <c r="M23" s="2" t="s">
        <v>37</v>
      </c>
      <c r="O23" s="8">
        <v>1.2699999999999999E-2</v>
      </c>
    </row>
    <row r="24" spans="3:15">
      <c r="M24" s="2" t="s">
        <v>35</v>
      </c>
      <c r="O24" s="8">
        <v>1.15E-2</v>
      </c>
    </row>
    <row r="25" spans="3:15" ht="15.6">
      <c r="C25" s="3" t="s">
        <v>39</v>
      </c>
      <c r="D25" s="2" t="s">
        <v>40</v>
      </c>
    </row>
    <row r="26" spans="3:15" ht="15.6">
      <c r="D26" s="358" t="s">
        <v>972</v>
      </c>
    </row>
    <row r="27" spans="3:15">
      <c r="I27" s="2" t="s">
        <v>25</v>
      </c>
    </row>
    <row r="28" spans="3:15">
      <c r="I28" s="2" t="s">
        <v>26</v>
      </c>
    </row>
  </sheetData>
  <hyperlinks>
    <hyperlink ref="D26" r:id="rId1" xr:uid="{2334F7CB-634A-420D-9E82-C449BBFD5AF0}"/>
  </hyperlinks>
  <pageMargins left="0.7" right="0.7" top="0.75" bottom="0.75" header="0.3" footer="0.3"/>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71DAC-B5C3-4AB6-99DB-930249D41240}">
  <sheetPr codeName="Sheet3"/>
  <dimension ref="B2:L10"/>
  <sheetViews>
    <sheetView showGridLines="0" workbookViewId="0">
      <selection activeCell="B2" sqref="B2"/>
    </sheetView>
  </sheetViews>
  <sheetFormatPr defaultColWidth="11.77734375" defaultRowHeight="15"/>
  <cols>
    <col min="1" max="1" width="2.6640625" style="2" customWidth="1"/>
    <col min="2" max="16384" width="11.77734375" style="2"/>
  </cols>
  <sheetData>
    <row r="2" spans="2:12" ht="22.8">
      <c r="B2" s="459" t="s">
        <v>783</v>
      </c>
      <c r="C2" s="460"/>
      <c r="D2" s="460"/>
      <c r="E2" s="460"/>
    </row>
    <row r="3" spans="2:12" ht="15.6">
      <c r="F3"/>
    </row>
    <row r="4" spans="2:12" ht="15.6">
      <c r="C4" s="2" t="s">
        <v>788</v>
      </c>
      <c r="L4"/>
    </row>
    <row r="6" spans="2:12" ht="15.6">
      <c r="D6" s="3">
        <v>1</v>
      </c>
      <c r="E6" s="3" t="s">
        <v>787</v>
      </c>
    </row>
    <row r="7" spans="2:12">
      <c r="E7" s="2" t="s">
        <v>784</v>
      </c>
    </row>
    <row r="9" spans="2:12" ht="15.6">
      <c r="D9" s="3">
        <v>2</v>
      </c>
      <c r="E9" s="3" t="s">
        <v>786</v>
      </c>
    </row>
    <row r="10" spans="2:12">
      <c r="E10" s="2" t="s">
        <v>785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1035B-8047-4791-AC9B-6631C3AD0AEF}">
  <sheetPr codeName="Sheet33"/>
  <dimension ref="B7:C8"/>
  <sheetViews>
    <sheetView showGridLines="0" topLeftCell="A6" workbookViewId="0">
      <selection activeCell="B10" sqref="B10"/>
    </sheetView>
  </sheetViews>
  <sheetFormatPr defaultRowHeight="14.4"/>
  <cols>
    <col min="1" max="1" width="2.5546875" customWidth="1"/>
    <col min="2" max="44" width="15.5546875" customWidth="1"/>
  </cols>
  <sheetData>
    <row r="7" spans="2:3" ht="22.8">
      <c r="B7" s="459" t="s">
        <v>304</v>
      </c>
    </row>
    <row r="8" spans="2:3">
      <c r="B8" s="394" t="s">
        <v>1080</v>
      </c>
      <c r="C8" s="39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E9A79-75FC-44A0-BC35-7E378F61D230}">
  <sheetPr codeName="Sheet4"/>
  <dimension ref="B2:K36"/>
  <sheetViews>
    <sheetView showGridLines="0" topLeftCell="B1" zoomScale="93" workbookViewId="0">
      <selection activeCell="D40" sqref="D40"/>
    </sheetView>
  </sheetViews>
  <sheetFormatPr defaultColWidth="11.77734375" defaultRowHeight="15"/>
  <cols>
    <col min="1" max="1" width="2.6640625" style="2" customWidth="1"/>
    <col min="2" max="2" width="11.77734375" style="2"/>
    <col min="3" max="3" width="18.77734375" style="2" customWidth="1"/>
    <col min="4" max="4" width="15.5546875" style="2" customWidth="1"/>
    <col min="5" max="5" width="29.109375" style="2" customWidth="1"/>
    <col min="6" max="6" width="32.88671875" style="2" customWidth="1"/>
    <col min="7" max="7" width="50.5546875" style="2" customWidth="1"/>
    <col min="8" max="8" width="49.88671875" style="2" customWidth="1"/>
    <col min="9" max="16384" width="11.77734375" style="2"/>
  </cols>
  <sheetData>
    <row r="2" spans="2:11" ht="42.6">
      <c r="F2" s="362" t="s">
        <v>790</v>
      </c>
    </row>
    <row r="3" spans="2:11" ht="16.2" thickBot="1">
      <c r="C3" s="461"/>
      <c r="D3" s="364" t="s">
        <v>793</v>
      </c>
      <c r="E3" s="364" t="s">
        <v>794</v>
      </c>
      <c r="F3" s="364" t="s">
        <v>791</v>
      </c>
      <c r="G3" s="364" t="s">
        <v>792</v>
      </c>
      <c r="H3" s="364" t="s">
        <v>811</v>
      </c>
    </row>
    <row r="4" spans="2:11" ht="16.2" thickTop="1">
      <c r="B4" s="3"/>
      <c r="C4" s="502" t="s">
        <v>219</v>
      </c>
      <c r="D4" s="155">
        <v>1</v>
      </c>
      <c r="E4" s="382" t="s">
        <v>219</v>
      </c>
      <c r="F4" s="453" t="s">
        <v>797</v>
      </c>
      <c r="G4" s="382" t="s">
        <v>795</v>
      </c>
      <c r="H4" s="155"/>
      <c r="I4" s="363"/>
      <c r="J4" s="363"/>
      <c r="K4" s="363"/>
    </row>
    <row r="5" spans="2:11" ht="15.6">
      <c r="C5" s="503"/>
      <c r="D5" s="155">
        <v>2</v>
      </c>
      <c r="E5" s="382" t="s">
        <v>796</v>
      </c>
      <c r="F5" s="453" t="s">
        <v>806</v>
      </c>
      <c r="G5" s="382" t="s">
        <v>828</v>
      </c>
      <c r="H5" s="155"/>
    </row>
    <row r="6" spans="2:11" ht="15.6">
      <c r="C6" s="503"/>
      <c r="D6" s="155">
        <v>3</v>
      </c>
      <c r="E6" s="382" t="s">
        <v>799</v>
      </c>
      <c r="F6" s="454" t="s">
        <v>807</v>
      </c>
      <c r="G6" s="382" t="s">
        <v>829</v>
      </c>
      <c r="H6" s="155"/>
    </row>
    <row r="7" spans="2:11" ht="15.6">
      <c r="C7" s="503"/>
      <c r="D7" s="155">
        <v>4</v>
      </c>
      <c r="E7" s="382" t="s">
        <v>805</v>
      </c>
      <c r="F7" s="454" t="s">
        <v>808</v>
      </c>
      <c r="G7" s="382" t="s">
        <v>830</v>
      </c>
      <c r="H7" s="155"/>
    </row>
    <row r="8" spans="2:11" ht="15.6">
      <c r="C8" s="503"/>
      <c r="D8" s="155">
        <v>5</v>
      </c>
      <c r="E8" s="382" t="s">
        <v>809</v>
      </c>
      <c r="F8" s="454" t="s">
        <v>810</v>
      </c>
      <c r="G8" s="382" t="s">
        <v>831</v>
      </c>
      <c r="H8" s="155"/>
    </row>
    <row r="9" spans="2:11" ht="16.2" thickBot="1">
      <c r="C9" s="504"/>
      <c r="D9" s="155">
        <v>6</v>
      </c>
      <c r="E9" s="382" t="s">
        <v>846</v>
      </c>
      <c r="F9" s="454" t="s">
        <v>845</v>
      </c>
      <c r="G9" s="382" t="s">
        <v>847</v>
      </c>
      <c r="H9" s="155"/>
    </row>
    <row r="10" spans="2:11" ht="16.2" thickTop="1">
      <c r="C10" s="505" t="s">
        <v>848</v>
      </c>
      <c r="D10" s="155">
        <v>7</v>
      </c>
      <c r="E10" s="382" t="s">
        <v>982</v>
      </c>
      <c r="F10" s="454" t="s">
        <v>983</v>
      </c>
      <c r="G10" s="382" t="s">
        <v>1068</v>
      </c>
      <c r="H10" s="155"/>
    </row>
    <row r="11" spans="2:11" ht="15.6">
      <c r="C11" s="506"/>
      <c r="D11" s="155">
        <v>8</v>
      </c>
      <c r="E11" s="382" t="s">
        <v>849</v>
      </c>
      <c r="F11" s="454" t="s">
        <v>973</v>
      </c>
      <c r="G11" s="382" t="s">
        <v>850</v>
      </c>
      <c r="H11" s="155"/>
    </row>
    <row r="12" spans="2:11" ht="15.6">
      <c r="C12" s="506"/>
      <c r="D12" s="155">
        <v>9</v>
      </c>
      <c r="E12" s="382" t="s">
        <v>852</v>
      </c>
      <c r="F12" s="454" t="s">
        <v>974</v>
      </c>
      <c r="G12" s="382" t="s">
        <v>851</v>
      </c>
      <c r="H12" s="155"/>
    </row>
    <row r="13" spans="2:11" ht="15.6">
      <c r="C13" s="506"/>
      <c r="D13" s="155">
        <v>10</v>
      </c>
      <c r="E13" s="382" t="s">
        <v>430</v>
      </c>
      <c r="F13" s="454" t="s">
        <v>975</v>
      </c>
      <c r="G13" s="382" t="s">
        <v>1003</v>
      </c>
      <c r="H13" s="382" t="s">
        <v>1006</v>
      </c>
    </row>
    <row r="14" spans="2:11" ht="15.6">
      <c r="C14" s="506"/>
      <c r="D14" s="155">
        <v>11</v>
      </c>
      <c r="E14" s="382" t="s">
        <v>361</v>
      </c>
      <c r="F14" s="453" t="s">
        <v>976</v>
      </c>
      <c r="G14" s="382" t="s">
        <v>1004</v>
      </c>
      <c r="H14" s="382" t="s">
        <v>1008</v>
      </c>
    </row>
    <row r="15" spans="2:11" ht="15.6">
      <c r="C15" s="506"/>
      <c r="D15" s="155">
        <v>12</v>
      </c>
      <c r="E15" s="382" t="s">
        <v>681</v>
      </c>
      <c r="F15" s="455" t="s">
        <v>978</v>
      </c>
      <c r="G15" s="382" t="s">
        <v>1005</v>
      </c>
      <c r="H15" s="382" t="s">
        <v>1008</v>
      </c>
    </row>
    <row r="16" spans="2:11" ht="15.6">
      <c r="C16" s="506"/>
      <c r="D16" s="155">
        <v>13</v>
      </c>
      <c r="E16" s="382" t="s">
        <v>853</v>
      </c>
      <c r="F16" s="453" t="s">
        <v>977</v>
      </c>
      <c r="G16" s="382" t="s">
        <v>1007</v>
      </c>
      <c r="H16" s="382" t="s">
        <v>1009</v>
      </c>
    </row>
    <row r="17" spans="3:8" ht="15.6">
      <c r="C17" s="506"/>
      <c r="D17" s="155">
        <v>14</v>
      </c>
      <c r="E17" s="382" t="s">
        <v>854</v>
      </c>
      <c r="F17" s="454" t="s">
        <v>979</v>
      </c>
      <c r="G17" s="382" t="s">
        <v>1011</v>
      </c>
      <c r="H17" s="382" t="s">
        <v>1010</v>
      </c>
    </row>
    <row r="18" spans="3:8" ht="15.6">
      <c r="C18" s="506"/>
      <c r="D18" s="155">
        <v>15</v>
      </c>
      <c r="E18" s="382" t="s">
        <v>731</v>
      </c>
      <c r="F18" s="454" t="s">
        <v>980</v>
      </c>
      <c r="G18" s="382" t="s">
        <v>1013</v>
      </c>
      <c r="H18" s="382" t="s">
        <v>1012</v>
      </c>
    </row>
    <row r="19" spans="3:8" ht="16.2" thickBot="1">
      <c r="C19" s="507"/>
      <c r="D19" s="155">
        <v>16</v>
      </c>
      <c r="E19" s="382" t="s">
        <v>855</v>
      </c>
      <c r="F19" s="454" t="s">
        <v>981</v>
      </c>
      <c r="G19" s="382" t="s">
        <v>1014</v>
      </c>
      <c r="H19" s="382" t="s">
        <v>1015</v>
      </c>
    </row>
    <row r="20" spans="3:8" ht="16.2" thickTop="1">
      <c r="C20" s="505" t="s">
        <v>357</v>
      </c>
      <c r="D20" s="155">
        <v>18</v>
      </c>
      <c r="E20" s="382" t="s">
        <v>984</v>
      </c>
      <c r="F20" s="453" t="s">
        <v>992</v>
      </c>
      <c r="G20" s="382" t="s">
        <v>1069</v>
      </c>
      <c r="H20" s="382"/>
    </row>
    <row r="21" spans="3:8" ht="15.6">
      <c r="C21" s="506"/>
      <c r="D21" s="155">
        <v>19</v>
      </c>
      <c r="E21" s="382" t="s">
        <v>985</v>
      </c>
      <c r="F21" s="454" t="s">
        <v>993</v>
      </c>
      <c r="G21" s="382" t="s">
        <v>1070</v>
      </c>
      <c r="H21" s="382"/>
    </row>
    <row r="22" spans="3:8" ht="15.6">
      <c r="C22" s="506"/>
      <c r="D22" s="155">
        <v>20</v>
      </c>
      <c r="E22" s="382" t="s">
        <v>986</v>
      </c>
      <c r="F22" s="454" t="s">
        <v>994</v>
      </c>
      <c r="G22" s="382" t="s">
        <v>1072</v>
      </c>
      <c r="H22" s="382"/>
    </row>
    <row r="23" spans="3:8" ht="15.6">
      <c r="C23" s="506"/>
      <c r="D23" s="155">
        <v>21</v>
      </c>
      <c r="E23" s="382" t="s">
        <v>987</v>
      </c>
      <c r="F23" s="454" t="s">
        <v>995</v>
      </c>
      <c r="G23" s="382" t="s">
        <v>1071</v>
      </c>
      <c r="H23" s="382"/>
    </row>
    <row r="24" spans="3:8" ht="16.2" thickBot="1">
      <c r="C24" s="507"/>
      <c r="D24" s="155">
        <v>22</v>
      </c>
      <c r="E24" s="382" t="s">
        <v>452</v>
      </c>
      <c r="F24" s="454" t="s">
        <v>996</v>
      </c>
      <c r="G24" s="382" t="s">
        <v>1073</v>
      </c>
      <c r="H24" s="382"/>
    </row>
    <row r="25" spans="3:8" ht="16.2" thickTop="1">
      <c r="C25" s="505" t="s">
        <v>1081</v>
      </c>
      <c r="D25" s="155">
        <v>23</v>
      </c>
      <c r="E25" s="382" t="s">
        <v>988</v>
      </c>
      <c r="F25" s="453" t="s">
        <v>997</v>
      </c>
      <c r="G25" s="382" t="s">
        <v>1074</v>
      </c>
      <c r="H25" s="382"/>
    </row>
    <row r="26" spans="3:8" ht="15.6">
      <c r="C26" s="506"/>
      <c r="D26" s="155">
        <v>24</v>
      </c>
      <c r="E26" s="382" t="s">
        <v>989</v>
      </c>
      <c r="F26" s="453" t="s">
        <v>998</v>
      </c>
      <c r="G26" s="382" t="s">
        <v>1075</v>
      </c>
      <c r="H26" s="382"/>
    </row>
    <row r="27" spans="3:8" ht="15.6">
      <c r="C27" s="506"/>
      <c r="D27" s="155">
        <v>25</v>
      </c>
      <c r="E27" s="382" t="s">
        <v>990</v>
      </c>
      <c r="F27" s="453" t="s">
        <v>999</v>
      </c>
      <c r="G27" s="382" t="s">
        <v>1076</v>
      </c>
      <c r="H27" s="382"/>
    </row>
    <row r="28" spans="3:8" ht="15.6">
      <c r="C28" s="506"/>
      <c r="D28" s="155">
        <v>26</v>
      </c>
      <c r="E28" s="382" t="s">
        <v>991</v>
      </c>
      <c r="F28" s="453" t="s">
        <v>1000</v>
      </c>
      <c r="G28" s="382" t="s">
        <v>1077</v>
      </c>
      <c r="H28" s="382"/>
    </row>
    <row r="29" spans="3:8" ht="15.6">
      <c r="C29" s="506"/>
      <c r="D29" s="155">
        <v>27</v>
      </c>
      <c r="E29" s="382" t="s">
        <v>871</v>
      </c>
      <c r="F29" s="453" t="s">
        <v>1001</v>
      </c>
      <c r="G29" s="382" t="s">
        <v>1078</v>
      </c>
      <c r="H29" s="382"/>
    </row>
    <row r="30" spans="3:8" ht="16.2" thickBot="1">
      <c r="C30" s="506"/>
      <c r="D30" s="155">
        <v>28</v>
      </c>
      <c r="E30" s="382" t="s">
        <v>921</v>
      </c>
      <c r="F30" s="453" t="s">
        <v>1002</v>
      </c>
      <c r="G30" s="382" t="s">
        <v>1079</v>
      </c>
      <c r="H30" s="382"/>
    </row>
    <row r="31" spans="3:8" ht="15.6">
      <c r="C31" s="508" t="s">
        <v>1102</v>
      </c>
      <c r="D31" s="155">
        <v>29</v>
      </c>
      <c r="E31" s="382" t="s">
        <v>430</v>
      </c>
      <c r="F31" s="492" t="s">
        <v>1126</v>
      </c>
      <c r="G31" s="382" t="s">
        <v>1130</v>
      </c>
      <c r="H31" s="382"/>
    </row>
    <row r="32" spans="3:8" ht="15.6">
      <c r="C32" s="509"/>
      <c r="D32" s="155">
        <v>30</v>
      </c>
      <c r="E32" s="382" t="s">
        <v>1123</v>
      </c>
      <c r="F32" s="492" t="s">
        <v>1127</v>
      </c>
      <c r="G32" s="382" t="s">
        <v>1131</v>
      </c>
      <c r="H32" s="155"/>
    </row>
    <row r="33" spans="3:8" ht="15.6">
      <c r="C33" s="509"/>
      <c r="D33" s="155">
        <v>31</v>
      </c>
      <c r="E33" s="382" t="s">
        <v>1106</v>
      </c>
      <c r="F33" s="493" t="s">
        <v>1128</v>
      </c>
      <c r="G33" s="382" t="s">
        <v>1132</v>
      </c>
      <c r="H33" s="155"/>
    </row>
    <row r="34" spans="3:8" ht="16.2" thickBot="1">
      <c r="C34" s="510"/>
      <c r="D34" s="155">
        <v>32</v>
      </c>
      <c r="E34" s="382" t="s">
        <v>1125</v>
      </c>
      <c r="F34" s="492" t="s">
        <v>1129</v>
      </c>
      <c r="G34" s="382" t="s">
        <v>1133</v>
      </c>
      <c r="H34" s="155"/>
    </row>
    <row r="35" spans="3:8" ht="15.6">
      <c r="C35" s="494"/>
      <c r="F35" s="453"/>
    </row>
    <row r="36" spans="3:8">
      <c r="F36" s="185"/>
    </row>
  </sheetData>
  <mergeCells count="5">
    <mergeCell ref="C4:C9"/>
    <mergeCell ref="C10:C19"/>
    <mergeCell ref="C20:C24"/>
    <mergeCell ref="C25:C30"/>
    <mergeCell ref="C31:C34"/>
  </mergeCells>
  <phoneticPr fontId="11" type="noConversion"/>
  <hyperlinks>
    <hyperlink ref="F4" location="DATA!A1" display="DATA!A1" xr:uid="{A7C2A521-742A-4609-8CE3-97D295B764C7}"/>
    <hyperlink ref="F5" location="BS!A1" display="BS!A1" xr:uid="{B245282B-025D-42CA-8D2A-80EB88F482F7}"/>
    <hyperlink ref="F6" location="'P&amp;L'!A1" display="'P&amp;L'!A1" xr:uid="{83654F25-4860-41E0-A2FB-0A7D1C85AA9F}"/>
    <hyperlink ref="F7" location="'Cash flow'!A1" display="'Cash flow'!A1" xr:uid="{571B154F-0CD5-4E1D-8019-7F68590D6BBC}"/>
    <hyperlink ref="F8" location="'Data Pointers'!A1" display="'Data Pointers'!A1" xr:uid="{84794DD9-B43D-4DA0-90AC-96D955127EBC}"/>
    <hyperlink ref="F9" location="'Data source links'!A1" display="'Data source links'!A1" xr:uid="{C45C8F2F-54B0-4D26-A274-C9B79047F7C6}"/>
    <hyperlink ref="F11" location="'Street estimates-FY24'!A1" display="'Street estimates-FY24'!A1" xr:uid="{15ADEAE7-0897-415A-9596-034A52FCEFDE}"/>
    <hyperlink ref="F12" location="'Street estimates-FY25'!A1" display="'Street estimates-FY25'!A1" xr:uid="{B7B9371A-A9C6-4551-8D52-8547FCB8647F}"/>
    <hyperlink ref="F13" location="'Revenue '!A1" display="'Revenue '!A1" xr:uid="{E0E9AAEA-88B5-4943-BDDF-8B60460CC1E6}"/>
    <hyperlink ref="F14" location="COGS!A1" display="COGS!A1" xr:uid="{A1C98A21-9F7A-42BE-B2DC-F54EA12B91EE}"/>
    <hyperlink ref="F16" location="Inventory!A1" display="Inventory!A1" xr:uid="{33705BC3-853F-4A16-9E58-29A3D20C396F}"/>
    <hyperlink ref="F15" location="OPEX!A1" display="OPEX!A1" xr:uid="{1E869BF1-07A9-416C-8CA6-ACB9F5869F28}"/>
    <hyperlink ref="F17" location="'TR&amp;TP'!A1" display="'TR&amp;TP'!A1" xr:uid="{D5DA3FB6-A4C7-42BD-B47E-FA7774FC0807}"/>
    <hyperlink ref="F18" location="'Fixed asset Schedule'!A1" display="'Fixed asset Schedule'!A1" xr:uid="{C1619F1D-ED57-4DA0-B96D-A9A3C1B03591}"/>
    <hyperlink ref="F19" location="'Interest paid &amp; Other income'!A1" display="'Interest paid &amp; Other income'!A1" xr:uid="{D00F0DE0-CB53-48C0-B2F8-3406B9747E24}"/>
    <hyperlink ref="F10" location="Forecasting!A1" display="Forecasting!A1" xr:uid="{25ACEB20-1AF0-43E7-B76B-323964E775EF}"/>
    <hyperlink ref="F20" location="Output!A1" display="Output!A1" xr:uid="{2E790B5D-FD78-4BEC-9457-F370B77FEFA0}"/>
    <hyperlink ref="F21" location="'BS(OUTPUT)'!A1" display="'BS(OUTPUT)'!A1" xr:uid="{12058BE3-693F-45CD-9277-8CCC2DD00358}"/>
    <hyperlink ref="F22" location="'P&amp;L(OUTPUT)'!A1" display="'P&amp;L(OUTPUT)'!A1" xr:uid="{BE93C2A3-9819-4393-9AA0-477F38C9BD13}"/>
    <hyperlink ref="F23" location="'CASH FLOW(OUTPUT)'!A1" display="'CASH FLOW(OUTPUT)'!A1" xr:uid="{22DAB2D4-2E0B-490E-94A8-F36630D54439}"/>
    <hyperlink ref="F24" location="'Ratio analysis'!A1" display="'Ratio analysis'!A1" xr:uid="{51FFE2CA-EF4B-4ABE-803C-F478F57C0AB5}"/>
    <hyperlink ref="F25" location="Valuation!A1" display="Valuation!A1" xr:uid="{8A040951-C370-40A1-B41C-3ACADA074C40}"/>
    <hyperlink ref="F26" location="'NCI value'!A1" display="'NCI value'!A1" xr:uid="{B8572A1D-ED5C-4E55-B3C9-533D9A9B8E94}"/>
    <hyperlink ref="F27" location="'JV Valuation'!A1" display="'JV Valuation'!A1" xr:uid="{86743104-C0E5-4CBF-B230-A0F92ABADBFB}"/>
    <hyperlink ref="F28" location="'Forward PE valuation'!A1" display="'Forward PE valuation'!A1" xr:uid="{F237C359-7011-4C09-8977-F14A5168E6E6}"/>
    <hyperlink ref="F29" location="WACC!A1" display="WACC!A1" xr:uid="{A90C7EF9-1705-47EE-935A-E69286F0C847}"/>
    <hyperlink ref="F30" location="DCF!A1" display="DCF!A1" xr:uid="{576424A4-3FCB-45EF-BFDA-3284AC37C2C5}"/>
    <hyperlink ref="F31" location="Revenue!A1" display="Revenue!A1" xr:uid="{2C622038-61DD-4D50-9CC5-6C3B882B1E4B}"/>
    <hyperlink ref="F32" location="Profit!A1" display="Profit!A1" xr:uid="{270AA217-2FAB-4AF0-ACB4-9CFC1272448F}"/>
    <hyperlink ref="F33" location="'Balance sheet'!A1" display="'Balance sheet'!A1" xr:uid="{83A80247-D5BD-449B-AA1B-3E1207AE559C}"/>
    <hyperlink ref="F34" location="Returns!A1" display="Returns!A1" xr:uid="{CEB40527-A63E-4ABF-B80F-081280EF093A}"/>
  </hyperlink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E47D-5314-4041-8C6E-09B459A011BC}">
  <sheetPr codeName="Sheet5">
    <tabColor rgb="FF002060"/>
  </sheetPr>
  <dimension ref="B3:P31"/>
  <sheetViews>
    <sheetView showGridLines="0" zoomScaleNormal="100" workbookViewId="0"/>
  </sheetViews>
  <sheetFormatPr defaultColWidth="11.77734375" defaultRowHeight="15"/>
  <cols>
    <col min="1" max="1" width="2.44140625" style="2" customWidth="1"/>
    <col min="2" max="20" width="15.5546875" style="2" customWidth="1"/>
    <col min="21" max="16384" width="11.77734375" style="2"/>
  </cols>
  <sheetData>
    <row r="3" spans="2:16" ht="15.6">
      <c r="F3"/>
    </row>
    <row r="4" spans="2:16" ht="15.6">
      <c r="L4"/>
    </row>
    <row r="5" spans="2:16" ht="42.6">
      <c r="E5" s="365" t="s">
        <v>219</v>
      </c>
      <c r="F5" s="365"/>
      <c r="G5" s="365"/>
      <c r="H5" s="366"/>
      <c r="I5" s="366"/>
      <c r="J5" s="366"/>
      <c r="M5" s="366"/>
      <c r="N5" s="366"/>
      <c r="O5" s="366"/>
      <c r="P5" s="366"/>
    </row>
    <row r="6" spans="2:16" ht="42.6">
      <c r="E6" s="365" t="s">
        <v>279</v>
      </c>
      <c r="F6" s="365"/>
      <c r="G6" s="365"/>
      <c r="H6" s="365"/>
      <c r="I6" s="366"/>
      <c r="J6" s="366"/>
      <c r="M6" s="366"/>
      <c r="N6" s="366"/>
      <c r="O6" s="366"/>
      <c r="P6" s="366"/>
    </row>
    <row r="8" spans="2:16">
      <c r="H8" s="2" t="s">
        <v>866</v>
      </c>
    </row>
    <row r="9" spans="2:16">
      <c r="G9" s="37">
        <v>1</v>
      </c>
      <c r="H9" s="37" t="s">
        <v>867</v>
      </c>
    </row>
    <row r="10" spans="2:16">
      <c r="B10" s="2" t="s">
        <v>798</v>
      </c>
      <c r="G10" s="2">
        <v>2</v>
      </c>
      <c r="H10" s="2" t="s">
        <v>869</v>
      </c>
    </row>
    <row r="11" spans="2:16">
      <c r="G11" s="392">
        <v>3</v>
      </c>
      <c r="H11" s="392" t="s">
        <v>868</v>
      </c>
    </row>
    <row r="12" spans="2:16" ht="15.6">
      <c r="B12" s="221">
        <v>1</v>
      </c>
      <c r="C12" s="3" t="s">
        <v>796</v>
      </c>
    </row>
    <row r="13" spans="2:16">
      <c r="C13" s="2" t="str">
        <f>"-In this sheet we created a balance sheet using hard coding of company's original balance sheet."</f>
        <v>-In this sheet we created a balance sheet using hard coding of company's original balance sheet.</v>
      </c>
    </row>
    <row r="14" spans="2:16">
      <c r="C14" s="2" t="str">
        <f>"-Checks are done for accuracy."</f>
        <v>-Checks are done for accuracy.</v>
      </c>
    </row>
    <row r="15" spans="2:16">
      <c r="C15" s="2" t="str">
        <f>"-9 Extra notes are created to get a clear idea about different assets &amp; liabilities(like Capex)"</f>
        <v>-9 Extra notes are created to get a clear idea about different assets &amp; liabilities(like Capex)</v>
      </c>
    </row>
    <row r="17" spans="2:3" ht="15.6">
      <c r="B17" s="221">
        <v>2</v>
      </c>
      <c r="C17" s="3" t="s">
        <v>799</v>
      </c>
    </row>
    <row r="18" spans="2:3">
      <c r="C18" s="2" t="str">
        <f>"-In this sheet we created a P&amp;L statement using hard coding of company's original "</f>
        <v xml:space="preserve">-In this sheet we created a P&amp;L statement using hard coding of company's original </v>
      </c>
    </row>
    <row r="19" spans="2:3">
      <c r="C19" s="2" t="str">
        <f>"-Checks are done for accuracy"</f>
        <v>-Checks are done for accuracy</v>
      </c>
    </row>
    <row r="20" spans="2:3">
      <c r="C20" s="2" t="str">
        <f>"-7 Extra notes are created to get a clear idea about different items in income statement"</f>
        <v>-7 Extra notes are created to get a clear idea about different items in income statement</v>
      </c>
    </row>
    <row r="22" spans="2:3" ht="15.6">
      <c r="B22" s="221">
        <v>3</v>
      </c>
      <c r="C22" s="3" t="s">
        <v>800</v>
      </c>
    </row>
    <row r="23" spans="2:3">
      <c r="C23" s="2" t="str">
        <f>"-In this sheet we created a cash flow statement using BS sheet, P&amp;L sheet and some hardcoded numbers of company's original  cash flow statement  "</f>
        <v xml:space="preserve">-In this sheet we created a cash flow statement using BS sheet, P&amp;L sheet and some hardcoded numbers of company's original  cash flow statement  </v>
      </c>
    </row>
    <row r="24" spans="2:3">
      <c r="C24" s="2" t="str">
        <f>"-Checks are done for accuracy"</f>
        <v>-Checks are done for accuracy</v>
      </c>
    </row>
    <row r="25" spans="2:3">
      <c r="C25" s="2" t="str">
        <f>"-2 working notes are created to show breakup of Capex and calculation of Net debt"</f>
        <v>-2 working notes are created to show breakup of Capex and calculation of Net debt</v>
      </c>
    </row>
    <row r="27" spans="2:3" ht="15.6">
      <c r="B27" s="221">
        <v>4</v>
      </c>
      <c r="C27" s="3" t="s">
        <v>804</v>
      </c>
    </row>
    <row r="28" spans="2:3">
      <c r="C28" s="2" t="str">
        <f>"This sheet is created to give some additional information about BS, P&amp;L and Cash flow sheet"</f>
        <v>This sheet is created to give some additional information about BS, P&amp;L and Cash flow sheet</v>
      </c>
    </row>
    <row r="30" spans="2:3" ht="15.6">
      <c r="B30" s="221">
        <v>5</v>
      </c>
      <c r="C30" s="3" t="s">
        <v>826</v>
      </c>
    </row>
    <row r="31" spans="2:3">
      <c r="C31" s="2" t="s">
        <v>827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CAA95-4651-4F15-90C5-D3F2AA478AAE}">
  <sheetPr codeName="Sheet6">
    <tabColor rgb="FFFF0000"/>
    <outlinePr applyStyles="1" summaryBelow="0" summaryRight="0"/>
  </sheetPr>
  <dimension ref="B1:T412"/>
  <sheetViews>
    <sheetView showGridLines="0" topLeftCell="B1" zoomScaleNormal="100" workbookViewId="0">
      <pane ySplit="3" topLeftCell="A4" activePane="bottomLeft" state="frozen"/>
      <selection activeCell="H19" sqref="H19"/>
      <selection pane="bottomLeft" activeCell="M3" sqref="M3"/>
    </sheetView>
  </sheetViews>
  <sheetFormatPr defaultColWidth="11.77734375" defaultRowHeight="15" outlineLevelRow="1"/>
  <cols>
    <col min="1" max="1" width="2.6640625" style="2" customWidth="1"/>
    <col min="2" max="12" width="15.5546875" style="2" customWidth="1"/>
    <col min="13" max="13" width="15.5546875" style="59" customWidth="1"/>
    <col min="14" max="14" width="23.5546875" style="59" customWidth="1"/>
    <col min="15" max="15" width="22.77734375" style="2" customWidth="1"/>
    <col min="16" max="21" width="15.5546875" style="2" customWidth="1"/>
    <col min="22" max="16384" width="11.77734375" style="2"/>
  </cols>
  <sheetData>
    <row r="1" spans="2:20" ht="15.6">
      <c r="G1" s="39"/>
      <c r="H1" s="39"/>
      <c r="I1" s="39"/>
      <c r="J1" s="40"/>
      <c r="K1" s="39"/>
      <c r="L1" s="39"/>
      <c r="M1" s="10"/>
      <c r="N1" s="10"/>
      <c r="O1" s="10"/>
      <c r="P1" s="10"/>
      <c r="Q1" s="10"/>
      <c r="R1" s="10"/>
      <c r="S1" s="10"/>
      <c r="T1" s="10"/>
    </row>
    <row r="2" spans="2:20" ht="15.6">
      <c r="G2" s="41"/>
      <c r="I2" s="41"/>
      <c r="J2" s="42" t="s">
        <v>172</v>
      </c>
      <c r="K2" s="41"/>
      <c r="L2" s="41"/>
      <c r="M2" s="41"/>
      <c r="N2" s="10"/>
      <c r="O2" s="10"/>
      <c r="P2" s="10"/>
      <c r="Q2" s="10"/>
      <c r="R2" s="10"/>
      <c r="S2" s="10"/>
      <c r="T2" s="10"/>
    </row>
    <row r="3" spans="2:20" ht="15.6">
      <c r="B3" s="43" t="s">
        <v>184</v>
      </c>
      <c r="C3" s="36"/>
      <c r="D3" s="43" t="s">
        <v>78</v>
      </c>
      <c r="E3" s="36"/>
      <c r="F3" s="36"/>
      <c r="G3" s="38">
        <v>43190</v>
      </c>
      <c r="H3" s="38">
        <v>43555</v>
      </c>
      <c r="I3" s="38">
        <v>43921</v>
      </c>
      <c r="J3" s="38">
        <v>44286</v>
      </c>
      <c r="K3" s="38">
        <v>44651</v>
      </c>
      <c r="L3" s="38">
        <v>45016</v>
      </c>
      <c r="M3" s="38"/>
      <c r="N3" s="36"/>
      <c r="O3" s="10"/>
      <c r="P3" s="10"/>
      <c r="Q3" s="10"/>
      <c r="R3" s="10"/>
      <c r="S3" s="10"/>
      <c r="T3" s="10"/>
    </row>
    <row r="4" spans="2:20">
      <c r="G4" s="10"/>
      <c r="H4" s="10"/>
      <c r="I4" s="10"/>
      <c r="J4" s="10"/>
      <c r="K4" s="10"/>
      <c r="L4" s="10"/>
      <c r="M4" s="39"/>
      <c r="N4" s="39"/>
      <c r="O4" s="10"/>
      <c r="P4" s="10"/>
      <c r="Q4" s="10"/>
      <c r="R4" s="10"/>
      <c r="S4" s="10"/>
      <c r="T4" s="10"/>
    </row>
    <row r="5" spans="2:20" ht="15.6">
      <c r="B5" s="3" t="s">
        <v>106</v>
      </c>
      <c r="G5" s="10"/>
      <c r="H5" s="10"/>
      <c r="I5" s="10"/>
      <c r="J5" s="10"/>
      <c r="K5" s="10"/>
      <c r="L5" s="10"/>
      <c r="M5" s="39"/>
      <c r="N5" s="39"/>
      <c r="O5" s="10"/>
      <c r="P5" s="10"/>
      <c r="Q5" s="10"/>
      <c r="R5" s="10"/>
      <c r="S5" s="10"/>
      <c r="T5" s="10"/>
    </row>
    <row r="6" spans="2:20" ht="15.6">
      <c r="C6" s="3" t="s">
        <v>107</v>
      </c>
      <c r="G6" s="53"/>
      <c r="H6" s="10"/>
      <c r="I6" s="10"/>
      <c r="J6" s="10"/>
      <c r="K6" s="10"/>
      <c r="L6" s="10"/>
      <c r="M6" s="39"/>
      <c r="N6" s="39"/>
      <c r="O6" s="10"/>
      <c r="P6" s="10"/>
      <c r="Q6" s="10"/>
      <c r="R6" s="10"/>
      <c r="S6" s="10"/>
      <c r="T6" s="10"/>
    </row>
    <row r="7" spans="2:20">
      <c r="C7" s="2" t="s">
        <v>117</v>
      </c>
      <c r="G7" s="54">
        <v>1552.1</v>
      </c>
      <c r="H7" s="54">
        <v>1547.97</v>
      </c>
      <c r="I7" s="54">
        <v>1820.98</v>
      </c>
      <c r="J7" s="54">
        <v>1811.7</v>
      </c>
      <c r="K7" s="54">
        <v>1967.95</v>
      </c>
      <c r="L7" s="54">
        <v>2237.62</v>
      </c>
      <c r="M7" s="55"/>
      <c r="N7" s="55"/>
      <c r="O7" s="10"/>
      <c r="P7" s="10"/>
      <c r="Q7" s="10"/>
      <c r="R7" s="10"/>
      <c r="S7" s="10"/>
      <c r="T7" s="10"/>
    </row>
    <row r="8" spans="2:20">
      <c r="C8" s="2" t="s">
        <v>118</v>
      </c>
      <c r="G8" s="54">
        <v>41.51</v>
      </c>
      <c r="H8" s="54">
        <v>63.76</v>
      </c>
      <c r="I8" s="54">
        <v>146.57</v>
      </c>
      <c r="J8" s="54">
        <v>147.30000000000001</v>
      </c>
      <c r="K8" s="54">
        <v>167.5</v>
      </c>
      <c r="L8" s="54">
        <v>175.13</v>
      </c>
      <c r="M8" s="55"/>
      <c r="N8" s="55"/>
      <c r="O8" s="10"/>
      <c r="P8" s="10"/>
      <c r="Q8" s="10"/>
      <c r="R8" s="10"/>
      <c r="S8" s="10"/>
      <c r="T8" s="10"/>
    </row>
    <row r="9" spans="2:20">
      <c r="C9" s="2" t="s">
        <v>108</v>
      </c>
      <c r="G9" s="54">
        <v>54.16</v>
      </c>
      <c r="H9" s="54">
        <v>52.1</v>
      </c>
      <c r="I9" s="54">
        <v>51.55</v>
      </c>
      <c r="J9" s="54">
        <v>50.5</v>
      </c>
      <c r="K9" s="54">
        <v>49.07</v>
      </c>
      <c r="L9" s="54">
        <v>47.05</v>
      </c>
      <c r="M9" s="55"/>
      <c r="N9" s="55"/>
      <c r="O9" s="10"/>
      <c r="P9" s="10"/>
      <c r="Q9" s="10"/>
      <c r="R9" s="10"/>
      <c r="S9" s="10"/>
      <c r="T9" s="10"/>
    </row>
    <row r="10" spans="2:20">
      <c r="C10" s="2" t="s">
        <v>109</v>
      </c>
      <c r="G10" s="54">
        <v>411.54</v>
      </c>
      <c r="H10" s="54">
        <v>336.07</v>
      </c>
      <c r="I10" s="54">
        <v>335.97</v>
      </c>
      <c r="J10" s="54">
        <v>336.01</v>
      </c>
      <c r="K10" s="54">
        <v>251.15</v>
      </c>
      <c r="L10" s="54">
        <v>405.25</v>
      </c>
      <c r="M10" s="55"/>
      <c r="N10" s="55"/>
      <c r="O10" s="10"/>
      <c r="P10" s="10"/>
      <c r="Q10" s="10"/>
      <c r="R10" s="10"/>
      <c r="S10" s="10"/>
      <c r="T10" s="10"/>
    </row>
    <row r="11" spans="2:20">
      <c r="C11" s="2" t="s">
        <v>110</v>
      </c>
      <c r="G11" s="54">
        <v>10.31</v>
      </c>
      <c r="H11" s="54">
        <v>32.92</v>
      </c>
      <c r="I11" s="54">
        <v>44.18</v>
      </c>
      <c r="J11" s="54">
        <v>44.71</v>
      </c>
      <c r="K11" s="54">
        <v>39.729999999999997</v>
      </c>
      <c r="L11" s="54">
        <v>888.73</v>
      </c>
      <c r="M11" s="55"/>
      <c r="N11" s="55"/>
      <c r="O11" s="10"/>
      <c r="P11" s="10"/>
      <c r="Q11" s="10"/>
      <c r="R11" s="10"/>
      <c r="S11" s="10"/>
      <c r="T11" s="10"/>
    </row>
    <row r="12" spans="2:20">
      <c r="C12" s="2" t="s">
        <v>211</v>
      </c>
      <c r="G12" s="54">
        <v>11.33</v>
      </c>
      <c r="H12" s="54">
        <v>12.29</v>
      </c>
      <c r="I12" s="54">
        <v>12.28</v>
      </c>
      <c r="J12" s="54">
        <v>11.27</v>
      </c>
      <c r="K12" s="54">
        <v>9.4700000000000006</v>
      </c>
      <c r="L12" s="54">
        <v>7.84</v>
      </c>
      <c r="M12" s="55"/>
      <c r="N12" s="55"/>
      <c r="O12" s="10"/>
      <c r="P12" s="10"/>
      <c r="Q12" s="10"/>
      <c r="R12" s="10"/>
      <c r="S12" s="10"/>
      <c r="T12" s="10"/>
    </row>
    <row r="13" spans="2:20">
      <c r="C13" s="2" t="s">
        <v>111</v>
      </c>
      <c r="G13" s="54"/>
      <c r="H13" s="54"/>
      <c r="I13" s="54"/>
      <c r="J13" s="54"/>
      <c r="K13" s="54"/>
      <c r="N13" s="55"/>
      <c r="O13" s="10"/>
      <c r="P13" s="10"/>
      <c r="Q13" s="10"/>
      <c r="R13" s="10"/>
      <c r="S13" s="10"/>
      <c r="T13" s="10"/>
    </row>
    <row r="14" spans="2:20">
      <c r="D14" s="2" t="s">
        <v>112</v>
      </c>
      <c r="G14" s="54">
        <v>3080.45</v>
      </c>
      <c r="H14" s="54">
        <v>2621.06</v>
      </c>
      <c r="I14" s="54">
        <v>1396.95</v>
      </c>
      <c r="J14" s="54">
        <v>3402.35</v>
      </c>
      <c r="K14" s="54">
        <v>5355.59</v>
      </c>
      <c r="L14" s="54">
        <v>5520.95</v>
      </c>
      <c r="M14" s="55"/>
      <c r="N14" s="55"/>
      <c r="O14" s="10"/>
      <c r="P14" s="10"/>
      <c r="Q14" s="10"/>
      <c r="R14" s="10"/>
      <c r="S14" s="10"/>
      <c r="T14" s="10"/>
    </row>
    <row r="15" spans="2:20">
      <c r="D15" s="2" t="s">
        <v>113</v>
      </c>
      <c r="G15" s="54">
        <v>18.96</v>
      </c>
      <c r="H15" s="54">
        <v>17.559999999999999</v>
      </c>
      <c r="I15" s="54">
        <v>24.64</v>
      </c>
      <c r="J15" s="54">
        <v>22.48</v>
      </c>
      <c r="K15" s="54">
        <v>0</v>
      </c>
      <c r="L15" s="54">
        <v>0</v>
      </c>
      <c r="M15" s="55"/>
      <c r="N15" s="55"/>
      <c r="O15" s="10"/>
      <c r="P15" s="10"/>
      <c r="Q15" s="10"/>
      <c r="R15" s="10"/>
      <c r="S15" s="10"/>
      <c r="T15" s="10"/>
    </row>
    <row r="16" spans="2:20">
      <c r="D16" s="2" t="s">
        <v>114</v>
      </c>
      <c r="G16" s="54">
        <v>4.1100000000000003</v>
      </c>
      <c r="H16" s="54">
        <v>77.66</v>
      </c>
      <c r="I16" s="54">
        <v>528.48</v>
      </c>
      <c r="J16" s="54">
        <v>88.65</v>
      </c>
      <c r="K16" s="54">
        <v>23.32</v>
      </c>
      <c r="L16" s="54">
        <v>30.39</v>
      </c>
      <c r="M16" s="55"/>
      <c r="N16" s="55"/>
      <c r="O16" s="10"/>
      <c r="P16" s="10"/>
      <c r="Q16" s="10"/>
      <c r="R16" s="10"/>
      <c r="S16" s="10"/>
      <c r="T16" s="10"/>
    </row>
    <row r="17" spans="3:20">
      <c r="C17" s="2" t="s">
        <v>212</v>
      </c>
      <c r="G17" s="54">
        <v>0</v>
      </c>
      <c r="H17" s="54">
        <v>0</v>
      </c>
      <c r="I17" s="54">
        <v>22</v>
      </c>
      <c r="J17" s="54">
        <v>17.95</v>
      </c>
      <c r="K17" s="54">
        <v>0.67</v>
      </c>
      <c r="L17" s="54">
        <v>2.09</v>
      </c>
      <c r="M17" s="55"/>
      <c r="N17" s="55"/>
      <c r="O17" s="10"/>
      <c r="P17" s="10"/>
      <c r="Q17" s="10"/>
      <c r="R17" s="10"/>
      <c r="S17" s="10"/>
      <c r="T17" s="10"/>
    </row>
    <row r="18" spans="3:20">
      <c r="C18" s="2" t="s">
        <v>115</v>
      </c>
      <c r="G18" s="54">
        <v>3.33</v>
      </c>
      <c r="H18" s="54">
        <v>0.89</v>
      </c>
      <c r="I18" s="54">
        <v>1.0900000000000001</v>
      </c>
      <c r="J18" s="54">
        <v>4.29</v>
      </c>
      <c r="K18" s="54">
        <v>4.5</v>
      </c>
      <c r="L18" s="54">
        <v>4.49</v>
      </c>
      <c r="M18" s="55"/>
      <c r="N18" s="55"/>
      <c r="O18" s="10"/>
      <c r="P18" s="10"/>
      <c r="Q18" s="10"/>
      <c r="R18" s="10"/>
      <c r="S18" s="10"/>
      <c r="T18" s="10"/>
    </row>
    <row r="19" spans="3:20">
      <c r="C19" s="2" t="s">
        <v>116</v>
      </c>
      <c r="G19" s="54">
        <v>74.08</v>
      </c>
      <c r="H19" s="54">
        <v>88.13</v>
      </c>
      <c r="I19" s="54">
        <v>89.06</v>
      </c>
      <c r="J19" s="54">
        <v>133.97999999999999</v>
      </c>
      <c r="K19" s="54">
        <v>98.74</v>
      </c>
      <c r="L19" s="54">
        <v>85.87</v>
      </c>
      <c r="M19" s="55"/>
      <c r="N19" s="55"/>
      <c r="O19" s="10"/>
      <c r="P19" s="10"/>
      <c r="Q19" s="10"/>
      <c r="R19" s="10"/>
      <c r="S19" s="10"/>
      <c r="T19" s="10"/>
    </row>
    <row r="20" spans="3:20">
      <c r="G20" s="10"/>
      <c r="H20" s="10"/>
      <c r="I20" s="10"/>
      <c r="J20" s="10"/>
      <c r="K20" s="10"/>
      <c r="L20" s="10"/>
      <c r="M20" s="39"/>
      <c r="N20" s="39"/>
      <c r="O20" s="10"/>
      <c r="P20" s="10"/>
      <c r="Q20" s="10"/>
      <c r="R20" s="10"/>
      <c r="S20" s="10"/>
      <c r="T20" s="10"/>
    </row>
    <row r="21" spans="3:20" ht="15.6">
      <c r="C21" s="12" t="s">
        <v>154</v>
      </c>
      <c r="D21" s="13"/>
      <c r="E21" s="13"/>
      <c r="F21" s="13"/>
      <c r="G21" s="31">
        <f>SUM(G7:G19)</f>
        <v>5261.8799999999992</v>
      </c>
      <c r="H21" s="31">
        <f>SUM(H7:H19)</f>
        <v>4850.4100000000008</v>
      </c>
      <c r="I21" s="31">
        <f t="shared" ref="I21" si="0">SUM(I7:I19)</f>
        <v>4473.75</v>
      </c>
      <c r="J21" s="31">
        <f>SUM(J7:J19)</f>
        <v>6071.1899999999987</v>
      </c>
      <c r="K21" s="31">
        <f>SUM(K7:K19)</f>
        <v>7967.69</v>
      </c>
      <c r="L21" s="31">
        <f>SUM(L7:L19)</f>
        <v>9405.41</v>
      </c>
      <c r="M21" s="56"/>
      <c r="N21" s="57"/>
      <c r="O21" s="10"/>
      <c r="P21" s="10"/>
      <c r="Q21" s="10"/>
      <c r="R21" s="10"/>
      <c r="S21" s="10"/>
      <c r="T21" s="10"/>
    </row>
    <row r="22" spans="3:20">
      <c r="G22" s="10"/>
      <c r="H22" s="10"/>
      <c r="I22" s="10"/>
      <c r="J22" s="10"/>
      <c r="K22" s="10"/>
      <c r="L22" s="10"/>
      <c r="M22" s="39"/>
      <c r="N22" s="39"/>
      <c r="O22" s="10"/>
      <c r="P22" s="10"/>
      <c r="Q22" s="10"/>
      <c r="R22" s="10"/>
      <c r="S22" s="10"/>
      <c r="T22" s="10"/>
    </row>
    <row r="23" spans="3:20">
      <c r="G23" s="10"/>
      <c r="H23" s="10"/>
      <c r="I23" s="10"/>
      <c r="J23" s="10"/>
      <c r="K23" s="10"/>
      <c r="L23" s="10"/>
      <c r="M23" s="39"/>
      <c r="N23" s="39"/>
      <c r="O23" s="10"/>
      <c r="P23" s="10"/>
      <c r="Q23" s="10"/>
      <c r="R23" s="10"/>
      <c r="S23" s="10"/>
      <c r="T23" s="10"/>
    </row>
    <row r="24" spans="3:20" ht="15.6">
      <c r="C24" s="3" t="s">
        <v>119</v>
      </c>
      <c r="G24" s="10"/>
      <c r="H24" s="10"/>
      <c r="I24" s="10"/>
      <c r="J24" s="10"/>
      <c r="K24" s="10"/>
      <c r="L24" s="10"/>
      <c r="M24" s="39"/>
      <c r="N24" s="39"/>
      <c r="O24" s="10"/>
      <c r="P24" s="10"/>
      <c r="Q24" s="10"/>
      <c r="R24" s="10"/>
      <c r="S24" s="10"/>
      <c r="T24" s="10"/>
    </row>
    <row r="25" spans="3:20">
      <c r="C25" s="2" t="s">
        <v>120</v>
      </c>
      <c r="G25" s="54">
        <v>1256.18</v>
      </c>
      <c r="H25" s="54">
        <v>1300.53</v>
      </c>
      <c r="I25" s="54">
        <v>1379.57</v>
      </c>
      <c r="J25" s="54">
        <v>1734.28</v>
      </c>
      <c r="K25" s="54">
        <v>1911.37</v>
      </c>
      <c r="L25" s="54">
        <v>2024.2</v>
      </c>
      <c r="M25" s="55"/>
      <c r="N25" s="55"/>
      <c r="O25" s="10"/>
      <c r="P25" s="10"/>
      <c r="Q25" s="10"/>
      <c r="R25" s="10"/>
      <c r="S25" s="10"/>
      <c r="T25" s="10"/>
    </row>
    <row r="26" spans="3:20">
      <c r="C26" s="2" t="s">
        <v>111</v>
      </c>
      <c r="G26" s="54"/>
      <c r="H26" s="54"/>
      <c r="I26" s="54"/>
      <c r="J26" s="54"/>
      <c r="K26" s="54"/>
      <c r="N26" s="55"/>
      <c r="O26" s="10"/>
      <c r="P26" s="10"/>
      <c r="Q26" s="10"/>
      <c r="R26" s="10"/>
      <c r="S26" s="10"/>
      <c r="T26" s="10"/>
    </row>
    <row r="27" spans="3:20">
      <c r="D27" s="2" t="s">
        <v>121</v>
      </c>
      <c r="G27" s="54">
        <v>713.39</v>
      </c>
      <c r="H27" s="54">
        <v>725.41</v>
      </c>
      <c r="I27" s="54">
        <v>1391.03</v>
      </c>
      <c r="J27" s="54">
        <v>746.01</v>
      </c>
      <c r="K27" s="54">
        <v>854.56</v>
      </c>
      <c r="L27" s="54">
        <v>736.47</v>
      </c>
      <c r="M27" s="55"/>
      <c r="N27" s="55"/>
      <c r="O27" s="10"/>
      <c r="P27" s="10"/>
      <c r="Q27" s="10"/>
      <c r="R27" s="10"/>
      <c r="S27" s="10"/>
      <c r="T27" s="10"/>
    </row>
    <row r="28" spans="3:20">
      <c r="D28" s="2" t="s">
        <v>122</v>
      </c>
      <c r="G28" s="54">
        <v>706.08</v>
      </c>
      <c r="H28" s="54">
        <v>833.56</v>
      </c>
      <c r="I28" s="54">
        <v>813.89</v>
      </c>
      <c r="J28" s="54">
        <v>561.58000000000004</v>
      </c>
      <c r="K28" s="54">
        <v>646.15</v>
      </c>
      <c r="L28" s="54">
        <v>848.75</v>
      </c>
      <c r="M28" s="55"/>
      <c r="N28" s="55"/>
      <c r="O28" s="10"/>
      <c r="P28" s="10"/>
      <c r="Q28" s="10"/>
      <c r="R28" s="10"/>
      <c r="S28" s="10"/>
      <c r="T28" s="10"/>
    </row>
    <row r="29" spans="3:20">
      <c r="D29" s="2" t="s">
        <v>186</v>
      </c>
      <c r="G29" s="54">
        <v>153.80000000000001</v>
      </c>
      <c r="H29" s="54">
        <v>107.69</v>
      </c>
      <c r="I29" s="54">
        <v>163.94</v>
      </c>
      <c r="J29" s="54">
        <v>241.23</v>
      </c>
      <c r="K29" s="54">
        <v>255.91</v>
      </c>
      <c r="L29" s="54">
        <v>146.82</v>
      </c>
      <c r="M29" s="55"/>
      <c r="N29" s="55"/>
      <c r="O29" s="10"/>
      <c r="P29" s="10"/>
      <c r="Q29" s="10"/>
      <c r="R29" s="10"/>
      <c r="S29" s="10"/>
      <c r="T29" s="10"/>
    </row>
    <row r="30" spans="3:20">
      <c r="D30" s="2" t="s">
        <v>123</v>
      </c>
      <c r="G30" s="54">
        <v>152.26</v>
      </c>
      <c r="H30" s="54">
        <v>220.47</v>
      </c>
      <c r="I30" s="54">
        <v>647.42999999999995</v>
      </c>
      <c r="J30" s="54">
        <v>1087.8</v>
      </c>
      <c r="K30" s="54">
        <v>314.23</v>
      </c>
      <c r="L30" s="54">
        <v>179.1</v>
      </c>
      <c r="M30" s="55"/>
      <c r="N30" s="55"/>
      <c r="O30" s="10"/>
      <c r="P30" s="10"/>
      <c r="Q30" s="10"/>
      <c r="R30" s="10"/>
      <c r="S30" s="10"/>
      <c r="T30" s="10"/>
    </row>
    <row r="31" spans="3:20">
      <c r="D31" s="2" t="s">
        <v>124</v>
      </c>
      <c r="G31" s="54">
        <v>34.880000000000003</v>
      </c>
      <c r="H31" s="54">
        <v>11.04</v>
      </c>
      <c r="I31" s="54">
        <v>13.07</v>
      </c>
      <c r="J31" s="54">
        <v>14.46</v>
      </c>
      <c r="K31" s="54">
        <v>0</v>
      </c>
      <c r="L31" s="54">
        <v>0</v>
      </c>
      <c r="M31" s="55"/>
      <c r="N31" s="55"/>
      <c r="O31" s="10"/>
      <c r="P31" s="10"/>
      <c r="Q31" s="10"/>
      <c r="R31" s="10"/>
      <c r="S31" s="10"/>
      <c r="T31" s="10"/>
    </row>
    <row r="32" spans="3:20">
      <c r="D32" s="2" t="s">
        <v>125</v>
      </c>
      <c r="G32" s="54">
        <v>28.27</v>
      </c>
      <c r="H32" s="54">
        <v>26.47</v>
      </c>
      <c r="I32" s="54">
        <v>2.62</v>
      </c>
      <c r="J32" s="54">
        <v>2.95</v>
      </c>
      <c r="K32" s="54">
        <v>36.21</v>
      </c>
      <c r="L32" s="54">
        <v>28.97</v>
      </c>
      <c r="M32" s="55"/>
      <c r="N32" s="55"/>
      <c r="O32" s="10"/>
      <c r="P32" s="10"/>
      <c r="Q32" s="10"/>
      <c r="R32" s="10"/>
      <c r="S32" s="10"/>
      <c r="T32" s="10"/>
    </row>
    <row r="33" spans="2:20">
      <c r="B33" s="15"/>
      <c r="C33" s="2" t="s">
        <v>128</v>
      </c>
      <c r="G33" s="54">
        <v>1.96</v>
      </c>
      <c r="H33" s="54">
        <v>1.32</v>
      </c>
      <c r="I33" s="54">
        <v>0.88</v>
      </c>
      <c r="J33" s="54">
        <v>0.24</v>
      </c>
      <c r="K33" s="54">
        <v>0.64</v>
      </c>
      <c r="L33" s="54">
        <v>6.43</v>
      </c>
      <c r="M33" s="55"/>
      <c r="N33" s="55"/>
      <c r="O33" s="10"/>
      <c r="P33" s="10"/>
      <c r="Q33" s="10"/>
      <c r="R33" s="10"/>
      <c r="S33" s="10"/>
      <c r="T33" s="10"/>
    </row>
    <row r="34" spans="2:20">
      <c r="C34" s="2" t="s">
        <v>126</v>
      </c>
      <c r="G34" s="54">
        <v>391.01</v>
      </c>
      <c r="H34" s="54">
        <v>359.5</v>
      </c>
      <c r="I34" s="54">
        <v>467.56</v>
      </c>
      <c r="J34" s="54">
        <v>387.12</v>
      </c>
      <c r="K34" s="54">
        <v>297.47000000000003</v>
      </c>
      <c r="L34" s="54">
        <v>278.22000000000003</v>
      </c>
      <c r="M34" s="55"/>
      <c r="N34" s="55"/>
      <c r="O34" s="10"/>
      <c r="P34" s="10"/>
      <c r="Q34" s="10"/>
      <c r="R34" s="10"/>
      <c r="S34" s="10"/>
      <c r="T34" s="10"/>
    </row>
    <row r="35" spans="2:20">
      <c r="C35" s="2" t="s">
        <v>127</v>
      </c>
      <c r="G35" s="54">
        <v>1.92</v>
      </c>
      <c r="H35" s="54">
        <v>0.24</v>
      </c>
      <c r="I35" s="54">
        <v>0.27</v>
      </c>
      <c r="J35" s="54">
        <v>0.27</v>
      </c>
      <c r="K35" s="54">
        <v>0.3</v>
      </c>
      <c r="L35" s="54">
        <v>0</v>
      </c>
      <c r="M35" s="55"/>
      <c r="N35" s="55"/>
      <c r="O35" s="10"/>
      <c r="P35" s="10"/>
      <c r="Q35" s="10"/>
      <c r="R35" s="10"/>
      <c r="S35" s="10"/>
      <c r="T35" s="10"/>
    </row>
    <row r="36" spans="2:20">
      <c r="G36" s="10"/>
      <c r="H36" s="10"/>
      <c r="I36" s="10"/>
      <c r="J36" s="10"/>
      <c r="K36" s="10"/>
      <c r="L36" s="10"/>
      <c r="M36" s="39"/>
      <c r="N36" s="39"/>
      <c r="O36" s="10"/>
      <c r="P36" s="10"/>
      <c r="Q36" s="10"/>
      <c r="R36" s="10"/>
      <c r="S36" s="10"/>
      <c r="T36" s="10"/>
    </row>
    <row r="37" spans="2:20" ht="15.6">
      <c r="C37" s="12" t="s">
        <v>153</v>
      </c>
      <c r="D37" s="13"/>
      <c r="E37" s="13"/>
      <c r="F37" s="13"/>
      <c r="G37" s="31">
        <f>SUM(G25:G35)</f>
        <v>3439.75</v>
      </c>
      <c r="H37" s="31">
        <f>SUM(H25:H35)</f>
        <v>3586.2299999999996</v>
      </c>
      <c r="I37" s="31">
        <f>SUM(I25:I35)</f>
        <v>4880.26</v>
      </c>
      <c r="J37" s="31">
        <f>SUM(J25:J35)</f>
        <v>4775.9399999999996</v>
      </c>
      <c r="K37" s="31">
        <f t="shared" ref="K37:L37" si="1">SUM(K25:K35)</f>
        <v>4316.84</v>
      </c>
      <c r="L37" s="31">
        <f t="shared" si="1"/>
        <v>4248.96</v>
      </c>
      <c r="M37" s="56"/>
      <c r="N37" s="56"/>
      <c r="O37" s="10"/>
      <c r="P37" s="10"/>
      <c r="Q37" s="10"/>
      <c r="R37" s="10"/>
      <c r="S37" s="10"/>
      <c r="T37" s="10"/>
    </row>
    <row r="38" spans="2:20">
      <c r="G38" s="10"/>
      <c r="H38" s="10"/>
      <c r="I38" s="10"/>
      <c r="J38" s="10"/>
      <c r="K38" s="10"/>
      <c r="L38" s="10"/>
      <c r="M38" s="39"/>
      <c r="N38" s="39"/>
      <c r="O38" s="10"/>
      <c r="P38" s="10"/>
      <c r="Q38" s="10"/>
      <c r="R38" s="10"/>
      <c r="S38" s="10"/>
      <c r="T38" s="10"/>
    </row>
    <row r="39" spans="2:20">
      <c r="G39" s="10"/>
      <c r="H39" s="10"/>
      <c r="I39" s="10"/>
      <c r="J39" s="10"/>
      <c r="K39" s="10"/>
      <c r="L39" s="10"/>
      <c r="M39" s="39"/>
      <c r="N39" s="39"/>
      <c r="O39" s="10"/>
      <c r="P39" s="10"/>
      <c r="Q39" s="10"/>
      <c r="R39" s="10"/>
      <c r="S39" s="10"/>
      <c r="T39" s="10"/>
    </row>
    <row r="40" spans="2:20" ht="15.6">
      <c r="C40" s="12" t="s">
        <v>129</v>
      </c>
      <c r="D40" s="13"/>
      <c r="E40" s="13"/>
      <c r="F40" s="13"/>
      <c r="G40" s="31">
        <f>G21+G37</f>
        <v>8701.6299999999992</v>
      </c>
      <c r="H40" s="31">
        <f t="shared" ref="H40:L40" si="2">H21+H37</f>
        <v>8436.64</v>
      </c>
      <c r="I40" s="31">
        <f t="shared" si="2"/>
        <v>9354.01</v>
      </c>
      <c r="J40" s="31">
        <f t="shared" si="2"/>
        <v>10847.129999999997</v>
      </c>
      <c r="K40" s="31">
        <f t="shared" si="2"/>
        <v>12284.529999999999</v>
      </c>
      <c r="L40" s="31">
        <f t="shared" si="2"/>
        <v>13654.369999999999</v>
      </c>
      <c r="M40" s="56"/>
      <c r="N40" s="56"/>
      <c r="O40" s="10"/>
      <c r="P40" s="10"/>
      <c r="Q40" s="10"/>
      <c r="R40" s="10"/>
      <c r="S40" s="10"/>
      <c r="T40" s="10"/>
    </row>
    <row r="41" spans="2:20">
      <c r="G41" s="10"/>
      <c r="H41" s="10"/>
      <c r="I41" s="10"/>
      <c r="J41" s="10"/>
      <c r="K41" s="10"/>
      <c r="L41" s="10"/>
      <c r="M41" s="39"/>
      <c r="N41" s="39"/>
      <c r="O41" s="10"/>
      <c r="P41" s="10"/>
      <c r="Q41" s="10"/>
      <c r="R41" s="10"/>
      <c r="S41" s="10"/>
      <c r="T41" s="10"/>
    </row>
    <row r="42" spans="2:20" ht="15.6">
      <c r="B42" s="3" t="s">
        <v>130</v>
      </c>
      <c r="G42" s="10"/>
      <c r="H42" s="10"/>
      <c r="I42" s="10"/>
      <c r="J42" s="10"/>
      <c r="K42" s="10"/>
      <c r="L42" s="10"/>
      <c r="M42" s="39"/>
      <c r="N42" s="39"/>
      <c r="O42" s="10"/>
      <c r="P42" s="10"/>
      <c r="Q42" s="10"/>
      <c r="R42" s="10"/>
      <c r="S42" s="10"/>
      <c r="T42" s="10"/>
    </row>
    <row r="43" spans="2:20">
      <c r="G43" s="10"/>
      <c r="H43" s="10"/>
      <c r="I43" s="10"/>
      <c r="J43" s="10"/>
      <c r="K43" s="10"/>
      <c r="L43" s="10"/>
      <c r="M43" s="39"/>
      <c r="N43" s="39"/>
      <c r="O43" s="10"/>
      <c r="P43" s="10"/>
      <c r="Q43" s="10"/>
      <c r="R43" s="10"/>
      <c r="S43" s="10"/>
      <c r="T43" s="10"/>
    </row>
    <row r="44" spans="2:20" ht="15.6">
      <c r="C44" s="3" t="s">
        <v>131</v>
      </c>
      <c r="G44" s="54"/>
      <c r="H44" s="54"/>
      <c r="I44" s="54"/>
      <c r="J44" s="54"/>
      <c r="K44" s="54"/>
      <c r="L44" s="54"/>
      <c r="M44" s="55"/>
      <c r="N44" s="39"/>
      <c r="O44" s="10"/>
      <c r="P44" s="10"/>
      <c r="Q44" s="10"/>
      <c r="R44" s="10"/>
      <c r="S44" s="10"/>
      <c r="T44" s="10"/>
    </row>
    <row r="45" spans="2:20">
      <c r="C45" s="2" t="s">
        <v>132</v>
      </c>
      <c r="G45" s="54">
        <v>176.15</v>
      </c>
      <c r="H45" s="54">
        <v>176.63</v>
      </c>
      <c r="I45" s="54">
        <v>176.71</v>
      </c>
      <c r="J45" s="54">
        <v>176.74</v>
      </c>
      <c r="K45" s="54">
        <v>176.79</v>
      </c>
      <c r="L45" s="54">
        <v>177.18</v>
      </c>
      <c r="M45" s="55"/>
      <c r="N45" s="58"/>
      <c r="O45" s="10"/>
      <c r="P45" s="10"/>
      <c r="Q45" s="10"/>
      <c r="R45" s="10"/>
      <c r="S45" s="10"/>
      <c r="T45" s="10"/>
    </row>
    <row r="46" spans="2:20">
      <c r="C46" s="2" t="s">
        <v>402</v>
      </c>
      <c r="G46" s="54">
        <v>5530.37</v>
      </c>
      <c r="H46" s="54">
        <v>5455.05</v>
      </c>
      <c r="I46" s="54">
        <v>6429.04</v>
      </c>
      <c r="J46" s="54">
        <v>7486.79</v>
      </c>
      <c r="K46" s="54">
        <v>8204.51</v>
      </c>
      <c r="L46" s="54">
        <v>8796.08</v>
      </c>
      <c r="M46" s="55"/>
      <c r="N46" s="58"/>
      <c r="O46" s="10"/>
      <c r="P46" s="10"/>
      <c r="Q46" s="10"/>
      <c r="R46" s="10"/>
      <c r="S46" s="10"/>
      <c r="T46" s="10"/>
    </row>
    <row r="47" spans="2:20">
      <c r="C47" s="2" t="s">
        <v>156</v>
      </c>
      <c r="G47" s="15">
        <v>26.53</v>
      </c>
      <c r="H47" s="15">
        <v>31.38</v>
      </c>
      <c r="I47" s="15">
        <v>36.46</v>
      </c>
      <c r="J47" s="15">
        <v>36.69</v>
      </c>
      <c r="K47" s="15">
        <v>40.549999999999997</v>
      </c>
      <c r="L47" s="15">
        <v>468.17</v>
      </c>
      <c r="M47" s="58"/>
      <c r="N47" s="58"/>
      <c r="O47" s="10"/>
      <c r="P47" s="10"/>
      <c r="Q47" s="10"/>
      <c r="R47" s="10"/>
      <c r="S47" s="10"/>
      <c r="T47" s="10"/>
    </row>
    <row r="48" spans="2:20" ht="15.6">
      <c r="C48" s="12" t="s">
        <v>134</v>
      </c>
      <c r="D48" s="13"/>
      <c r="E48" s="13"/>
      <c r="F48" s="13"/>
      <c r="G48" s="31">
        <f>G45+G46+G47</f>
        <v>5733.0499999999993</v>
      </c>
      <c r="H48" s="31">
        <f t="shared" ref="H48:L48" si="3">H45+H46+H47</f>
        <v>5663.06</v>
      </c>
      <c r="I48" s="31">
        <f t="shared" si="3"/>
        <v>6642.21</v>
      </c>
      <c r="J48" s="31">
        <f t="shared" si="3"/>
        <v>7700.2199999999993</v>
      </c>
      <c r="K48" s="31">
        <f t="shared" si="3"/>
        <v>8421.85</v>
      </c>
      <c r="L48" s="31">
        <f t="shared" si="3"/>
        <v>9441.43</v>
      </c>
      <c r="M48" s="56"/>
      <c r="N48" s="56"/>
      <c r="O48" s="10"/>
      <c r="P48" s="10"/>
      <c r="Q48" s="10"/>
      <c r="R48" s="10"/>
      <c r="S48" s="10"/>
      <c r="T48" s="10"/>
    </row>
    <row r="49" spans="3:20">
      <c r="G49" s="10"/>
      <c r="H49" s="10"/>
      <c r="I49" s="10"/>
      <c r="J49" s="10"/>
      <c r="K49" s="10"/>
      <c r="L49" s="10"/>
      <c r="M49" s="39"/>
      <c r="N49" s="39"/>
      <c r="O49" s="10"/>
      <c r="P49" s="10"/>
      <c r="Q49" s="10"/>
      <c r="R49" s="10"/>
      <c r="S49" s="10"/>
      <c r="T49" s="10"/>
    </row>
    <row r="50" spans="3:20" ht="15.6">
      <c r="C50" s="3" t="s">
        <v>135</v>
      </c>
      <c r="G50" s="10"/>
      <c r="H50" s="10"/>
      <c r="I50" s="10"/>
      <c r="J50" s="10"/>
      <c r="K50" s="10"/>
      <c r="L50" s="10"/>
      <c r="M50" s="39"/>
      <c r="N50" s="39"/>
      <c r="O50" s="10"/>
      <c r="P50" s="10"/>
      <c r="Q50" s="10"/>
      <c r="R50" s="10"/>
      <c r="S50" s="10"/>
      <c r="T50" s="10"/>
    </row>
    <row r="51" spans="3:20">
      <c r="C51" s="2" t="s">
        <v>138</v>
      </c>
      <c r="G51" s="54"/>
      <c r="H51" s="54"/>
      <c r="I51" s="54"/>
      <c r="J51" s="54"/>
      <c r="K51" s="54"/>
      <c r="L51" s="15"/>
      <c r="M51" s="58"/>
      <c r="N51" s="58"/>
      <c r="O51" s="10"/>
      <c r="P51" s="10"/>
      <c r="Q51" s="10"/>
      <c r="R51" s="10"/>
      <c r="S51" s="10"/>
      <c r="T51" s="10"/>
    </row>
    <row r="52" spans="3:20">
      <c r="D52" s="2" t="s">
        <v>136</v>
      </c>
      <c r="G52" s="54">
        <v>364.34</v>
      </c>
      <c r="H52" s="54">
        <v>26.05</v>
      </c>
      <c r="I52" s="54">
        <v>162.88999999999999</v>
      </c>
      <c r="J52" s="54">
        <v>134.13</v>
      </c>
      <c r="K52" s="54">
        <v>250.36</v>
      </c>
      <c r="L52" s="15">
        <v>298.83999999999997</v>
      </c>
      <c r="M52" s="58"/>
      <c r="N52" s="58"/>
      <c r="O52" s="10"/>
      <c r="P52" s="10"/>
      <c r="Q52" s="10"/>
      <c r="R52" s="10"/>
      <c r="S52" s="10"/>
      <c r="T52" s="10"/>
    </row>
    <row r="53" spans="3:20">
      <c r="D53" s="2" t="s">
        <v>137</v>
      </c>
      <c r="G53" s="54">
        <v>4.25</v>
      </c>
      <c r="H53" s="54">
        <v>4.5599999999999996</v>
      </c>
      <c r="I53" s="54">
        <v>4.66</v>
      </c>
      <c r="J53" s="54">
        <v>1.37</v>
      </c>
      <c r="K53" s="54">
        <v>4.25</v>
      </c>
      <c r="L53" s="15">
        <v>4.95</v>
      </c>
      <c r="M53" s="58"/>
      <c r="N53" s="58"/>
      <c r="O53" s="10"/>
      <c r="P53" s="10"/>
      <c r="Q53" s="10"/>
      <c r="R53" s="10"/>
      <c r="S53" s="10"/>
      <c r="T53" s="10"/>
    </row>
    <row r="54" spans="3:20">
      <c r="D54" s="2" t="s">
        <v>217</v>
      </c>
      <c r="G54" s="54">
        <v>0</v>
      </c>
      <c r="H54" s="54">
        <v>0</v>
      </c>
      <c r="I54" s="54">
        <v>0</v>
      </c>
      <c r="J54" s="54">
        <v>0</v>
      </c>
      <c r="K54" s="54">
        <v>139.58000000000001</v>
      </c>
      <c r="L54" s="15">
        <v>144.36000000000001</v>
      </c>
      <c r="M54" s="58"/>
      <c r="N54" s="58"/>
      <c r="O54" s="10"/>
      <c r="P54" s="10"/>
      <c r="Q54" s="10"/>
      <c r="R54" s="10"/>
      <c r="S54" s="10"/>
      <c r="T54" s="10"/>
    </row>
    <row r="55" spans="3:20">
      <c r="C55" s="2" t="s">
        <v>139</v>
      </c>
      <c r="G55" s="54">
        <v>56.5</v>
      </c>
      <c r="H55" s="54">
        <v>59.52</v>
      </c>
      <c r="I55" s="54">
        <v>62.94</v>
      </c>
      <c r="J55" s="54">
        <v>63.31</v>
      </c>
      <c r="K55" s="54">
        <v>63.68</v>
      </c>
      <c r="L55" s="15">
        <v>64.37</v>
      </c>
      <c r="M55" s="58"/>
      <c r="N55" s="58"/>
      <c r="O55" s="10"/>
      <c r="P55" s="10"/>
      <c r="Q55" s="10"/>
      <c r="R55" s="10"/>
      <c r="S55" s="10"/>
      <c r="T55" s="10"/>
    </row>
    <row r="56" spans="3:20">
      <c r="C56" s="2" t="s">
        <v>140</v>
      </c>
      <c r="G56" s="54">
        <v>109.05</v>
      </c>
      <c r="H56" s="54">
        <v>23.14</v>
      </c>
      <c r="I56" s="54">
        <v>17.43</v>
      </c>
      <c r="J56" s="54">
        <v>13.91</v>
      </c>
      <c r="K56" s="54">
        <v>82.27</v>
      </c>
      <c r="L56" s="15">
        <v>90.99</v>
      </c>
      <c r="M56" s="58"/>
      <c r="N56" s="58"/>
      <c r="O56" s="10"/>
      <c r="P56" s="10"/>
      <c r="Q56" s="10"/>
      <c r="R56" s="10"/>
      <c r="S56" s="10"/>
      <c r="T56" s="10"/>
    </row>
    <row r="57" spans="3:20">
      <c r="G57" s="10"/>
      <c r="H57" s="10"/>
      <c r="I57" s="10"/>
      <c r="J57" s="10"/>
      <c r="K57" s="10"/>
      <c r="L57" s="10"/>
      <c r="M57" s="39"/>
      <c r="N57" s="39"/>
      <c r="O57" s="10"/>
      <c r="P57" s="10"/>
      <c r="Q57" s="10"/>
      <c r="R57" s="10"/>
      <c r="S57" s="10"/>
      <c r="T57" s="10"/>
    </row>
    <row r="58" spans="3:20" ht="15.6">
      <c r="C58" s="12" t="s">
        <v>141</v>
      </c>
      <c r="D58" s="13"/>
      <c r="E58" s="13"/>
      <c r="F58" s="13"/>
      <c r="G58" s="31">
        <f>SUM(G52:G56)</f>
        <v>534.14</v>
      </c>
      <c r="H58" s="31">
        <f t="shared" ref="H58:L58" si="4">SUM(H52:H56)</f>
        <v>113.27</v>
      </c>
      <c r="I58" s="31">
        <f t="shared" si="4"/>
        <v>247.92</v>
      </c>
      <c r="J58" s="31">
        <f t="shared" si="4"/>
        <v>212.72</v>
      </c>
      <c r="K58" s="31">
        <f>SUM(K52:K56)</f>
        <v>540.1400000000001</v>
      </c>
      <c r="L58" s="31">
        <f t="shared" si="4"/>
        <v>603.51</v>
      </c>
      <c r="M58" s="56"/>
      <c r="N58" s="56"/>
      <c r="O58" s="10"/>
      <c r="P58" s="10"/>
      <c r="Q58" s="10"/>
      <c r="R58" s="10"/>
      <c r="S58" s="10"/>
      <c r="T58" s="10"/>
    </row>
    <row r="59" spans="3:20">
      <c r="G59" s="10"/>
      <c r="H59" s="10"/>
      <c r="I59" s="10"/>
      <c r="J59" s="10"/>
      <c r="K59" s="10"/>
      <c r="L59" s="10"/>
      <c r="M59" s="39"/>
      <c r="N59" s="39"/>
      <c r="O59" s="10"/>
      <c r="P59" s="10"/>
      <c r="Q59" s="10"/>
      <c r="R59" s="10"/>
      <c r="S59" s="10"/>
      <c r="T59" s="10"/>
    </row>
    <row r="60" spans="3:20" ht="15.6">
      <c r="C60" s="3" t="s">
        <v>142</v>
      </c>
      <c r="G60" s="10"/>
      <c r="H60" s="10"/>
      <c r="I60" s="10"/>
      <c r="J60" s="10"/>
      <c r="K60" s="10"/>
      <c r="L60" s="10"/>
      <c r="M60" s="39"/>
      <c r="N60" s="39"/>
      <c r="O60" s="10"/>
      <c r="P60" s="10"/>
      <c r="Q60" s="10"/>
      <c r="R60" s="10"/>
      <c r="S60" s="10"/>
      <c r="T60" s="10"/>
    </row>
    <row r="61" spans="3:20">
      <c r="C61" s="2" t="s">
        <v>143</v>
      </c>
      <c r="G61" s="10"/>
      <c r="H61" s="15"/>
      <c r="I61" s="15"/>
      <c r="J61" s="15"/>
      <c r="K61" s="15"/>
      <c r="L61" s="15"/>
      <c r="M61" s="58"/>
      <c r="N61" s="58"/>
      <c r="O61" s="10"/>
      <c r="P61" s="10"/>
      <c r="Q61" s="10"/>
      <c r="R61" s="10"/>
      <c r="S61" s="10"/>
      <c r="T61" s="10"/>
    </row>
    <row r="62" spans="3:20">
      <c r="D62" s="2" t="s">
        <v>144</v>
      </c>
      <c r="G62" s="54">
        <v>464.49</v>
      </c>
      <c r="H62" s="54">
        <v>498.23</v>
      </c>
      <c r="I62" s="54">
        <v>304.24</v>
      </c>
      <c r="J62" s="54">
        <v>349.14</v>
      </c>
      <c r="K62" s="54">
        <v>617.29</v>
      </c>
      <c r="L62" s="15">
        <v>700.18</v>
      </c>
      <c r="M62" s="58"/>
      <c r="N62" s="58"/>
      <c r="O62" s="10"/>
      <c r="P62" s="10"/>
      <c r="Q62" s="10"/>
      <c r="R62" s="10"/>
      <c r="S62" s="10"/>
      <c r="T62" s="10"/>
    </row>
    <row r="63" spans="3:20">
      <c r="D63" s="2" t="s">
        <v>145</v>
      </c>
      <c r="G63" s="54"/>
      <c r="H63" s="54"/>
      <c r="I63" s="54"/>
      <c r="J63" s="54"/>
      <c r="K63" s="54"/>
      <c r="N63" s="58"/>
      <c r="O63" s="10"/>
      <c r="P63" s="10"/>
      <c r="Q63" s="10"/>
      <c r="R63" s="10"/>
      <c r="S63" s="10"/>
      <c r="T63" s="10"/>
    </row>
    <row r="64" spans="3:20">
      <c r="E64" s="2" t="s">
        <v>146</v>
      </c>
      <c r="G64" s="54">
        <v>7.37</v>
      </c>
      <c r="H64" s="54">
        <v>54.61</v>
      </c>
      <c r="I64" s="54">
        <v>44.74</v>
      </c>
      <c r="J64" s="54">
        <v>117.87</v>
      </c>
      <c r="K64" s="54">
        <v>147.22</v>
      </c>
      <c r="L64" s="15">
        <v>165.24</v>
      </c>
      <c r="M64" s="58"/>
      <c r="N64" s="58"/>
      <c r="O64" s="10"/>
      <c r="P64" s="10"/>
      <c r="Q64" s="10"/>
      <c r="R64" s="10"/>
      <c r="S64" s="10"/>
      <c r="T64" s="10"/>
    </row>
    <row r="65" spans="2:20">
      <c r="E65" s="2" t="s">
        <v>147</v>
      </c>
      <c r="G65" s="54">
        <v>1402.95</v>
      </c>
      <c r="H65" s="54">
        <v>1400.82</v>
      </c>
      <c r="I65" s="54">
        <v>1437.41</v>
      </c>
      <c r="J65" s="54">
        <v>1797.39</v>
      </c>
      <c r="K65" s="54">
        <v>1870.73</v>
      </c>
      <c r="L65" s="15">
        <v>2021.37</v>
      </c>
      <c r="M65" s="58"/>
      <c r="N65" s="58"/>
      <c r="O65" s="10"/>
      <c r="P65" s="10"/>
      <c r="Q65" s="10"/>
      <c r="R65" s="10"/>
      <c r="S65" s="10"/>
      <c r="T65" s="10"/>
    </row>
    <row r="66" spans="2:20">
      <c r="D66" s="2" t="s">
        <v>148</v>
      </c>
      <c r="G66" s="54">
        <v>238.2</v>
      </c>
      <c r="H66" s="54">
        <v>327.62</v>
      </c>
      <c r="I66" s="54">
        <v>225.52</v>
      </c>
      <c r="J66" s="54">
        <v>238.93</v>
      </c>
      <c r="K66" s="54">
        <v>251.95</v>
      </c>
      <c r="L66" s="15">
        <v>279.83999999999997</v>
      </c>
      <c r="M66" s="58"/>
      <c r="N66" s="58"/>
      <c r="O66" s="10"/>
      <c r="P66" s="10"/>
      <c r="Q66" s="10"/>
      <c r="R66" s="10"/>
      <c r="S66" s="10"/>
      <c r="T66" s="10"/>
    </row>
    <row r="67" spans="2:20">
      <c r="D67" s="2" t="s">
        <v>218</v>
      </c>
      <c r="G67" s="54">
        <v>0</v>
      </c>
      <c r="H67" s="54">
        <v>0</v>
      </c>
      <c r="I67" s="54">
        <v>0</v>
      </c>
      <c r="J67" s="54">
        <v>0</v>
      </c>
      <c r="K67" s="54">
        <v>22.87</v>
      </c>
      <c r="L67" s="15">
        <v>30.41</v>
      </c>
      <c r="M67" s="58"/>
      <c r="N67" s="58"/>
      <c r="O67" s="10"/>
      <c r="P67" s="10"/>
      <c r="Q67" s="10"/>
      <c r="R67" s="10"/>
      <c r="S67" s="10"/>
      <c r="T67" s="10"/>
    </row>
    <row r="68" spans="2:20">
      <c r="C68" s="2" t="s">
        <v>149</v>
      </c>
      <c r="G68" s="54">
        <v>173.03</v>
      </c>
      <c r="H68" s="54">
        <v>198.14</v>
      </c>
      <c r="I68" s="54">
        <v>239.78</v>
      </c>
      <c r="J68" s="54">
        <v>158.44</v>
      </c>
      <c r="K68" s="54">
        <v>91.42</v>
      </c>
      <c r="L68" s="15">
        <v>66.7</v>
      </c>
      <c r="M68" s="58"/>
      <c r="N68" s="58"/>
      <c r="O68" s="10"/>
      <c r="P68" s="10"/>
      <c r="Q68" s="10"/>
      <c r="R68" s="10"/>
      <c r="S68" s="10"/>
      <c r="T68" s="10"/>
    </row>
    <row r="69" spans="2:20">
      <c r="C69" s="2" t="s">
        <v>150</v>
      </c>
      <c r="G69" s="54">
        <v>107.47</v>
      </c>
      <c r="H69" s="54">
        <v>130.24</v>
      </c>
      <c r="I69" s="54">
        <v>165.54</v>
      </c>
      <c r="J69" s="54">
        <v>187.84</v>
      </c>
      <c r="K69" s="54">
        <v>186</v>
      </c>
      <c r="L69" s="15">
        <v>214.01</v>
      </c>
      <c r="M69" s="58"/>
      <c r="N69" s="58"/>
      <c r="O69" s="10"/>
      <c r="P69" s="10"/>
      <c r="Q69" s="10"/>
      <c r="R69" s="10"/>
      <c r="S69" s="10"/>
      <c r="T69" s="10"/>
    </row>
    <row r="70" spans="2:20">
      <c r="C70" s="2" t="s">
        <v>151</v>
      </c>
      <c r="G70" s="54">
        <v>40.93</v>
      </c>
      <c r="H70" s="54">
        <v>50.65</v>
      </c>
      <c r="I70" s="54">
        <v>46.65</v>
      </c>
      <c r="J70" s="54">
        <v>84.58</v>
      </c>
      <c r="K70" s="54">
        <v>135.06</v>
      </c>
      <c r="L70" s="15">
        <v>131.68</v>
      </c>
      <c r="M70" s="58"/>
      <c r="N70" s="58"/>
      <c r="O70" s="10"/>
      <c r="P70" s="10"/>
      <c r="Q70" s="10"/>
      <c r="R70" s="10"/>
      <c r="S70" s="10"/>
      <c r="T70" s="10"/>
    </row>
    <row r="71" spans="2:20">
      <c r="G71" s="10"/>
      <c r="H71" s="10"/>
      <c r="I71" s="10"/>
      <c r="J71" s="10"/>
      <c r="K71" s="10"/>
      <c r="L71" s="10"/>
      <c r="M71" s="39"/>
      <c r="N71" s="39"/>
      <c r="O71" s="10"/>
      <c r="P71" s="10"/>
      <c r="Q71" s="10"/>
      <c r="R71" s="10"/>
      <c r="S71" s="10"/>
      <c r="T71" s="10"/>
    </row>
    <row r="72" spans="2:20" ht="15.6">
      <c r="B72" s="80"/>
      <c r="C72" s="12" t="s">
        <v>152</v>
      </c>
      <c r="D72" s="12"/>
      <c r="E72" s="12"/>
      <c r="F72" s="12"/>
      <c r="G72" s="12">
        <f t="shared" ref="G72:L72" si="5">SUM(G62:G70)</f>
        <v>2434.4399999999996</v>
      </c>
      <c r="H72" s="12">
        <f t="shared" si="5"/>
        <v>2660.31</v>
      </c>
      <c r="I72" s="12">
        <f t="shared" si="5"/>
        <v>2463.88</v>
      </c>
      <c r="J72" s="12">
        <f t="shared" si="5"/>
        <v>2934.19</v>
      </c>
      <c r="K72" s="31">
        <f>SUM(K62:K70)</f>
        <v>3322.5399999999995</v>
      </c>
      <c r="L72" s="12">
        <f t="shared" si="5"/>
        <v>3609.43</v>
      </c>
      <c r="M72" s="125"/>
      <c r="N72" s="56"/>
      <c r="O72" s="10"/>
      <c r="P72" s="10"/>
      <c r="Q72" s="10"/>
      <c r="R72" s="10"/>
      <c r="S72" s="10"/>
      <c r="T72" s="10"/>
    </row>
    <row r="73" spans="2:20">
      <c r="G73" s="10"/>
      <c r="H73" s="10"/>
      <c r="I73" s="10"/>
      <c r="J73" s="10"/>
      <c r="K73" s="10"/>
      <c r="L73" s="10"/>
      <c r="M73" s="39"/>
      <c r="N73" s="39"/>
      <c r="O73" s="10"/>
      <c r="P73" s="10"/>
      <c r="Q73" s="10"/>
      <c r="R73" s="10"/>
      <c r="S73" s="10"/>
      <c r="T73" s="10"/>
    </row>
    <row r="74" spans="2:20" ht="15.6" thickBot="1">
      <c r="G74" s="10"/>
      <c r="H74" s="10"/>
      <c r="I74" s="10"/>
      <c r="J74" s="10"/>
      <c r="K74" s="10"/>
      <c r="L74" s="10"/>
      <c r="M74" s="39"/>
      <c r="N74" s="39"/>
      <c r="O74" s="10"/>
      <c r="P74" s="10"/>
      <c r="Q74" s="10"/>
      <c r="R74" s="10"/>
      <c r="S74" s="10"/>
      <c r="T74" s="10"/>
    </row>
    <row r="75" spans="2:20" ht="16.8" thickTop="1" thickBot="1">
      <c r="C75" s="32" t="s">
        <v>155</v>
      </c>
      <c r="D75" s="33"/>
      <c r="E75" s="33"/>
      <c r="F75" s="33"/>
      <c r="G75" s="34">
        <f t="shared" ref="G75:L75" si="6">G48+G58+G72</f>
        <v>8701.6299999999992</v>
      </c>
      <c r="H75" s="34">
        <f t="shared" si="6"/>
        <v>8436.6400000000012</v>
      </c>
      <c r="I75" s="34">
        <f t="shared" si="6"/>
        <v>9354.01</v>
      </c>
      <c r="J75" s="34">
        <f t="shared" si="6"/>
        <v>10847.13</v>
      </c>
      <c r="K75" s="34">
        <f t="shared" si="6"/>
        <v>12284.529999999999</v>
      </c>
      <c r="L75" s="34">
        <f t="shared" si="6"/>
        <v>13654.37</v>
      </c>
      <c r="M75" s="56"/>
      <c r="N75" s="56"/>
      <c r="O75" s="10"/>
      <c r="P75" s="10"/>
      <c r="Q75" s="10"/>
      <c r="R75" s="10"/>
      <c r="S75" s="10"/>
      <c r="T75" s="10"/>
    </row>
    <row r="76" spans="2:20" ht="15.6" thickTop="1">
      <c r="G76" s="10"/>
      <c r="H76" s="10"/>
      <c r="I76" s="10"/>
      <c r="J76" s="10"/>
      <c r="K76" s="10"/>
      <c r="L76" s="10"/>
      <c r="M76" s="39"/>
      <c r="N76" s="39"/>
      <c r="O76" s="10"/>
      <c r="P76" s="10"/>
      <c r="Q76" s="10"/>
      <c r="R76" s="10"/>
      <c r="S76" s="10"/>
      <c r="T76" s="10"/>
    </row>
    <row r="77" spans="2:20">
      <c r="G77" s="35" t="str">
        <f t="shared" ref="G77:L77" si="7">IF(G75=G40,"OK","ERROR")</f>
        <v>OK</v>
      </c>
      <c r="H77" s="35" t="str">
        <f t="shared" si="7"/>
        <v>OK</v>
      </c>
      <c r="I77" s="35" t="str">
        <f t="shared" si="7"/>
        <v>OK</v>
      </c>
      <c r="J77" s="35" t="str">
        <f t="shared" si="7"/>
        <v>OK</v>
      </c>
      <c r="K77" s="35" t="str">
        <f t="shared" si="7"/>
        <v>OK</v>
      </c>
      <c r="L77" s="35" t="str">
        <f t="shared" si="7"/>
        <v>OK</v>
      </c>
      <c r="M77" s="60"/>
      <c r="N77" s="60"/>
      <c r="O77" s="10"/>
      <c r="P77" s="10"/>
      <c r="Q77" s="10"/>
      <c r="R77" s="10"/>
      <c r="S77" s="10"/>
      <c r="T77" s="10"/>
    </row>
    <row r="78" spans="2:20">
      <c r="G78" s="10"/>
      <c r="H78" s="10"/>
      <c r="I78" s="10"/>
      <c r="J78" s="10"/>
      <c r="K78" s="10"/>
      <c r="L78" s="10"/>
      <c r="M78" s="39"/>
      <c r="N78" s="39"/>
      <c r="O78" s="10"/>
      <c r="P78" s="10"/>
      <c r="Q78" s="10"/>
      <c r="R78" s="10"/>
      <c r="S78" s="10"/>
      <c r="T78" s="10"/>
    </row>
    <row r="79" spans="2:20" ht="15.6">
      <c r="G79" s="10"/>
      <c r="H79" s="10"/>
      <c r="I79" s="21" t="s">
        <v>85</v>
      </c>
      <c r="J79" s="10"/>
      <c r="K79" s="10"/>
      <c r="L79" s="10"/>
      <c r="M79" s="39"/>
      <c r="N79" s="39"/>
      <c r="O79" s="10"/>
      <c r="P79" s="10"/>
      <c r="Q79" s="10"/>
      <c r="R79" s="10"/>
      <c r="S79" s="10"/>
      <c r="T79" s="10"/>
    </row>
    <row r="80" spans="2:20">
      <c r="F80" s="2" t="s">
        <v>249</v>
      </c>
      <c r="H80" s="10">
        <v>1</v>
      </c>
      <c r="I80" s="10" t="s">
        <v>258</v>
      </c>
      <c r="J80" s="10"/>
      <c r="K80" s="10"/>
      <c r="L80" s="10"/>
      <c r="M80" s="39"/>
      <c r="N80" s="39"/>
      <c r="O80" s="10"/>
      <c r="P80" s="10"/>
      <c r="Q80" s="10"/>
      <c r="R80" s="10"/>
      <c r="S80" s="10"/>
      <c r="T80" s="10"/>
    </row>
    <row r="81" spans="2:20">
      <c r="F81" s="2" t="s">
        <v>250</v>
      </c>
      <c r="H81" s="10">
        <v>2</v>
      </c>
      <c r="I81" s="10" t="s">
        <v>259</v>
      </c>
      <c r="J81" s="10"/>
      <c r="K81" s="10"/>
      <c r="L81" s="10"/>
      <c r="M81" s="39"/>
      <c r="N81" s="39"/>
      <c r="O81" s="10"/>
      <c r="P81" s="10"/>
      <c r="Q81" s="10"/>
      <c r="R81" s="10"/>
      <c r="S81" s="10"/>
      <c r="T81" s="10"/>
    </row>
    <row r="82" spans="2:20">
      <c r="F82" s="2" t="s">
        <v>251</v>
      </c>
      <c r="H82" s="10">
        <v>3</v>
      </c>
      <c r="I82" s="10" t="s">
        <v>260</v>
      </c>
      <c r="J82" s="10"/>
      <c r="K82" s="10"/>
      <c r="L82" s="10"/>
      <c r="M82" s="39"/>
      <c r="N82" s="39"/>
      <c r="O82" s="10"/>
      <c r="P82" s="10"/>
      <c r="Q82" s="10"/>
      <c r="R82" s="10"/>
      <c r="S82" s="10"/>
      <c r="T82" s="10"/>
    </row>
    <row r="83" spans="2:20">
      <c r="F83" s="2" t="s">
        <v>252</v>
      </c>
      <c r="H83" s="10">
        <v>4</v>
      </c>
      <c r="I83" s="10" t="s">
        <v>261</v>
      </c>
      <c r="J83" s="10"/>
      <c r="K83" s="10"/>
      <c r="L83" s="10"/>
      <c r="M83" s="39"/>
      <c r="N83" s="39"/>
      <c r="O83" s="10"/>
      <c r="P83" s="10"/>
      <c r="Q83" s="10"/>
      <c r="R83" s="10"/>
      <c r="S83" s="10"/>
      <c r="T83" s="10"/>
    </row>
    <row r="84" spans="2:20">
      <c r="F84" s="2" t="s">
        <v>253</v>
      </c>
      <c r="H84" s="10">
        <v>5</v>
      </c>
      <c r="I84" s="10" t="s">
        <v>262</v>
      </c>
      <c r="J84" s="10"/>
      <c r="K84" s="10"/>
      <c r="L84" s="10"/>
      <c r="M84" s="39"/>
      <c r="N84" s="39"/>
      <c r="O84" s="10"/>
      <c r="P84" s="10"/>
      <c r="Q84" s="10"/>
      <c r="R84" s="10"/>
      <c r="S84" s="10"/>
      <c r="T84" s="10"/>
    </row>
    <row r="85" spans="2:20">
      <c r="F85" s="2" t="s">
        <v>254</v>
      </c>
      <c r="H85" s="10">
        <v>6</v>
      </c>
      <c r="I85" s="10" t="s">
        <v>263</v>
      </c>
      <c r="J85" s="10"/>
      <c r="K85" s="10"/>
      <c r="L85" s="10"/>
      <c r="M85" s="39"/>
      <c r="N85" s="39"/>
      <c r="O85" s="10"/>
      <c r="P85" s="10"/>
      <c r="Q85" s="10"/>
      <c r="R85" s="10"/>
      <c r="S85" s="10"/>
      <c r="T85" s="10"/>
    </row>
    <row r="86" spans="2:20">
      <c r="F86" s="2" t="s">
        <v>265</v>
      </c>
      <c r="H86" s="10">
        <v>7</v>
      </c>
      <c r="I86" s="10" t="s">
        <v>264</v>
      </c>
      <c r="J86" s="10"/>
      <c r="K86" s="10"/>
      <c r="L86" s="10"/>
      <c r="M86" s="39"/>
      <c r="N86" s="39"/>
      <c r="O86" s="10"/>
      <c r="P86" s="10"/>
      <c r="Q86" s="10"/>
      <c r="R86" s="10"/>
      <c r="S86" s="10"/>
      <c r="T86" s="10"/>
    </row>
    <row r="87" spans="2:20">
      <c r="F87" s="2" t="s">
        <v>266</v>
      </c>
      <c r="H87" s="10">
        <v>8</v>
      </c>
      <c r="I87" s="10" t="s">
        <v>228</v>
      </c>
      <c r="J87" s="10"/>
      <c r="K87" s="10"/>
      <c r="L87" s="10"/>
      <c r="M87" s="39"/>
      <c r="N87" s="39"/>
      <c r="O87" s="10"/>
      <c r="P87" s="10"/>
      <c r="Q87" s="10"/>
      <c r="R87" s="10"/>
      <c r="S87" s="10"/>
      <c r="T87" s="10"/>
    </row>
    <row r="88" spans="2:20">
      <c r="F88" s="2" t="s">
        <v>277</v>
      </c>
      <c r="H88" s="10">
        <v>9</v>
      </c>
      <c r="I88" s="10" t="s">
        <v>276</v>
      </c>
      <c r="J88" s="10"/>
      <c r="K88" s="10"/>
      <c r="L88" s="10"/>
      <c r="M88" s="39"/>
      <c r="N88" s="39"/>
      <c r="O88" s="10"/>
      <c r="P88" s="10"/>
      <c r="Q88" s="10"/>
      <c r="R88" s="10"/>
      <c r="S88" s="10"/>
      <c r="T88" s="10"/>
    </row>
    <row r="89" spans="2:20">
      <c r="G89" s="10"/>
      <c r="H89" s="10"/>
      <c r="I89" s="10"/>
      <c r="J89" s="10"/>
      <c r="K89" s="10"/>
      <c r="L89" s="10"/>
      <c r="M89" s="39"/>
      <c r="N89" s="39"/>
      <c r="O89" s="10"/>
      <c r="P89" s="10"/>
      <c r="Q89" s="10"/>
      <c r="R89" s="10"/>
      <c r="S89" s="10"/>
      <c r="T89" s="10"/>
    </row>
    <row r="90" spans="2:20">
      <c r="G90" s="10"/>
      <c r="H90" s="10"/>
      <c r="I90" s="10"/>
      <c r="J90" s="10"/>
      <c r="K90" s="10"/>
      <c r="L90" s="10"/>
      <c r="M90" s="39"/>
      <c r="N90" s="39"/>
      <c r="O90" s="10"/>
      <c r="P90" s="10"/>
      <c r="Q90" s="10"/>
      <c r="R90" s="10"/>
      <c r="S90" s="10"/>
      <c r="T90" s="10"/>
    </row>
    <row r="91" spans="2:20">
      <c r="G91" s="10"/>
      <c r="H91" s="10"/>
      <c r="J91" s="10"/>
      <c r="K91" s="10"/>
      <c r="L91" s="10"/>
      <c r="M91" s="39"/>
      <c r="N91" s="39"/>
      <c r="O91" s="10"/>
      <c r="P91" s="10"/>
      <c r="Q91" s="10"/>
      <c r="R91" s="10"/>
      <c r="S91" s="10"/>
      <c r="T91" s="10"/>
    </row>
    <row r="92" spans="2:20">
      <c r="G92" s="10"/>
      <c r="H92" s="10"/>
      <c r="I92" s="10"/>
      <c r="J92" s="10"/>
      <c r="K92" s="10"/>
      <c r="L92" s="10"/>
      <c r="M92" s="39"/>
      <c r="N92" s="39"/>
      <c r="O92" s="10"/>
      <c r="P92" s="10"/>
      <c r="Q92" s="10"/>
      <c r="R92" s="10"/>
      <c r="S92" s="10"/>
      <c r="T92" s="10"/>
    </row>
    <row r="93" spans="2:20" ht="15.6">
      <c r="B93" s="3">
        <v>1</v>
      </c>
      <c r="G93" s="10"/>
      <c r="H93" s="10"/>
      <c r="I93" s="10"/>
      <c r="J93" s="10"/>
      <c r="K93" s="10"/>
      <c r="L93" s="10"/>
      <c r="M93" s="39"/>
      <c r="N93" s="39"/>
      <c r="O93" s="10"/>
      <c r="P93" s="10"/>
      <c r="Q93" s="10"/>
      <c r="R93" s="10"/>
      <c r="S93" s="10"/>
      <c r="T93" s="10"/>
    </row>
    <row r="94" spans="2:20" ht="15.6" outlineLevel="1">
      <c r="G94" s="10"/>
      <c r="H94" s="10"/>
      <c r="I94" s="21" t="s">
        <v>117</v>
      </c>
      <c r="J94" s="10"/>
      <c r="K94" s="10"/>
      <c r="L94" s="10"/>
      <c r="M94" s="39"/>
      <c r="N94" s="39"/>
      <c r="O94" s="10"/>
      <c r="P94" s="10"/>
      <c r="Q94" s="10"/>
      <c r="R94" s="10"/>
      <c r="S94" s="10"/>
      <c r="T94" s="10"/>
    </row>
    <row r="95" spans="2:20" outlineLevel="1">
      <c r="G95" s="10"/>
      <c r="H95" s="10"/>
      <c r="I95" s="10"/>
      <c r="J95" s="10"/>
      <c r="K95" s="10"/>
      <c r="L95" s="10"/>
      <c r="M95" s="39"/>
      <c r="N95" s="39"/>
      <c r="O95" s="10"/>
      <c r="P95" s="10"/>
      <c r="Q95" s="10"/>
      <c r="R95" s="10"/>
      <c r="S95" s="10"/>
      <c r="T95" s="10"/>
    </row>
    <row r="96" spans="2:20" ht="15.6" outlineLevel="1">
      <c r="C96" s="3" t="s">
        <v>157</v>
      </c>
      <c r="F96" s="78" t="s">
        <v>165</v>
      </c>
      <c r="G96" s="78" t="s">
        <v>229</v>
      </c>
      <c r="H96" s="78" t="s">
        <v>230</v>
      </c>
      <c r="I96" s="78" t="s">
        <v>231</v>
      </c>
      <c r="J96" s="78" t="s">
        <v>232</v>
      </c>
      <c r="K96" s="78" t="s">
        <v>233</v>
      </c>
      <c r="L96" s="78" t="s">
        <v>234</v>
      </c>
      <c r="M96" s="61"/>
      <c r="N96" s="61"/>
      <c r="O96" s="10"/>
      <c r="P96" s="10"/>
      <c r="Q96" s="10"/>
      <c r="R96" s="10"/>
      <c r="S96" s="10"/>
      <c r="T96" s="10"/>
    </row>
    <row r="97" spans="3:20" outlineLevel="1">
      <c r="F97" s="11"/>
      <c r="G97" s="11"/>
      <c r="H97" s="11"/>
      <c r="I97" s="11"/>
      <c r="J97" s="11"/>
      <c r="K97" s="11"/>
      <c r="L97" s="11"/>
      <c r="M97" s="62"/>
      <c r="N97" s="61"/>
      <c r="O97" s="10"/>
      <c r="P97" s="10"/>
      <c r="Q97" s="10"/>
      <c r="R97" s="11"/>
      <c r="S97" s="10"/>
      <c r="T97" s="10"/>
    </row>
    <row r="98" spans="3:20" outlineLevel="1">
      <c r="D98" s="2" t="s">
        <v>159</v>
      </c>
      <c r="F98" s="15"/>
      <c r="G98" s="11">
        <f>F100</f>
        <v>2306.4699999999998</v>
      </c>
      <c r="H98" s="11">
        <f>G100</f>
        <v>2506.7399999999998</v>
      </c>
      <c r="I98" s="11">
        <f t="shared" ref="I98:L98" si="8">H100</f>
        <v>2647.01</v>
      </c>
      <c r="J98" s="11">
        <f t="shared" si="8"/>
        <v>3116.84</v>
      </c>
      <c r="K98" s="11">
        <f t="shared" si="8"/>
        <v>3257.38</v>
      </c>
      <c r="L98" s="11">
        <f t="shared" si="8"/>
        <v>3600.71</v>
      </c>
      <c r="M98" s="62"/>
      <c r="N98" s="10"/>
      <c r="O98" s="10"/>
      <c r="P98" s="10"/>
      <c r="Q98" s="10"/>
      <c r="R98" s="11"/>
      <c r="S98" s="10"/>
    </row>
    <row r="99" spans="3:20" outlineLevel="1">
      <c r="C99" s="2" t="s">
        <v>161</v>
      </c>
      <c r="D99" s="2" t="s">
        <v>162</v>
      </c>
      <c r="F99" s="11"/>
      <c r="G99" s="11">
        <f>G100-G98</f>
        <v>200.26999999999998</v>
      </c>
      <c r="H99" s="11">
        <f>H100-H98</f>
        <v>140.27000000000044</v>
      </c>
      <c r="I99" s="11">
        <f t="shared" ref="I99:L99" si="9">I100-I98</f>
        <v>469.82999999999993</v>
      </c>
      <c r="J99" s="11">
        <f t="shared" si="9"/>
        <v>140.53999999999996</v>
      </c>
      <c r="K99" s="11">
        <f t="shared" si="9"/>
        <v>343.32999999999993</v>
      </c>
      <c r="L99" s="11">
        <f t="shared" si="9"/>
        <v>506.69999999999982</v>
      </c>
      <c r="M99" s="62"/>
      <c r="N99" s="10" t="s">
        <v>173</v>
      </c>
      <c r="O99" s="10"/>
      <c r="P99" s="10"/>
      <c r="Q99" s="10"/>
      <c r="R99" s="11"/>
      <c r="S99" s="10"/>
    </row>
    <row r="100" spans="3:20" outlineLevel="1">
      <c r="C100" s="13"/>
      <c r="D100" s="13" t="s">
        <v>163</v>
      </c>
      <c r="E100" s="13"/>
      <c r="F100" s="44">
        <v>2306.4699999999998</v>
      </c>
      <c r="G100" s="44">
        <v>2506.7399999999998</v>
      </c>
      <c r="H100" s="44">
        <v>2647.01</v>
      </c>
      <c r="I100" s="44">
        <v>3116.84</v>
      </c>
      <c r="J100" s="44">
        <v>3257.38</v>
      </c>
      <c r="K100" s="44">
        <v>3600.71</v>
      </c>
      <c r="L100" s="44">
        <v>4107.41</v>
      </c>
      <c r="M100" s="58"/>
      <c r="N100" s="10"/>
      <c r="O100" s="10"/>
      <c r="P100" s="10"/>
      <c r="Q100" s="10"/>
      <c r="R100" s="11"/>
      <c r="S100" s="10"/>
    </row>
    <row r="101" spans="3:20" outlineLevel="1">
      <c r="F101" s="11"/>
      <c r="G101" s="11"/>
      <c r="H101" s="11"/>
      <c r="I101" s="11"/>
      <c r="J101" s="11"/>
      <c r="K101" s="11"/>
      <c r="L101" s="11"/>
      <c r="M101" s="62"/>
      <c r="N101" s="10"/>
      <c r="O101" s="10"/>
      <c r="P101" s="10"/>
      <c r="Q101" s="10"/>
      <c r="R101" s="11"/>
      <c r="S101" s="10"/>
    </row>
    <row r="102" spans="3:20" ht="15.6" outlineLevel="1">
      <c r="C102" s="3" t="s">
        <v>164</v>
      </c>
      <c r="F102" s="11"/>
      <c r="G102" s="11"/>
      <c r="H102" s="11"/>
      <c r="I102" s="11"/>
      <c r="J102" s="11"/>
      <c r="K102" s="11"/>
      <c r="L102" s="11"/>
      <c r="M102" s="62"/>
      <c r="N102" s="10" t="s">
        <v>223</v>
      </c>
      <c r="O102" s="10"/>
      <c r="P102" s="10"/>
      <c r="Q102" s="10"/>
      <c r="R102" s="11"/>
      <c r="S102" s="10"/>
    </row>
    <row r="103" spans="3:20" outlineLevel="1">
      <c r="D103" s="2" t="s">
        <v>159</v>
      </c>
      <c r="F103" s="11"/>
      <c r="G103" s="11">
        <f>F105</f>
        <v>827.45</v>
      </c>
      <c r="H103" s="11">
        <f>G105</f>
        <v>954.64</v>
      </c>
      <c r="I103" s="11">
        <f t="shared" ref="I103:L103" si="10">H105</f>
        <v>1099.04</v>
      </c>
      <c r="J103" s="11">
        <f t="shared" si="10"/>
        <v>1295.8599999999999</v>
      </c>
      <c r="K103" s="11">
        <f t="shared" si="10"/>
        <v>1445.68</v>
      </c>
      <c r="L103" s="11">
        <f t="shared" si="10"/>
        <v>1632.76</v>
      </c>
      <c r="M103" s="62"/>
      <c r="N103" s="10"/>
      <c r="O103" s="10"/>
      <c r="P103" s="10"/>
      <c r="Q103" s="10"/>
      <c r="R103" s="11"/>
      <c r="S103" s="10"/>
    </row>
    <row r="104" spans="3:20" outlineLevel="1">
      <c r="C104" s="2" t="s">
        <v>161</v>
      </c>
      <c r="D104" s="2" t="s">
        <v>171</v>
      </c>
      <c r="F104" s="11"/>
      <c r="G104" s="11">
        <f>G105-G103</f>
        <v>127.18999999999994</v>
      </c>
      <c r="H104" s="11">
        <f t="shared" ref="H104:L104" si="11">H105-H103</f>
        <v>144.39999999999998</v>
      </c>
      <c r="I104" s="11">
        <f t="shared" si="11"/>
        <v>196.81999999999994</v>
      </c>
      <c r="J104" s="11">
        <f>J105-J103</f>
        <v>149.82000000000016</v>
      </c>
      <c r="K104" s="11">
        <f t="shared" si="11"/>
        <v>187.07999999999993</v>
      </c>
      <c r="L104" s="11">
        <f t="shared" si="11"/>
        <v>237.02999999999997</v>
      </c>
      <c r="M104" s="62"/>
      <c r="N104" s="10" t="s">
        <v>174</v>
      </c>
      <c r="O104" s="10"/>
      <c r="P104" s="10"/>
      <c r="Q104" s="10"/>
      <c r="R104" s="11"/>
      <c r="S104" s="10"/>
    </row>
    <row r="105" spans="3:20" outlineLevel="1">
      <c r="C105" s="13"/>
      <c r="D105" s="13" t="s">
        <v>163</v>
      </c>
      <c r="E105" s="13"/>
      <c r="F105" s="44">
        <v>827.45</v>
      </c>
      <c r="G105" s="44">
        <v>954.64</v>
      </c>
      <c r="H105" s="44">
        <v>1099.04</v>
      </c>
      <c r="I105" s="44">
        <v>1295.8599999999999</v>
      </c>
      <c r="J105" s="44">
        <v>1445.68</v>
      </c>
      <c r="K105" s="44">
        <v>1632.76</v>
      </c>
      <c r="L105" s="44">
        <v>1869.79</v>
      </c>
      <c r="M105" s="58"/>
      <c r="N105" s="10"/>
      <c r="O105" s="10"/>
      <c r="P105" s="10"/>
      <c r="Q105" s="10"/>
      <c r="R105" s="10"/>
      <c r="S105" s="10"/>
    </row>
    <row r="106" spans="3:20" outlineLevel="1">
      <c r="F106" s="11"/>
      <c r="G106" s="11"/>
      <c r="H106" s="11"/>
      <c r="I106" s="11"/>
      <c r="J106" s="11"/>
      <c r="K106" s="11"/>
      <c r="L106" s="11"/>
      <c r="M106" s="62"/>
      <c r="N106" s="10"/>
      <c r="O106" s="10"/>
      <c r="P106" s="10"/>
      <c r="Q106" s="10"/>
      <c r="R106" s="10"/>
      <c r="S106" s="10"/>
    </row>
    <row r="107" spans="3:20" outlineLevel="1">
      <c r="F107" s="11"/>
      <c r="G107" s="11"/>
      <c r="H107" s="11"/>
      <c r="I107" s="11"/>
      <c r="J107" s="11"/>
      <c r="K107" s="11"/>
      <c r="L107" s="11"/>
      <c r="M107" s="62"/>
      <c r="N107" s="10"/>
      <c r="O107" s="10"/>
      <c r="P107" s="10"/>
      <c r="Q107" s="10"/>
      <c r="R107" s="10"/>
      <c r="S107" s="10"/>
    </row>
    <row r="108" spans="3:20" ht="15.6" outlineLevel="1">
      <c r="C108" s="12" t="s">
        <v>160</v>
      </c>
      <c r="D108" s="13"/>
      <c r="E108" s="13"/>
      <c r="F108" s="14"/>
      <c r="G108" s="14">
        <f>G100-G105</f>
        <v>1552.1</v>
      </c>
      <c r="H108" s="14">
        <f t="shared" ref="H108:L108" si="12">H100-H105</f>
        <v>1547.9700000000003</v>
      </c>
      <c r="I108" s="14">
        <f t="shared" si="12"/>
        <v>1820.9800000000002</v>
      </c>
      <c r="J108" s="14">
        <f t="shared" si="12"/>
        <v>1811.7</v>
      </c>
      <c r="K108" s="14">
        <f t="shared" si="12"/>
        <v>1967.95</v>
      </c>
      <c r="L108" s="14">
        <f t="shared" si="12"/>
        <v>2237.62</v>
      </c>
      <c r="M108" s="62"/>
      <c r="N108" s="10"/>
      <c r="O108" s="10"/>
      <c r="P108" s="10"/>
      <c r="Q108" s="10"/>
      <c r="R108" s="10"/>
      <c r="S108" s="10"/>
    </row>
    <row r="109" spans="3:20" outlineLevel="1">
      <c r="F109" s="11"/>
      <c r="G109" s="11"/>
      <c r="H109" s="11"/>
      <c r="I109" s="11"/>
      <c r="J109" s="11"/>
      <c r="K109" s="11"/>
      <c r="L109" s="11"/>
      <c r="M109" s="62"/>
      <c r="N109" s="10"/>
      <c r="O109" s="10"/>
      <c r="P109" s="10"/>
      <c r="Q109" s="10"/>
      <c r="R109" s="10"/>
      <c r="S109" s="10"/>
    </row>
    <row r="110" spans="3:20" ht="15.6" outlineLevel="1">
      <c r="C110" s="3" t="s">
        <v>166</v>
      </c>
      <c r="G110" s="11">
        <f>G99-G104</f>
        <v>73.080000000000041</v>
      </c>
      <c r="H110" s="11">
        <f t="shared" ref="H110:L110" si="13">H99-H104</f>
        <v>-4.1299999999995407</v>
      </c>
      <c r="I110" s="11">
        <f t="shared" si="13"/>
        <v>273.01</v>
      </c>
      <c r="J110" s="11">
        <f t="shared" si="13"/>
        <v>-9.2800000000002001</v>
      </c>
      <c r="K110" s="11">
        <f t="shared" si="13"/>
        <v>156.25</v>
      </c>
      <c r="L110" s="11">
        <f t="shared" si="13"/>
        <v>269.66999999999985</v>
      </c>
      <c r="N110" s="10" t="s">
        <v>175</v>
      </c>
      <c r="O110" s="10"/>
      <c r="P110" s="10"/>
      <c r="Q110" s="10" t="s">
        <v>318</v>
      </c>
      <c r="R110" s="10"/>
      <c r="S110" s="10"/>
    </row>
    <row r="111" spans="3:20" outlineLevel="1">
      <c r="F111" s="11"/>
      <c r="G111" s="11"/>
      <c r="H111" s="11"/>
      <c r="I111" s="11"/>
      <c r="J111" s="11"/>
      <c r="K111" s="11"/>
      <c r="L111" s="11"/>
      <c r="M111" s="62"/>
      <c r="N111" s="10"/>
      <c r="O111" s="10"/>
      <c r="P111" s="10"/>
      <c r="Q111" s="10"/>
      <c r="R111" s="10"/>
      <c r="S111" s="10"/>
    </row>
    <row r="112" spans="3:20" ht="15.6" outlineLevel="1">
      <c r="C112" s="3" t="s">
        <v>167</v>
      </c>
      <c r="F112" s="11" t="s">
        <v>158</v>
      </c>
      <c r="G112" s="28" t="str">
        <f>IF(G108=G7,"OK","ERROR")</f>
        <v>OK</v>
      </c>
      <c r="H112" s="28" t="str">
        <f t="shared" ref="H112:L112" si="14">IF(H108=H7,"OK","ERROR")</f>
        <v>OK</v>
      </c>
      <c r="I112" s="28" t="str">
        <f t="shared" si="14"/>
        <v>OK</v>
      </c>
      <c r="J112" s="28" t="str">
        <f t="shared" si="14"/>
        <v>OK</v>
      </c>
      <c r="K112" s="28" t="str">
        <f t="shared" si="14"/>
        <v>OK</v>
      </c>
      <c r="L112" s="28" t="str">
        <f t="shared" si="14"/>
        <v>OK</v>
      </c>
      <c r="M112" s="63"/>
      <c r="N112" s="10" t="s">
        <v>169</v>
      </c>
      <c r="O112" s="10"/>
      <c r="P112" s="10"/>
      <c r="Q112" s="10"/>
      <c r="R112" s="10"/>
      <c r="S112" s="10"/>
    </row>
    <row r="113" spans="2:19" outlineLevel="1">
      <c r="F113" s="11"/>
      <c r="G113" s="11"/>
      <c r="H113" s="11"/>
      <c r="I113" s="11"/>
      <c r="J113" s="11"/>
      <c r="K113" s="11"/>
      <c r="L113" s="11"/>
      <c r="M113" s="62"/>
      <c r="N113" s="10"/>
      <c r="O113" s="10"/>
      <c r="P113" s="10"/>
      <c r="Q113" s="10"/>
      <c r="R113" s="10"/>
      <c r="S113" s="10"/>
    </row>
    <row r="114" spans="2:19" ht="15.6" outlineLevel="1">
      <c r="C114" s="3" t="s">
        <v>168</v>
      </c>
      <c r="F114" s="11"/>
      <c r="G114" s="28" t="s">
        <v>158</v>
      </c>
      <c r="H114" s="28" t="str">
        <f>IF(G108+H110=H108,"OK","ERROR")</f>
        <v>OK</v>
      </c>
      <c r="I114" s="28" t="str">
        <f>IF(H108+I110=I108,"OK","ERROR")</f>
        <v>OK</v>
      </c>
      <c r="J114" s="28" t="str">
        <f>IF(I108+J110=J108,"OK","ERROR")</f>
        <v>OK</v>
      </c>
      <c r="K114" s="28" t="str">
        <f>IF(J108+K110=K108,"OK","ERROR")</f>
        <v>OK</v>
      </c>
      <c r="L114" s="28" t="str">
        <f>IF(K108+L110=L108,"OK","ERROR")</f>
        <v>OK</v>
      </c>
      <c r="M114" s="63"/>
      <c r="N114" s="10" t="s">
        <v>170</v>
      </c>
      <c r="O114" s="10"/>
      <c r="P114" s="10"/>
      <c r="Q114" s="10"/>
      <c r="R114" s="10"/>
      <c r="S114" s="10"/>
    </row>
    <row r="115" spans="2:19" outlineLevel="1">
      <c r="F115" s="11"/>
      <c r="G115" s="11"/>
      <c r="H115" s="11"/>
      <c r="I115" s="11"/>
      <c r="J115" s="11"/>
      <c r="K115" s="11"/>
      <c r="L115" s="11"/>
      <c r="M115" s="62"/>
      <c r="N115" s="10"/>
      <c r="O115" s="10"/>
      <c r="P115" s="10"/>
      <c r="Q115" s="10"/>
      <c r="R115" s="10"/>
      <c r="S115" s="10"/>
    </row>
    <row r="116" spans="2:19" outlineLevel="1">
      <c r="C116" s="17"/>
      <c r="D116" s="17"/>
      <c r="E116" s="17"/>
      <c r="F116" s="19"/>
      <c r="G116" s="19"/>
      <c r="H116" s="19"/>
      <c r="I116" s="19"/>
      <c r="J116" s="19"/>
      <c r="K116" s="19"/>
      <c r="L116" s="19"/>
      <c r="M116" s="62"/>
      <c r="N116" s="10"/>
      <c r="O116" s="10"/>
      <c r="P116" s="10"/>
      <c r="Q116" s="10"/>
      <c r="R116" s="10"/>
      <c r="S116" s="10"/>
    </row>
    <row r="117" spans="2:19" outlineLevel="1">
      <c r="F117" s="11"/>
      <c r="G117" s="11"/>
      <c r="H117" s="11"/>
      <c r="I117" s="11"/>
      <c r="J117" s="11"/>
      <c r="K117" s="11"/>
      <c r="L117" s="11"/>
      <c r="M117" s="62"/>
      <c r="N117" s="10"/>
      <c r="O117" s="10"/>
      <c r="P117" s="10"/>
      <c r="Q117" s="10"/>
      <c r="R117" s="10"/>
      <c r="S117" s="10"/>
    </row>
    <row r="118" spans="2:19" outlineLevel="1">
      <c r="C118" s="2" t="s">
        <v>221</v>
      </c>
      <c r="F118" s="11"/>
      <c r="G118" s="15">
        <v>155.94999999999999</v>
      </c>
      <c r="H118" s="15">
        <v>168.6</v>
      </c>
      <c r="I118" s="15">
        <v>210.25</v>
      </c>
      <c r="J118" s="15">
        <v>230.42</v>
      </c>
      <c r="K118" s="15">
        <v>242.14000000000001</v>
      </c>
      <c r="L118" s="15">
        <v>276.52</v>
      </c>
      <c r="M118" s="58"/>
      <c r="N118" s="10"/>
      <c r="O118" s="10"/>
      <c r="P118" s="10"/>
      <c r="Q118" s="10"/>
      <c r="R118" s="10"/>
      <c r="S118" s="10"/>
    </row>
    <row r="119" spans="2:19" outlineLevel="1">
      <c r="C119" s="2" t="s">
        <v>750</v>
      </c>
      <c r="F119" s="11"/>
      <c r="G119" s="11">
        <f>G118-G121</f>
        <v>28.760000000000048</v>
      </c>
      <c r="H119" s="11">
        <f t="shared" ref="H119:L119" si="15">H118-H121</f>
        <v>24.200000000000017</v>
      </c>
      <c r="I119" s="11">
        <f t="shared" si="15"/>
        <v>13.430000000000064</v>
      </c>
      <c r="J119" s="11">
        <f t="shared" si="15"/>
        <v>80.599999999999824</v>
      </c>
      <c r="K119" s="11">
        <f t="shared" si="15"/>
        <v>55.060000000000088</v>
      </c>
      <c r="L119" s="11">
        <f t="shared" si="15"/>
        <v>39.490000000000009</v>
      </c>
      <c r="M119" s="62"/>
      <c r="N119" s="10"/>
      <c r="O119" s="10"/>
      <c r="P119" s="10"/>
      <c r="Q119" s="10"/>
      <c r="R119" s="10"/>
      <c r="S119" s="10"/>
    </row>
    <row r="120" spans="2:19" outlineLevel="1">
      <c r="F120" s="11"/>
      <c r="G120" s="11"/>
      <c r="H120" s="11"/>
      <c r="I120" s="11"/>
      <c r="J120" s="11"/>
      <c r="K120" s="11"/>
      <c r="L120" s="11"/>
      <c r="M120" s="62"/>
      <c r="N120" s="4"/>
      <c r="O120" s="11"/>
    </row>
    <row r="121" spans="2:19" outlineLevel="1">
      <c r="C121" s="13" t="s">
        <v>176</v>
      </c>
      <c r="D121" s="13"/>
      <c r="E121" s="13"/>
      <c r="F121" s="14"/>
      <c r="G121" s="14">
        <f>G104</f>
        <v>127.18999999999994</v>
      </c>
      <c r="H121" s="14">
        <f t="shared" ref="H121:L121" si="16">H104</f>
        <v>144.39999999999998</v>
      </c>
      <c r="I121" s="14">
        <f t="shared" si="16"/>
        <v>196.81999999999994</v>
      </c>
      <c r="J121" s="14">
        <f t="shared" si="16"/>
        <v>149.82000000000016</v>
      </c>
      <c r="K121" s="14">
        <f t="shared" si="16"/>
        <v>187.07999999999993</v>
      </c>
      <c r="L121" s="14">
        <f t="shared" si="16"/>
        <v>237.02999999999997</v>
      </c>
      <c r="M121" s="62"/>
      <c r="N121" s="4"/>
      <c r="O121" s="4"/>
    </row>
    <row r="122" spans="2:19" s="80" customFormat="1" ht="14.4" collapsed="1">
      <c r="C122" s="91"/>
      <c r="D122" s="91"/>
      <c r="E122" s="91"/>
      <c r="F122" s="92"/>
      <c r="G122" s="92"/>
      <c r="H122" s="92"/>
      <c r="I122" s="92"/>
      <c r="J122" s="92"/>
      <c r="K122" s="92"/>
      <c r="L122" s="92"/>
      <c r="M122" s="495"/>
      <c r="N122" s="93"/>
      <c r="O122" s="93"/>
    </row>
    <row r="123" spans="2:19" ht="15.6">
      <c r="F123" s="11"/>
      <c r="G123" s="11"/>
      <c r="H123" s="11"/>
      <c r="I123" s="11"/>
      <c r="J123" s="11"/>
      <c r="K123" s="11"/>
      <c r="L123" s="11"/>
      <c r="M123" s="62"/>
      <c r="N123" s="357"/>
      <c r="O123" s="4"/>
    </row>
    <row r="124" spans="2:19">
      <c r="F124" s="11"/>
      <c r="G124" s="11"/>
      <c r="H124" s="11"/>
      <c r="I124" s="11"/>
      <c r="J124" s="11"/>
      <c r="K124" s="11"/>
      <c r="L124" s="11"/>
      <c r="M124" s="62"/>
      <c r="N124" s="4"/>
      <c r="O124" s="4"/>
    </row>
    <row r="125" spans="2:19" ht="15.6">
      <c r="B125" s="3">
        <v>2</v>
      </c>
      <c r="F125" s="11"/>
      <c r="G125" s="11"/>
      <c r="H125" s="11"/>
      <c r="I125" s="11"/>
      <c r="J125" s="11"/>
      <c r="K125" s="11"/>
      <c r="L125" s="11"/>
      <c r="M125" s="62"/>
      <c r="N125" s="4"/>
      <c r="O125" s="4"/>
    </row>
    <row r="126" spans="2:19" ht="15.6" outlineLevel="1">
      <c r="F126" s="11"/>
      <c r="G126" s="11"/>
      <c r="H126" s="3" t="s">
        <v>177</v>
      </c>
      <c r="I126" s="11"/>
      <c r="J126" s="11"/>
      <c r="K126" s="11"/>
      <c r="L126" s="11"/>
      <c r="M126" s="62"/>
      <c r="N126" s="2"/>
    </row>
    <row r="127" spans="2:19" outlineLevel="1">
      <c r="N127" s="2"/>
    </row>
    <row r="128" spans="2:19" outlineLevel="1">
      <c r="N128" s="2"/>
    </row>
    <row r="129" spans="3:20" ht="15.6" outlineLevel="1">
      <c r="C129" s="3" t="s">
        <v>157</v>
      </c>
      <c r="F129" s="78" t="s">
        <v>165</v>
      </c>
      <c r="G129" s="78" t="s">
        <v>229</v>
      </c>
      <c r="H129" s="78" t="s">
        <v>230</v>
      </c>
      <c r="I129" s="78" t="s">
        <v>231</v>
      </c>
      <c r="J129" s="78" t="s">
        <v>232</v>
      </c>
      <c r="K129" s="78" t="s">
        <v>233</v>
      </c>
      <c r="L129" s="78" t="s">
        <v>234</v>
      </c>
      <c r="M129" s="61"/>
      <c r="N129" s="2"/>
    </row>
    <row r="130" spans="3:20" outlineLevel="1">
      <c r="F130" s="11"/>
      <c r="G130" s="11"/>
      <c r="H130" s="11"/>
      <c r="I130" s="11"/>
      <c r="J130" s="11"/>
      <c r="K130" s="11"/>
      <c r="L130" s="11"/>
      <c r="M130" s="62"/>
      <c r="N130" s="2"/>
    </row>
    <row r="131" spans="3:20" outlineLevel="1">
      <c r="D131" s="2" t="s">
        <v>159</v>
      </c>
      <c r="F131" s="15"/>
      <c r="G131" s="11">
        <f>F133</f>
        <v>63.56</v>
      </c>
      <c r="H131" s="11">
        <f>G133</f>
        <v>63.89</v>
      </c>
      <c r="I131" s="11">
        <f t="shared" ref="I131:L131" si="17">H133</f>
        <v>62.48</v>
      </c>
      <c r="J131" s="11">
        <f t="shared" si="17"/>
        <v>63.26</v>
      </c>
      <c r="K131" s="11">
        <f t="shared" si="17"/>
        <v>63.25</v>
      </c>
      <c r="L131" s="11">
        <f t="shared" si="17"/>
        <v>62.31</v>
      </c>
      <c r="M131" s="62"/>
      <c r="N131" s="2"/>
    </row>
    <row r="132" spans="3:20" outlineLevel="1">
      <c r="C132" s="2" t="s">
        <v>161</v>
      </c>
      <c r="D132" s="2" t="s">
        <v>162</v>
      </c>
      <c r="F132" s="11"/>
      <c r="G132" s="11">
        <f>G133-G131</f>
        <v>0.32999999999999829</v>
      </c>
      <c r="H132" s="11">
        <f>H133-H131</f>
        <v>-1.4100000000000037</v>
      </c>
      <c r="I132" s="11">
        <f t="shared" ref="I132" si="18">I133-I131</f>
        <v>0.78000000000000114</v>
      </c>
      <c r="J132" s="11">
        <f t="shared" ref="J132" si="19">J133-J131</f>
        <v>-9.9999999999980105E-3</v>
      </c>
      <c r="K132" s="11">
        <f t="shared" ref="K132" si="20">K133-K131</f>
        <v>-0.93999999999999773</v>
      </c>
      <c r="L132" s="11">
        <f t="shared" ref="L132" si="21">L133-L131</f>
        <v>-1.9299999999999997</v>
      </c>
      <c r="M132" s="62"/>
      <c r="N132" s="10" t="s">
        <v>173</v>
      </c>
    </row>
    <row r="133" spans="3:20" outlineLevel="1">
      <c r="C133" s="13"/>
      <c r="D133" s="13" t="s">
        <v>163</v>
      </c>
      <c r="E133" s="13"/>
      <c r="F133" s="44">
        <v>63.56</v>
      </c>
      <c r="G133" s="44">
        <v>63.89</v>
      </c>
      <c r="H133" s="44">
        <v>62.48</v>
      </c>
      <c r="I133" s="44">
        <v>63.26</v>
      </c>
      <c r="J133" s="44">
        <v>63.25</v>
      </c>
      <c r="K133" s="44">
        <v>62.31</v>
      </c>
      <c r="L133" s="44">
        <v>60.38</v>
      </c>
      <c r="M133" s="58"/>
      <c r="N133" s="10"/>
      <c r="R133" s="2" t="s">
        <v>315</v>
      </c>
      <c r="T133" s="45">
        <f>H7-G7</f>
        <v>-4.1299999999998818</v>
      </c>
    </row>
    <row r="134" spans="3:20" outlineLevel="1">
      <c r="F134" s="11"/>
      <c r="G134" s="11"/>
      <c r="H134" s="11"/>
      <c r="I134" s="11"/>
      <c r="J134" s="11"/>
      <c r="K134" s="11"/>
      <c r="L134" s="11"/>
      <c r="M134" s="62"/>
      <c r="N134" s="10"/>
      <c r="R134" s="2" t="s">
        <v>316</v>
      </c>
      <c r="T134" s="11">
        <f>G118</f>
        <v>155.94999999999999</v>
      </c>
    </row>
    <row r="135" spans="3:20" ht="15.6" outlineLevel="1">
      <c r="C135" s="3" t="s">
        <v>164</v>
      </c>
      <c r="F135" s="11"/>
      <c r="G135" s="11"/>
      <c r="H135" s="11"/>
      <c r="I135" s="11"/>
      <c r="J135" s="11"/>
      <c r="K135" s="11"/>
      <c r="L135" s="11"/>
      <c r="M135" s="62"/>
      <c r="N135" s="10" t="s">
        <v>223</v>
      </c>
      <c r="R135" s="2" t="s">
        <v>317</v>
      </c>
      <c r="T135" s="45">
        <f>-G119</f>
        <v>-28.760000000000048</v>
      </c>
    </row>
    <row r="136" spans="3:20" outlineLevel="1">
      <c r="D136" s="2" t="s">
        <v>159</v>
      </c>
      <c r="F136" s="11"/>
      <c r="G136" s="11">
        <f>F138</f>
        <v>8.57</v>
      </c>
      <c r="H136" s="11">
        <f>G138</f>
        <v>9.73</v>
      </c>
      <c r="I136" s="11">
        <f t="shared" ref="I136:L136" si="22">H138</f>
        <v>10.38</v>
      </c>
      <c r="J136" s="11">
        <f t="shared" si="22"/>
        <v>11.71</v>
      </c>
      <c r="K136" s="11">
        <f t="shared" si="22"/>
        <v>12.75</v>
      </c>
      <c r="L136" s="11">
        <f t="shared" si="22"/>
        <v>13.24</v>
      </c>
      <c r="M136" s="62"/>
      <c r="N136" s="10"/>
    </row>
    <row r="137" spans="3:20" outlineLevel="1">
      <c r="C137" s="2" t="s">
        <v>161</v>
      </c>
      <c r="D137" s="2" t="s">
        <v>171</v>
      </c>
      <c r="F137" s="11"/>
      <c r="G137" s="11">
        <f>G138-G136</f>
        <v>1.1600000000000001</v>
      </c>
      <c r="H137" s="11">
        <f t="shared" ref="H137" si="23">H138-H136</f>
        <v>0.65000000000000036</v>
      </c>
      <c r="I137" s="11">
        <f t="shared" ref="I137" si="24">I138-I136</f>
        <v>1.33</v>
      </c>
      <c r="J137" s="11">
        <f t="shared" ref="J137" si="25">J138-J136</f>
        <v>1.0399999999999991</v>
      </c>
      <c r="K137" s="11">
        <f t="shared" ref="K137" si="26">K138-K136</f>
        <v>0.49000000000000021</v>
      </c>
      <c r="L137" s="11">
        <f t="shared" ref="L137" si="27">L138-L136</f>
        <v>8.9999999999999858E-2</v>
      </c>
      <c r="M137" s="62"/>
      <c r="N137" s="10" t="s">
        <v>174</v>
      </c>
    </row>
    <row r="138" spans="3:20" outlineLevel="1">
      <c r="C138" s="13"/>
      <c r="D138" s="13" t="s">
        <v>163</v>
      </c>
      <c r="E138" s="13"/>
      <c r="F138" s="44">
        <v>8.57</v>
      </c>
      <c r="G138" s="44">
        <v>9.73</v>
      </c>
      <c r="H138" s="44">
        <v>10.38</v>
      </c>
      <c r="I138" s="44">
        <v>11.71</v>
      </c>
      <c r="J138" s="44">
        <v>12.75</v>
      </c>
      <c r="K138" s="44">
        <v>13.24</v>
      </c>
      <c r="L138" s="44">
        <v>13.33</v>
      </c>
      <c r="M138" s="58"/>
      <c r="N138" s="10"/>
    </row>
    <row r="139" spans="3:20" outlineLevel="1">
      <c r="F139" s="11"/>
      <c r="G139" s="11"/>
      <c r="H139" s="11"/>
      <c r="I139" s="11"/>
      <c r="J139" s="11"/>
      <c r="K139" s="11"/>
      <c r="L139" s="11"/>
      <c r="M139" s="62"/>
      <c r="N139" s="10"/>
    </row>
    <row r="140" spans="3:20" outlineLevel="1">
      <c r="F140" s="11"/>
      <c r="G140" s="11"/>
      <c r="H140" s="11"/>
      <c r="I140" s="11"/>
      <c r="J140" s="11"/>
      <c r="K140" s="11"/>
      <c r="L140" s="11"/>
      <c r="M140" s="62"/>
      <c r="N140" s="10"/>
    </row>
    <row r="141" spans="3:20" ht="15.6" outlineLevel="1">
      <c r="C141" s="12" t="s">
        <v>160</v>
      </c>
      <c r="D141" s="13"/>
      <c r="E141" s="13"/>
      <c r="F141" s="14"/>
      <c r="G141" s="14">
        <f>G133-G138</f>
        <v>54.16</v>
      </c>
      <c r="H141" s="14">
        <f t="shared" ref="H141:L141" si="28">H133-H138</f>
        <v>52.099999999999994</v>
      </c>
      <c r="I141" s="14">
        <f t="shared" si="28"/>
        <v>51.55</v>
      </c>
      <c r="J141" s="14">
        <f t="shared" si="28"/>
        <v>50.5</v>
      </c>
      <c r="K141" s="14">
        <f t="shared" si="28"/>
        <v>49.07</v>
      </c>
      <c r="L141" s="14">
        <f t="shared" si="28"/>
        <v>47.050000000000004</v>
      </c>
      <c r="M141" s="62"/>
      <c r="N141" s="10"/>
    </row>
    <row r="142" spans="3:20" outlineLevel="1">
      <c r="F142" s="11"/>
      <c r="G142" s="11"/>
      <c r="H142" s="11"/>
      <c r="I142" s="11"/>
      <c r="J142" s="11"/>
      <c r="K142" s="11"/>
      <c r="L142" s="11"/>
      <c r="M142" s="62"/>
      <c r="N142" s="10"/>
    </row>
    <row r="143" spans="3:20" ht="15.6" outlineLevel="1">
      <c r="C143" s="3" t="s">
        <v>166</v>
      </c>
      <c r="F143" s="11"/>
      <c r="G143" s="11">
        <f>G132-G137</f>
        <v>-0.83000000000000185</v>
      </c>
      <c r="H143" s="11">
        <f>H132-H137</f>
        <v>-2.0600000000000041</v>
      </c>
      <c r="I143" s="11">
        <f t="shared" ref="I143:L143" si="29">I132-I137</f>
        <v>-0.54999999999999893</v>
      </c>
      <c r="J143" s="11">
        <f t="shared" si="29"/>
        <v>-1.0499999999999972</v>
      </c>
      <c r="K143" s="11">
        <f t="shared" si="29"/>
        <v>-1.4299999999999979</v>
      </c>
      <c r="L143" s="11">
        <f t="shared" si="29"/>
        <v>-2.0199999999999996</v>
      </c>
      <c r="M143" s="62"/>
      <c r="N143" s="10" t="s">
        <v>175</v>
      </c>
    </row>
    <row r="144" spans="3:20" outlineLevel="1">
      <c r="F144" s="11"/>
      <c r="G144" s="11"/>
      <c r="H144" s="11"/>
      <c r="I144" s="11"/>
      <c r="J144" s="11"/>
      <c r="K144" s="11"/>
      <c r="L144" s="11"/>
      <c r="M144" s="62"/>
      <c r="N144" s="10"/>
    </row>
    <row r="145" spans="2:14" ht="15.6" outlineLevel="1">
      <c r="C145" s="3" t="s">
        <v>167</v>
      </c>
      <c r="F145" s="11" t="s">
        <v>158</v>
      </c>
      <c r="G145" s="28" t="str">
        <f t="shared" ref="G145:L145" si="30">IF(G141=G9,"OK","ERROR")</f>
        <v>OK</v>
      </c>
      <c r="H145" s="28" t="str">
        <f t="shared" si="30"/>
        <v>OK</v>
      </c>
      <c r="I145" s="28" t="str">
        <f t="shared" si="30"/>
        <v>OK</v>
      </c>
      <c r="J145" s="28" t="str">
        <f t="shared" si="30"/>
        <v>OK</v>
      </c>
      <c r="K145" s="28" t="str">
        <f t="shared" si="30"/>
        <v>OK</v>
      </c>
      <c r="L145" s="28" t="str">
        <f t="shared" si="30"/>
        <v>OK</v>
      </c>
      <c r="M145" s="63"/>
      <c r="N145" s="10" t="s">
        <v>169</v>
      </c>
    </row>
    <row r="146" spans="2:14" outlineLevel="1">
      <c r="F146" s="11"/>
      <c r="G146" s="11"/>
      <c r="H146" s="11"/>
      <c r="I146" s="11"/>
      <c r="J146" s="11"/>
      <c r="K146" s="11"/>
      <c r="L146" s="11"/>
      <c r="M146" s="62"/>
      <c r="N146" s="10"/>
    </row>
    <row r="147" spans="2:14" ht="15.6" outlineLevel="1">
      <c r="C147" s="3" t="s">
        <v>168</v>
      </c>
      <c r="F147" s="11"/>
      <c r="G147" s="28" t="s">
        <v>158</v>
      </c>
      <c r="H147" s="28" t="str">
        <f>IF(G141+H143=H141,"OK","ERROR")</f>
        <v>OK</v>
      </c>
      <c r="I147" s="28" t="str">
        <f>IF(H141+I143=I141,"OK","ERROR")</f>
        <v>OK</v>
      </c>
      <c r="J147" s="28" t="str">
        <f t="shared" ref="J147:L147" si="31">IF(I141+J143=J141,"OK","ERROR")</f>
        <v>OK</v>
      </c>
      <c r="K147" s="28" t="str">
        <f t="shared" si="31"/>
        <v>OK</v>
      </c>
      <c r="L147" s="28" t="str">
        <f t="shared" si="31"/>
        <v>OK</v>
      </c>
      <c r="M147" s="63"/>
      <c r="N147" s="10" t="s">
        <v>170</v>
      </c>
    </row>
    <row r="148" spans="2:14" outlineLevel="1">
      <c r="F148" s="11"/>
      <c r="G148" s="11"/>
      <c r="H148" s="11"/>
      <c r="I148" s="11"/>
      <c r="J148" s="11"/>
      <c r="K148" s="11"/>
      <c r="L148" s="11"/>
      <c r="M148" s="62"/>
      <c r="N148" s="2"/>
    </row>
    <row r="149" spans="2:14" outlineLevel="1">
      <c r="C149" s="17"/>
      <c r="D149" s="17"/>
      <c r="E149" s="17"/>
      <c r="F149" s="19"/>
      <c r="G149" s="19"/>
      <c r="H149" s="19"/>
      <c r="I149" s="19"/>
      <c r="J149" s="19"/>
      <c r="K149" s="19"/>
      <c r="L149" s="19"/>
      <c r="M149" s="62"/>
      <c r="N149" s="2"/>
    </row>
    <row r="150" spans="2:14" outlineLevel="1">
      <c r="F150" s="11"/>
      <c r="G150" s="11"/>
      <c r="H150" s="11"/>
      <c r="I150" s="11"/>
      <c r="J150" s="11"/>
      <c r="K150" s="11"/>
      <c r="L150" s="11"/>
      <c r="M150" s="62"/>
      <c r="N150" s="2"/>
    </row>
    <row r="151" spans="2:14" outlineLevel="1">
      <c r="C151" s="2" t="s">
        <v>221</v>
      </c>
      <c r="F151" s="11"/>
      <c r="G151" s="15">
        <v>1.1100000000000001</v>
      </c>
      <c r="H151" s="15">
        <v>1.1200000000000001</v>
      </c>
      <c r="I151" s="15">
        <v>1.0900000000000001</v>
      </c>
      <c r="J151" s="15">
        <v>1.1000000000000001</v>
      </c>
      <c r="K151" s="15">
        <v>1.1000000000000001</v>
      </c>
      <c r="L151" s="15">
        <v>1.1200000000000001</v>
      </c>
      <c r="M151" s="58"/>
      <c r="N151" s="2"/>
    </row>
    <row r="152" spans="2:14" outlineLevel="1">
      <c r="C152" s="2" t="s">
        <v>750</v>
      </c>
      <c r="F152" s="11"/>
      <c r="G152" s="11">
        <f>G151-G154</f>
        <v>-5.0000000000000044E-2</v>
      </c>
      <c r="H152" s="11">
        <f>H151-H154</f>
        <v>0.46999999999999975</v>
      </c>
      <c r="I152" s="11">
        <f t="shared" ref="I152" si="32">I151-I154</f>
        <v>-0.24</v>
      </c>
      <c r="J152" s="11">
        <f t="shared" ref="J152" si="33">J151-J154</f>
        <v>6.0000000000000941E-2</v>
      </c>
      <c r="K152" s="11">
        <f t="shared" ref="K152" si="34">K151-K154</f>
        <v>0.60999999999999988</v>
      </c>
      <c r="L152" s="11">
        <f t="shared" ref="L152" si="35">L151-L154</f>
        <v>1.0300000000000002</v>
      </c>
      <c r="M152" s="62"/>
      <c r="N152" s="2"/>
    </row>
    <row r="153" spans="2:14" outlineLevel="1">
      <c r="F153" s="11"/>
      <c r="G153" s="11"/>
      <c r="H153" s="11"/>
      <c r="I153" s="11"/>
      <c r="J153" s="11"/>
      <c r="K153" s="11"/>
      <c r="L153" s="11"/>
      <c r="M153" s="62"/>
      <c r="N153" s="2"/>
    </row>
    <row r="154" spans="2:14" outlineLevel="1">
      <c r="C154" s="13" t="s">
        <v>176</v>
      </c>
      <c r="D154" s="13"/>
      <c r="E154" s="13"/>
      <c r="F154" s="14"/>
      <c r="G154" s="14">
        <f>G137</f>
        <v>1.1600000000000001</v>
      </c>
      <c r="H154" s="14">
        <f t="shared" ref="H154:L154" si="36">H137</f>
        <v>0.65000000000000036</v>
      </c>
      <c r="I154" s="14">
        <f t="shared" si="36"/>
        <v>1.33</v>
      </c>
      <c r="J154" s="14">
        <f t="shared" si="36"/>
        <v>1.0399999999999991</v>
      </c>
      <c r="K154" s="14">
        <f t="shared" si="36"/>
        <v>0.49000000000000021</v>
      </c>
      <c r="L154" s="14">
        <f t="shared" si="36"/>
        <v>8.9999999999999858E-2</v>
      </c>
      <c r="M154" s="62"/>
      <c r="N154" s="2"/>
    </row>
    <row r="155" spans="2:14" outlineLevel="1">
      <c r="N155" s="2"/>
    </row>
    <row r="156" spans="2:14" s="80" customFormat="1" ht="14.4" collapsed="1">
      <c r="M156" s="496"/>
    </row>
    <row r="157" spans="2:14">
      <c r="N157" s="2"/>
    </row>
    <row r="158" spans="2:14">
      <c r="N158" s="2"/>
    </row>
    <row r="159" spans="2:14">
      <c r="N159" s="2"/>
    </row>
    <row r="160" spans="2:14" ht="15.6">
      <c r="B160" s="3">
        <v>3</v>
      </c>
      <c r="L160" s="4"/>
      <c r="N160" s="2"/>
    </row>
    <row r="161" spans="3:14" ht="15.6" outlineLevel="1">
      <c r="H161" s="3" t="s">
        <v>178</v>
      </c>
      <c r="N161" s="2"/>
    </row>
    <row r="162" spans="3:14" outlineLevel="1">
      <c r="N162" s="2"/>
    </row>
    <row r="163" spans="3:14" ht="15.6" outlineLevel="1">
      <c r="C163" s="3" t="s">
        <v>157</v>
      </c>
      <c r="F163" s="78" t="s">
        <v>165</v>
      </c>
      <c r="G163" s="78" t="s">
        <v>229</v>
      </c>
      <c r="H163" s="78" t="s">
        <v>230</v>
      </c>
      <c r="I163" s="78" t="s">
        <v>231</v>
      </c>
      <c r="J163" s="78" t="s">
        <v>232</v>
      </c>
      <c r="K163" s="78" t="s">
        <v>233</v>
      </c>
      <c r="L163" s="78" t="s">
        <v>234</v>
      </c>
      <c r="M163" s="61"/>
      <c r="N163" s="2"/>
    </row>
    <row r="164" spans="3:14" outlineLevel="1">
      <c r="F164" s="11"/>
      <c r="G164" s="11"/>
      <c r="H164" s="11"/>
      <c r="I164" s="11"/>
      <c r="J164" s="11"/>
      <c r="K164" s="11"/>
      <c r="L164" s="11"/>
      <c r="M164" s="62"/>
      <c r="N164" s="2"/>
    </row>
    <row r="165" spans="3:14" outlineLevel="1">
      <c r="D165" s="2" t="s">
        <v>159</v>
      </c>
      <c r="F165" s="15"/>
      <c r="G165" s="11">
        <f>F167</f>
        <v>62.14</v>
      </c>
      <c r="H165" s="11">
        <f>G167</f>
        <v>63.59</v>
      </c>
      <c r="I165" s="11">
        <f t="shared" ref="I165:L165" si="37">H167</f>
        <v>93.32</v>
      </c>
      <c r="J165" s="11">
        <f t="shared" si="37"/>
        <v>113.35</v>
      </c>
      <c r="K165" s="11">
        <f t="shared" si="37"/>
        <v>122.33</v>
      </c>
      <c r="L165" s="11">
        <f t="shared" si="37"/>
        <v>127.08</v>
      </c>
      <c r="M165" s="62"/>
      <c r="N165" s="2"/>
    </row>
    <row r="166" spans="3:14" outlineLevel="1">
      <c r="C166" s="2" t="s">
        <v>161</v>
      </c>
      <c r="D166" s="2" t="s">
        <v>162</v>
      </c>
      <c r="F166" s="11"/>
      <c r="G166" s="11">
        <f>G167-G165</f>
        <v>1.4500000000000028</v>
      </c>
      <c r="H166" s="11">
        <f>H167-H165</f>
        <v>29.72999999999999</v>
      </c>
      <c r="I166" s="11">
        <f t="shared" ref="I166" si="38">I167-I165</f>
        <v>20.03</v>
      </c>
      <c r="J166" s="11">
        <f t="shared" ref="J166" si="39">J167-J165</f>
        <v>8.980000000000004</v>
      </c>
      <c r="K166" s="11">
        <f t="shared" ref="K166" si="40">K167-K165</f>
        <v>4.75</v>
      </c>
      <c r="L166" s="11">
        <f t="shared" ref="L166" si="41">L167-L165</f>
        <v>882.95999999999992</v>
      </c>
      <c r="M166" s="62"/>
      <c r="N166" s="10" t="s">
        <v>173</v>
      </c>
    </row>
    <row r="167" spans="3:14" outlineLevel="1">
      <c r="C167" s="13"/>
      <c r="D167" s="13" t="s">
        <v>163</v>
      </c>
      <c r="E167" s="13"/>
      <c r="F167" s="44">
        <v>62.14</v>
      </c>
      <c r="G167" s="44">
        <v>63.59</v>
      </c>
      <c r="H167" s="44">
        <v>93.32</v>
      </c>
      <c r="I167" s="44">
        <v>113.35</v>
      </c>
      <c r="J167" s="44">
        <v>122.33</v>
      </c>
      <c r="K167" s="44">
        <v>127.08</v>
      </c>
      <c r="L167" s="44">
        <v>1010.04</v>
      </c>
      <c r="M167" s="58"/>
      <c r="N167" s="10"/>
    </row>
    <row r="168" spans="3:14" outlineLevel="1">
      <c r="F168" s="11"/>
      <c r="G168" s="11"/>
      <c r="H168" s="11"/>
      <c r="I168" s="11"/>
      <c r="J168" s="11"/>
      <c r="K168" s="11"/>
      <c r="L168" s="11"/>
      <c r="M168" s="62"/>
      <c r="N168" s="10"/>
    </row>
    <row r="169" spans="3:14" ht="15.6" outlineLevel="1">
      <c r="C169" s="3" t="s">
        <v>164</v>
      </c>
      <c r="D169" s="2" t="s">
        <v>180</v>
      </c>
      <c r="F169" s="11"/>
      <c r="G169" s="11"/>
      <c r="H169" s="11"/>
      <c r="I169" s="11"/>
      <c r="J169" s="11"/>
      <c r="K169" s="11"/>
      <c r="L169" s="11"/>
      <c r="M169" s="62"/>
      <c r="N169" s="10" t="s">
        <v>223</v>
      </c>
    </row>
    <row r="170" spans="3:14" outlineLevel="1">
      <c r="D170" s="2" t="s">
        <v>159</v>
      </c>
      <c r="F170" s="11"/>
      <c r="G170" s="11">
        <f>F172</f>
        <v>48.28</v>
      </c>
      <c r="H170" s="11">
        <f>G172</f>
        <v>53.28</v>
      </c>
      <c r="I170" s="11">
        <f t="shared" ref="I170:L170" si="42">H172</f>
        <v>60.4</v>
      </c>
      <c r="J170" s="11">
        <f t="shared" si="42"/>
        <v>69.17</v>
      </c>
      <c r="K170" s="11">
        <f t="shared" si="42"/>
        <v>77.62</v>
      </c>
      <c r="L170" s="11">
        <f t="shared" si="42"/>
        <v>87.35</v>
      </c>
      <c r="M170" s="62"/>
      <c r="N170" s="10"/>
    </row>
    <row r="171" spans="3:14" outlineLevel="1">
      <c r="C171" s="2" t="s">
        <v>161</v>
      </c>
      <c r="D171" s="2" t="s">
        <v>179</v>
      </c>
      <c r="F171" s="11"/>
      <c r="G171" s="11">
        <f>G172-G170</f>
        <v>5</v>
      </c>
      <c r="H171" s="11">
        <f t="shared" ref="H171" si="43">H172-H170</f>
        <v>7.1199999999999974</v>
      </c>
      <c r="I171" s="11">
        <f t="shared" ref="I171" si="44">I172-I170</f>
        <v>8.7700000000000031</v>
      </c>
      <c r="J171" s="11">
        <f t="shared" ref="J171" si="45">J172-J170</f>
        <v>8.4500000000000028</v>
      </c>
      <c r="K171" s="11">
        <f t="shared" ref="K171" si="46">K172-K170</f>
        <v>9.7299999999999898</v>
      </c>
      <c r="L171" s="11">
        <f t="shared" ref="L171" si="47">L172-L170</f>
        <v>33.960000000000008</v>
      </c>
      <c r="M171" s="62"/>
      <c r="N171" s="10" t="s">
        <v>174</v>
      </c>
    </row>
    <row r="172" spans="3:14" outlineLevel="1">
      <c r="C172" s="13"/>
      <c r="D172" s="13" t="s">
        <v>163</v>
      </c>
      <c r="E172" s="13"/>
      <c r="F172" s="44">
        <v>48.28</v>
      </c>
      <c r="G172" s="44">
        <v>53.28</v>
      </c>
      <c r="H172" s="44">
        <v>60.4</v>
      </c>
      <c r="I172" s="44">
        <v>69.17</v>
      </c>
      <c r="J172" s="44">
        <v>77.62</v>
      </c>
      <c r="K172" s="44">
        <v>87.35</v>
      </c>
      <c r="L172" s="44">
        <v>121.31</v>
      </c>
      <c r="M172" s="58"/>
      <c r="N172" s="10"/>
    </row>
    <row r="173" spans="3:14" outlineLevel="1">
      <c r="F173" s="11"/>
      <c r="G173" s="11"/>
      <c r="H173" s="11"/>
      <c r="I173" s="11"/>
      <c r="J173" s="11"/>
      <c r="K173" s="11"/>
      <c r="L173" s="11"/>
      <c r="M173" s="62"/>
      <c r="N173" s="10"/>
    </row>
    <row r="174" spans="3:14" outlineLevel="1">
      <c r="F174" s="11"/>
      <c r="G174" s="11"/>
      <c r="H174" s="11"/>
      <c r="I174" s="11"/>
      <c r="J174" s="11"/>
      <c r="K174" s="11"/>
      <c r="L174" s="11"/>
      <c r="M174" s="62"/>
      <c r="N174" s="10"/>
    </row>
    <row r="175" spans="3:14" ht="15.6" outlineLevel="1">
      <c r="C175" s="12" t="s">
        <v>160</v>
      </c>
      <c r="D175" s="13"/>
      <c r="E175" s="13"/>
      <c r="F175" s="14"/>
      <c r="G175" s="14">
        <f>G167-G172</f>
        <v>10.310000000000002</v>
      </c>
      <c r="H175" s="14">
        <f t="shared" ref="H175:L175" si="48">H167-H172</f>
        <v>32.919999999999995</v>
      </c>
      <c r="I175" s="14">
        <f t="shared" si="48"/>
        <v>44.179999999999993</v>
      </c>
      <c r="J175" s="14">
        <f t="shared" si="48"/>
        <v>44.709999999999994</v>
      </c>
      <c r="K175" s="14">
        <f t="shared" si="48"/>
        <v>39.730000000000004</v>
      </c>
      <c r="L175" s="14">
        <f t="shared" si="48"/>
        <v>888.73</v>
      </c>
      <c r="M175" s="62"/>
      <c r="N175" s="10"/>
    </row>
    <row r="176" spans="3:14" outlineLevel="1">
      <c r="F176" s="11"/>
      <c r="G176" s="11"/>
      <c r="H176" s="11"/>
      <c r="I176" s="11"/>
      <c r="J176" s="11"/>
      <c r="K176" s="11"/>
      <c r="L176" s="11"/>
      <c r="M176" s="62"/>
      <c r="N176" s="10"/>
    </row>
    <row r="177" spans="2:15" ht="15.6" outlineLevel="1">
      <c r="C177" s="3" t="s">
        <v>166</v>
      </c>
      <c r="F177" s="11"/>
      <c r="G177" s="11">
        <f>G166-G171</f>
        <v>-3.5499999999999972</v>
      </c>
      <c r="H177" s="11">
        <f>H166-H171</f>
        <v>22.609999999999992</v>
      </c>
      <c r="I177" s="11">
        <f t="shared" ref="I177:L177" si="49">I166-I171</f>
        <v>11.259999999999998</v>
      </c>
      <c r="J177" s="11">
        <f t="shared" si="49"/>
        <v>0.53000000000000114</v>
      </c>
      <c r="K177" s="11">
        <f t="shared" si="49"/>
        <v>-4.9799999999999898</v>
      </c>
      <c r="L177" s="11">
        <f t="shared" si="49"/>
        <v>848.99999999999989</v>
      </c>
      <c r="M177" s="62"/>
      <c r="N177" s="10" t="s">
        <v>175</v>
      </c>
    </row>
    <row r="178" spans="2:15" outlineLevel="1">
      <c r="F178" s="11"/>
      <c r="G178" s="11"/>
      <c r="H178" s="11"/>
      <c r="I178" s="11"/>
      <c r="J178" s="11"/>
      <c r="K178" s="11"/>
      <c r="L178" s="11"/>
      <c r="M178" s="62"/>
      <c r="N178" s="10"/>
    </row>
    <row r="179" spans="2:15" ht="15.6" outlineLevel="1">
      <c r="C179" s="3" t="s">
        <v>167</v>
      </c>
      <c r="F179" s="11" t="s">
        <v>158</v>
      </c>
      <c r="G179" s="28" t="str">
        <f t="shared" ref="G179:L179" si="50">IF(G175=G11,"OK","ERROR")</f>
        <v>OK</v>
      </c>
      <c r="H179" s="28" t="str">
        <f t="shared" si="50"/>
        <v>OK</v>
      </c>
      <c r="I179" s="28" t="str">
        <f t="shared" si="50"/>
        <v>OK</v>
      </c>
      <c r="J179" s="28" t="str">
        <f t="shared" si="50"/>
        <v>OK</v>
      </c>
      <c r="K179" s="28" t="str">
        <f t="shared" si="50"/>
        <v>OK</v>
      </c>
      <c r="L179" s="28" t="str">
        <f t="shared" si="50"/>
        <v>OK</v>
      </c>
      <c r="M179" s="63"/>
      <c r="N179" s="10" t="s">
        <v>169</v>
      </c>
    </row>
    <row r="180" spans="2:15" outlineLevel="1">
      <c r="F180" s="11"/>
      <c r="G180" s="11"/>
      <c r="H180" s="11"/>
      <c r="I180" s="11"/>
      <c r="J180" s="11"/>
      <c r="K180" s="11"/>
      <c r="L180" s="11"/>
      <c r="M180" s="62"/>
      <c r="N180" s="10"/>
    </row>
    <row r="181" spans="2:15" ht="15.6" outlineLevel="1">
      <c r="C181" s="3" t="s">
        <v>168</v>
      </c>
      <c r="F181" s="11"/>
      <c r="G181" s="28" t="s">
        <v>158</v>
      </c>
      <c r="H181" s="28" t="str">
        <f>IF(G175+H177=H175,"OK","ERROR")</f>
        <v>OK</v>
      </c>
      <c r="I181" s="28" t="str">
        <f>IF(H175+I177=I175,"OK","ERROR")</f>
        <v>OK</v>
      </c>
      <c r="J181" s="28" t="str">
        <f t="shared" ref="J181:L181" si="51">IF(I175+J177=J175,"OK","ERROR")</f>
        <v>OK</v>
      </c>
      <c r="K181" s="28" t="str">
        <f t="shared" si="51"/>
        <v>OK</v>
      </c>
      <c r="L181" s="28" t="str">
        <f t="shared" si="51"/>
        <v>OK</v>
      </c>
      <c r="M181" s="63"/>
      <c r="N181" s="10" t="s">
        <v>170</v>
      </c>
    </row>
    <row r="182" spans="2:15" outlineLevel="1">
      <c r="F182" s="11"/>
      <c r="G182" s="11"/>
      <c r="H182" s="11"/>
      <c r="I182" s="11"/>
      <c r="J182" s="11"/>
      <c r="K182" s="11"/>
      <c r="L182" s="11"/>
      <c r="M182" s="62"/>
      <c r="N182" s="2"/>
    </row>
    <row r="183" spans="2:15" outlineLevel="1">
      <c r="C183" s="17"/>
      <c r="D183" s="17"/>
      <c r="E183" s="17"/>
      <c r="F183" s="19"/>
      <c r="G183" s="19"/>
      <c r="H183" s="19"/>
      <c r="I183" s="19"/>
      <c r="J183" s="19"/>
      <c r="K183" s="19"/>
      <c r="L183" s="19"/>
      <c r="M183" s="62"/>
      <c r="N183" s="2"/>
    </row>
    <row r="184" spans="2:15" outlineLevel="1">
      <c r="F184" s="11"/>
      <c r="G184" s="11"/>
      <c r="H184" s="11"/>
      <c r="I184" s="11"/>
      <c r="J184" s="11"/>
      <c r="K184" s="11"/>
      <c r="L184" s="11"/>
      <c r="M184" s="62"/>
      <c r="N184" s="2"/>
    </row>
    <row r="185" spans="2:15" outlineLevel="1">
      <c r="C185" s="2" t="s">
        <v>222</v>
      </c>
      <c r="F185" s="11"/>
      <c r="G185" s="15">
        <v>5.12</v>
      </c>
      <c r="H185" s="15">
        <v>7.18</v>
      </c>
      <c r="I185" s="15">
        <v>9.11</v>
      </c>
      <c r="J185" s="15">
        <v>8.61</v>
      </c>
      <c r="K185" s="15">
        <v>9.65</v>
      </c>
      <c r="L185" s="15">
        <v>33.32</v>
      </c>
      <c r="M185" s="58"/>
      <c r="N185" s="2"/>
    </row>
    <row r="186" spans="2:15" outlineLevel="1">
      <c r="C186" s="2" t="s">
        <v>751</v>
      </c>
      <c r="F186" s="11"/>
      <c r="G186" s="11">
        <f>G185-G188</f>
        <v>0.12000000000000011</v>
      </c>
      <c r="H186" s="11">
        <f>H185-H188</f>
        <v>6.0000000000002274E-2</v>
      </c>
      <c r="I186" s="11">
        <f t="shared" ref="I186" si="52">I185-I188</f>
        <v>0.33999999999999631</v>
      </c>
      <c r="J186" s="11">
        <f t="shared" ref="J186" si="53">J185-J188</f>
        <v>0.15999999999999659</v>
      </c>
      <c r="K186" s="11">
        <f t="shared" ref="K186" si="54">K185-K188</f>
        <v>-7.9999999999989413E-2</v>
      </c>
      <c r="L186" s="11">
        <f t="shared" ref="L186" si="55">L185-L188</f>
        <v>-0.64000000000000767</v>
      </c>
      <c r="M186" s="62"/>
      <c r="N186" s="2"/>
    </row>
    <row r="187" spans="2:15" outlineLevel="1">
      <c r="F187" s="11"/>
      <c r="G187" s="11"/>
      <c r="H187" s="11"/>
      <c r="I187" s="11"/>
      <c r="J187" s="11"/>
      <c r="K187" s="11"/>
      <c r="L187" s="11"/>
      <c r="M187" s="62"/>
      <c r="N187" s="2"/>
    </row>
    <row r="188" spans="2:15" outlineLevel="1">
      <c r="C188" s="13" t="s">
        <v>176</v>
      </c>
      <c r="D188" s="13"/>
      <c r="E188" s="13"/>
      <c r="F188" s="14"/>
      <c r="G188" s="14">
        <f>G171</f>
        <v>5</v>
      </c>
      <c r="H188" s="14">
        <f t="shared" ref="H188:L188" si="56">H171</f>
        <v>7.1199999999999974</v>
      </c>
      <c r="I188" s="14">
        <f t="shared" si="56"/>
        <v>8.7700000000000031</v>
      </c>
      <c r="J188" s="14">
        <f t="shared" si="56"/>
        <v>8.4500000000000028</v>
      </c>
      <c r="K188" s="14">
        <f t="shared" si="56"/>
        <v>9.7299999999999898</v>
      </c>
      <c r="L188" s="14">
        <f t="shared" si="56"/>
        <v>33.960000000000008</v>
      </c>
      <c r="M188" s="62"/>
      <c r="N188" s="2"/>
      <c r="O188" s="45"/>
    </row>
    <row r="189" spans="2:15" outlineLevel="1">
      <c r="N189" s="2"/>
      <c r="O189" s="11"/>
    </row>
    <row r="190" spans="2:15" s="80" customFormat="1" ht="14.4" collapsed="1">
      <c r="M190" s="496"/>
    </row>
    <row r="191" spans="2:15">
      <c r="N191" s="2"/>
    </row>
    <row r="192" spans="2:15" ht="15.6">
      <c r="B192" s="3">
        <v>4</v>
      </c>
      <c r="N192" s="2"/>
    </row>
    <row r="193" spans="2:20">
      <c r="N193" s="2"/>
    </row>
    <row r="194" spans="2:20" ht="15.6" outlineLevel="1">
      <c r="G194" s="3" t="s">
        <v>224</v>
      </c>
      <c r="N194" s="2"/>
    </row>
    <row r="195" spans="2:20" outlineLevel="1"/>
    <row r="196" spans="2:20" outlineLevel="1">
      <c r="F196" s="77" t="s">
        <v>165</v>
      </c>
      <c r="G196" s="77" t="s">
        <v>229</v>
      </c>
      <c r="H196" s="77" t="s">
        <v>230</v>
      </c>
      <c r="I196" s="77" t="s">
        <v>231</v>
      </c>
      <c r="J196" s="77" t="s">
        <v>232</v>
      </c>
      <c r="K196" s="77" t="s">
        <v>233</v>
      </c>
      <c r="L196" s="77" t="s">
        <v>234</v>
      </c>
    </row>
    <row r="197" spans="2:20" outlineLevel="1">
      <c r="N197" s="2"/>
    </row>
    <row r="198" spans="2:20" ht="15.6" outlineLevel="1">
      <c r="C198" s="3" t="s">
        <v>181</v>
      </c>
      <c r="G198" s="4">
        <f>G185+G151+G118</f>
        <v>162.17999999999998</v>
      </c>
      <c r="H198" s="4">
        <f>H185+H151+H118</f>
        <v>176.9</v>
      </c>
      <c r="I198" s="4">
        <f t="shared" ref="I198:L198" si="57">I185+I151+I118</f>
        <v>220.45</v>
      </c>
      <c r="J198" s="4">
        <f t="shared" si="57"/>
        <v>240.13</v>
      </c>
      <c r="K198" s="4">
        <f t="shared" si="57"/>
        <v>252.89000000000001</v>
      </c>
      <c r="L198" s="4">
        <f t="shared" si="57"/>
        <v>310.95999999999998</v>
      </c>
      <c r="M198" s="497"/>
      <c r="N198" s="3" t="s">
        <v>267</v>
      </c>
      <c r="R198" s="2" t="s">
        <v>271</v>
      </c>
    </row>
    <row r="199" spans="2:20" outlineLevel="1">
      <c r="N199" s="2"/>
    </row>
    <row r="200" spans="2:20" outlineLevel="1">
      <c r="G200" s="29" t="str">
        <f>IF(G198='P&amp;L'!G21*-1,"OK","ERROR")</f>
        <v>OK</v>
      </c>
      <c r="H200" s="29" t="str">
        <f>IF(H198='P&amp;L'!H21*-1,"OK","ERROR")</f>
        <v>OK</v>
      </c>
      <c r="I200" s="29" t="str">
        <f>IF(I198='P&amp;L'!I21*-1,"OK","ERROR")</f>
        <v>OK</v>
      </c>
      <c r="J200" s="29" t="str">
        <f>IF(J198='P&amp;L'!J21*-1,"OK","ERROR")</f>
        <v>OK</v>
      </c>
      <c r="K200" s="29" t="str">
        <f>IF(K198='P&amp;L'!K21*-1,"OK","ERROR")</f>
        <v>OK</v>
      </c>
      <c r="L200" s="29" t="str">
        <f>IF(L198='P&amp;L'!L21*-1,"OK","ERROR")</f>
        <v>OK</v>
      </c>
      <c r="M200" s="64"/>
      <c r="N200" s="2" t="s">
        <v>268</v>
      </c>
      <c r="P200" s="11">
        <f>J202</f>
        <v>149.51</v>
      </c>
      <c r="R200" s="2" t="s">
        <v>117</v>
      </c>
      <c r="T200" s="11">
        <f>J110</f>
        <v>-9.2800000000002001</v>
      </c>
    </row>
    <row r="201" spans="2:20" ht="15.6" outlineLevel="1">
      <c r="M201" s="498"/>
      <c r="N201" s="2" t="s">
        <v>269</v>
      </c>
      <c r="P201" s="11">
        <f>J203</f>
        <v>159.31000000000017</v>
      </c>
      <c r="R201" s="2" t="s">
        <v>272</v>
      </c>
      <c r="T201" s="11">
        <f>J143</f>
        <v>-1.0499999999999972</v>
      </c>
    </row>
    <row r="202" spans="2:20" ht="15.6" outlineLevel="1">
      <c r="C202" s="3" t="s">
        <v>182</v>
      </c>
      <c r="G202" s="11">
        <f t="shared" ref="G202:L202" si="58">G99+G132+G166</f>
        <v>202.04999999999995</v>
      </c>
      <c r="H202" s="11">
        <f t="shared" si="58"/>
        <v>168.59000000000043</v>
      </c>
      <c r="I202" s="11">
        <f t="shared" si="58"/>
        <v>490.63999999999987</v>
      </c>
      <c r="J202" s="11">
        <f t="shared" si="58"/>
        <v>149.51</v>
      </c>
      <c r="K202" s="11">
        <f t="shared" si="58"/>
        <v>347.13999999999993</v>
      </c>
      <c r="L202" s="11">
        <f t="shared" si="58"/>
        <v>1387.7299999999998</v>
      </c>
      <c r="M202" s="62"/>
      <c r="N202" s="2"/>
      <c r="R202" s="2" t="s">
        <v>273</v>
      </c>
      <c r="T202" s="11">
        <f>J177</f>
        <v>0.53000000000000114</v>
      </c>
    </row>
    <row r="203" spans="2:20" ht="15.6" outlineLevel="1">
      <c r="C203" s="3" t="s">
        <v>183</v>
      </c>
      <c r="G203" s="11">
        <f>G104+G137+G171</f>
        <v>133.34999999999994</v>
      </c>
      <c r="H203" s="11">
        <f t="shared" ref="H203:L203" si="59">H104+H137+H171</f>
        <v>152.16999999999999</v>
      </c>
      <c r="I203" s="11">
        <f t="shared" si="59"/>
        <v>206.91999999999996</v>
      </c>
      <c r="J203" s="11">
        <f t="shared" si="59"/>
        <v>159.31000000000017</v>
      </c>
      <c r="K203" s="11">
        <f t="shared" si="59"/>
        <v>197.29999999999993</v>
      </c>
      <c r="L203" s="11">
        <f t="shared" si="59"/>
        <v>271.08</v>
      </c>
      <c r="M203" s="62"/>
      <c r="N203" s="2" t="s">
        <v>270</v>
      </c>
      <c r="P203" s="14">
        <f>P200-P201</f>
        <v>-9.8000000000001819</v>
      </c>
      <c r="T203" s="14">
        <f>SUM(T200:T202)</f>
        <v>-9.8000000000001961</v>
      </c>
    </row>
    <row r="204" spans="2:20" outlineLevel="1">
      <c r="G204" s="11"/>
      <c r="H204" s="11"/>
      <c r="I204" s="11"/>
      <c r="J204" s="11"/>
      <c r="K204" s="11"/>
      <c r="L204" s="11"/>
      <c r="M204" s="62"/>
      <c r="N204" s="2"/>
    </row>
    <row r="205" spans="2:20" ht="15.6" outlineLevel="1">
      <c r="B205" s="45"/>
      <c r="C205" s="12" t="s">
        <v>166</v>
      </c>
      <c r="D205" s="13"/>
      <c r="E205" s="13"/>
      <c r="F205" s="13"/>
      <c r="G205" s="14">
        <f>G202-G203</f>
        <v>68.700000000000017</v>
      </c>
      <c r="H205" s="14">
        <f t="shared" ref="H205:L205" si="60">H202-H203</f>
        <v>16.420000000000442</v>
      </c>
      <c r="I205" s="14">
        <f t="shared" si="60"/>
        <v>283.71999999999991</v>
      </c>
      <c r="J205" s="14">
        <f>J202-J203</f>
        <v>-9.8000000000001819</v>
      </c>
      <c r="K205" s="14">
        <f t="shared" si="60"/>
        <v>149.84</v>
      </c>
      <c r="L205" s="14">
        <f t="shared" si="60"/>
        <v>1116.6499999999999</v>
      </c>
      <c r="M205" s="62"/>
      <c r="N205" s="426"/>
      <c r="O205" s="427"/>
    </row>
    <row r="206" spans="2:20" outlineLevel="1">
      <c r="B206" s="45"/>
      <c r="G206" s="4"/>
      <c r="H206" s="4"/>
      <c r="I206" s="4"/>
      <c r="J206" s="4"/>
      <c r="K206" s="4"/>
      <c r="L206" s="4"/>
      <c r="M206" s="497"/>
      <c r="N206" s="2"/>
    </row>
    <row r="207" spans="2:20" outlineLevel="1">
      <c r="B207" s="2" t="s">
        <v>214</v>
      </c>
      <c r="D207" s="2" t="s">
        <v>216</v>
      </c>
      <c r="G207" s="29" t="str">
        <f t="shared" ref="G207:L207" si="61">IF(G205=SUM(G110,G143,G177),"OK","ERROR")</f>
        <v>OK</v>
      </c>
      <c r="H207" s="29" t="str">
        <f t="shared" si="61"/>
        <v>OK</v>
      </c>
      <c r="I207" s="29" t="str">
        <f t="shared" si="61"/>
        <v>OK</v>
      </c>
      <c r="J207" s="98" t="s">
        <v>274</v>
      </c>
      <c r="K207" s="29" t="str">
        <f t="shared" si="61"/>
        <v>OK</v>
      </c>
      <c r="L207" s="29" t="str">
        <f t="shared" si="61"/>
        <v>OK</v>
      </c>
      <c r="M207" s="64"/>
    </row>
    <row r="208" spans="2:20" outlineLevel="1">
      <c r="J208" s="2" t="s">
        <v>275</v>
      </c>
      <c r="N208" s="2"/>
    </row>
    <row r="209" spans="2:14" customFormat="1" ht="15.6">
      <c r="B209" s="3">
        <v>5</v>
      </c>
      <c r="M209" s="122"/>
    </row>
    <row r="210" spans="2:14" s="80" customFormat="1" ht="14.4">
      <c r="M210" s="496"/>
    </row>
    <row r="211" spans="2:14" outlineLevel="1">
      <c r="M211" s="499"/>
      <c r="N211" s="2"/>
    </row>
    <row r="212" spans="2:14" ht="15.6" outlineLevel="1">
      <c r="H212" s="3" t="s">
        <v>189</v>
      </c>
      <c r="M212" s="499"/>
      <c r="N212" s="2"/>
    </row>
    <row r="213" spans="2:14" ht="15.6" outlineLevel="1" thickBot="1">
      <c r="B213" s="46"/>
      <c r="C213" s="46"/>
      <c r="D213" s="46"/>
      <c r="E213" s="46"/>
      <c r="F213" s="46"/>
      <c r="G213" s="46"/>
      <c r="H213" s="46"/>
      <c r="I213" s="46"/>
      <c r="J213" s="46"/>
      <c r="K213" s="46"/>
      <c r="L213" s="46"/>
      <c r="M213" s="499"/>
      <c r="N213" s="2"/>
    </row>
    <row r="214" spans="2:14" ht="15.6" outlineLevel="1" thickTop="1">
      <c r="M214" s="499"/>
      <c r="N214" s="2"/>
    </row>
    <row r="215" spans="2:14" outlineLevel="1">
      <c r="H215" s="45"/>
      <c r="M215" s="499"/>
      <c r="N215" s="2"/>
    </row>
    <row r="216" spans="2:14" outlineLevel="1">
      <c r="D216" s="2" t="s">
        <v>190</v>
      </c>
      <c r="G216" s="37">
        <v>382.92</v>
      </c>
      <c r="H216" s="37">
        <v>415.07</v>
      </c>
      <c r="I216" s="37">
        <v>418.21</v>
      </c>
      <c r="J216" s="37">
        <v>535.44000000000005</v>
      </c>
      <c r="K216" s="37">
        <v>671.07</v>
      </c>
      <c r="L216" s="37">
        <v>635.72</v>
      </c>
      <c r="M216" s="499"/>
      <c r="N216" s="2"/>
    </row>
    <row r="217" spans="2:14" outlineLevel="1">
      <c r="D217" s="2" t="s">
        <v>191</v>
      </c>
      <c r="G217" s="37">
        <v>179.37</v>
      </c>
      <c r="H217" s="37">
        <v>203.99</v>
      </c>
      <c r="I217" s="37">
        <v>214.59</v>
      </c>
      <c r="J217" s="37">
        <v>244.43</v>
      </c>
      <c r="K217" s="37">
        <v>276.26</v>
      </c>
      <c r="L217" s="37">
        <v>326.16000000000003</v>
      </c>
      <c r="M217" s="499"/>
      <c r="N217" s="2"/>
    </row>
    <row r="218" spans="2:14" outlineLevel="1">
      <c r="D218" s="2" t="s">
        <v>192</v>
      </c>
      <c r="G218" s="37">
        <v>117.59</v>
      </c>
      <c r="H218" s="37">
        <v>116.52</v>
      </c>
      <c r="I218" s="37">
        <v>110.02</v>
      </c>
      <c r="J218" s="37">
        <v>141.35</v>
      </c>
      <c r="K218" s="37">
        <v>156.38999999999999</v>
      </c>
      <c r="L218" s="37">
        <v>159.16</v>
      </c>
      <c r="N218" s="2"/>
    </row>
    <row r="219" spans="2:14" outlineLevel="1">
      <c r="D219" s="2" t="s">
        <v>193</v>
      </c>
      <c r="G219" s="37">
        <v>326.83999999999997</v>
      </c>
      <c r="H219" s="37">
        <v>322.07</v>
      </c>
      <c r="I219" s="37">
        <v>408.53</v>
      </c>
      <c r="J219" s="37">
        <v>501.16</v>
      </c>
      <c r="K219" s="37">
        <v>514.01</v>
      </c>
      <c r="L219" s="37">
        <v>520.23</v>
      </c>
      <c r="N219" s="2"/>
    </row>
    <row r="220" spans="2:14" outlineLevel="1">
      <c r="D220" s="2" t="s">
        <v>195</v>
      </c>
      <c r="G220" s="37">
        <v>241.79</v>
      </c>
      <c r="H220" s="37">
        <v>230.22</v>
      </c>
      <c r="I220" s="37">
        <v>217.97</v>
      </c>
      <c r="J220" s="37">
        <v>296.83</v>
      </c>
      <c r="K220" s="37">
        <v>271.8</v>
      </c>
      <c r="L220" s="37">
        <v>356.52</v>
      </c>
      <c r="N220" s="2"/>
    </row>
    <row r="221" spans="2:14" outlineLevel="1">
      <c r="D221" s="2" t="s">
        <v>196</v>
      </c>
      <c r="G221" s="37">
        <v>6.06</v>
      </c>
      <c r="H221" s="37">
        <v>10.83</v>
      </c>
      <c r="I221" s="37">
        <v>8.17</v>
      </c>
      <c r="J221" s="37">
        <v>12.55</v>
      </c>
      <c r="K221" s="37">
        <v>18.239999999999998</v>
      </c>
      <c r="L221" s="37">
        <v>21.26</v>
      </c>
      <c r="M221" s="64"/>
      <c r="N221" s="2"/>
    </row>
    <row r="222" spans="2:14" outlineLevel="1">
      <c r="D222" s="2" t="s">
        <v>194</v>
      </c>
      <c r="G222" s="37">
        <v>1.61</v>
      </c>
      <c r="H222" s="37">
        <v>1.83</v>
      </c>
      <c r="I222" s="37">
        <v>2.08</v>
      </c>
      <c r="J222" s="37">
        <v>2.52</v>
      </c>
      <c r="K222" s="37">
        <v>3.6</v>
      </c>
      <c r="L222" s="37">
        <v>5.15</v>
      </c>
      <c r="N222" s="2"/>
    </row>
    <row r="223" spans="2:14" outlineLevel="1">
      <c r="N223" s="2"/>
    </row>
    <row r="224" spans="2:14" ht="15.6" outlineLevel="1">
      <c r="D224" s="12" t="s">
        <v>197</v>
      </c>
      <c r="E224" s="13"/>
      <c r="F224" s="13"/>
      <c r="G224" s="13">
        <f>SUM(G216:G222)</f>
        <v>1256.1799999999998</v>
      </c>
      <c r="H224" s="13">
        <f t="shared" ref="H224:L224" si="62">SUM(H216:H222)</f>
        <v>1300.5299999999997</v>
      </c>
      <c r="I224" s="13">
        <f t="shared" si="62"/>
        <v>1379.57</v>
      </c>
      <c r="J224" s="13">
        <f t="shared" si="62"/>
        <v>1734.28</v>
      </c>
      <c r="K224" s="13">
        <f t="shared" si="62"/>
        <v>1911.37</v>
      </c>
      <c r="L224" s="13">
        <f t="shared" si="62"/>
        <v>2024.2000000000003</v>
      </c>
      <c r="N224" s="2"/>
    </row>
    <row r="225" spans="2:16" outlineLevel="1">
      <c r="M225" s="61"/>
      <c r="N225" s="22"/>
      <c r="O225" s="22"/>
      <c r="P225" s="22"/>
    </row>
    <row r="226" spans="2:16" outlineLevel="1">
      <c r="G226" s="29" t="str">
        <f t="shared" ref="G226:L226" si="63">IF(G224=G25,"OK","ERROR")</f>
        <v>OK</v>
      </c>
      <c r="H226" s="29" t="str">
        <f t="shared" si="63"/>
        <v>OK</v>
      </c>
      <c r="I226" s="29" t="str">
        <f t="shared" si="63"/>
        <v>OK</v>
      </c>
      <c r="J226" s="29" t="str">
        <f t="shared" si="63"/>
        <v>OK</v>
      </c>
      <c r="K226" s="29" t="str">
        <f t="shared" si="63"/>
        <v>OK</v>
      </c>
      <c r="L226" s="29" t="str">
        <f t="shared" si="63"/>
        <v>OK</v>
      </c>
      <c r="M226" s="61"/>
      <c r="N226" s="22"/>
      <c r="O226" s="22"/>
      <c r="P226" s="22"/>
    </row>
    <row r="227" spans="2:16" outlineLevel="1">
      <c r="M227" s="61"/>
      <c r="N227" s="22"/>
      <c r="O227" s="22"/>
      <c r="P227" s="22"/>
    </row>
    <row r="228" spans="2:16" ht="15.6" outlineLevel="1" thickBot="1">
      <c r="B228" s="46"/>
      <c r="C228" s="46"/>
      <c r="D228" s="46"/>
      <c r="E228" s="46"/>
      <c r="F228" s="46"/>
      <c r="G228" s="46"/>
      <c r="H228" s="46"/>
      <c r="I228" s="46"/>
      <c r="J228" s="46"/>
      <c r="K228" s="46"/>
      <c r="L228" s="46"/>
      <c r="M228" s="61"/>
      <c r="N228" s="22"/>
      <c r="O228" s="22"/>
      <c r="P228" s="22"/>
    </row>
    <row r="229" spans="2:16" ht="15.6" outlineLevel="1" thickTop="1">
      <c r="M229" s="61"/>
      <c r="N229" s="22"/>
      <c r="O229" s="22"/>
      <c r="P229" s="22"/>
    </row>
    <row r="230" spans="2:16" s="80" customFormat="1" ht="14.4" collapsed="1">
      <c r="M230" s="500"/>
      <c r="N230" s="96"/>
      <c r="O230" s="96"/>
      <c r="P230" s="96"/>
    </row>
    <row r="231" spans="2:16">
      <c r="M231" s="61"/>
      <c r="N231" s="22"/>
      <c r="O231" s="22"/>
      <c r="P231" s="22"/>
    </row>
    <row r="232" spans="2:16" ht="15.6">
      <c r="B232" s="3">
        <v>6</v>
      </c>
      <c r="N232" s="22"/>
      <c r="O232" s="22"/>
      <c r="P232" s="22"/>
    </row>
    <row r="233" spans="2:16">
      <c r="N233" s="22"/>
      <c r="O233" s="22"/>
      <c r="P233" s="22"/>
    </row>
    <row r="234" spans="2:16">
      <c r="M234" s="61"/>
      <c r="N234" s="22"/>
      <c r="O234" s="22"/>
      <c r="P234" s="22"/>
    </row>
    <row r="235" spans="2:16" ht="15.6" outlineLevel="1">
      <c r="C235" s="22"/>
      <c r="D235" s="22"/>
      <c r="E235" s="22"/>
      <c r="F235" s="22"/>
      <c r="G235" s="22"/>
      <c r="H235" s="47" t="s">
        <v>198</v>
      </c>
      <c r="I235" s="22"/>
      <c r="J235" s="22"/>
      <c r="K235" s="22"/>
      <c r="L235" s="22"/>
      <c r="M235" s="61"/>
      <c r="N235" s="22"/>
      <c r="O235" s="22"/>
      <c r="P235" s="22"/>
    </row>
    <row r="236" spans="2:16" ht="15.6" outlineLevel="1">
      <c r="B236" s="22"/>
      <c r="C236" s="47" t="s">
        <v>199</v>
      </c>
      <c r="D236" s="22"/>
      <c r="E236" s="22"/>
      <c r="F236" s="22"/>
      <c r="G236" s="22"/>
      <c r="H236" s="22"/>
      <c r="I236" s="22"/>
      <c r="J236" s="22"/>
      <c r="K236" s="22"/>
      <c r="L236" s="22"/>
      <c r="M236" s="61"/>
      <c r="N236" s="22"/>
      <c r="O236" s="22"/>
      <c r="P236" s="22"/>
    </row>
    <row r="237" spans="2:16" outlineLevel="1">
      <c r="B237" s="22"/>
      <c r="C237" s="22"/>
      <c r="D237" s="22" t="s">
        <v>200</v>
      </c>
      <c r="E237" s="22"/>
      <c r="F237" s="22"/>
      <c r="G237" s="15">
        <v>26.92</v>
      </c>
      <c r="H237" s="15">
        <v>26.92</v>
      </c>
      <c r="I237" s="15">
        <v>26.92</v>
      </c>
      <c r="J237" s="15">
        <v>26.92</v>
      </c>
      <c r="K237" s="15">
        <v>26.92</v>
      </c>
      <c r="L237" s="15">
        <v>26.92</v>
      </c>
      <c r="M237" s="61"/>
      <c r="N237" s="22"/>
      <c r="O237" s="22"/>
      <c r="P237" s="22"/>
    </row>
    <row r="238" spans="2:16" outlineLevel="1">
      <c r="B238" s="22"/>
      <c r="C238" s="22"/>
      <c r="D238" s="22" t="s">
        <v>201</v>
      </c>
      <c r="E238" s="22"/>
      <c r="F238" s="22"/>
      <c r="G238" s="15">
        <v>230.25</v>
      </c>
      <c r="H238" s="15">
        <v>325.23</v>
      </c>
      <c r="I238" s="15">
        <v>352.21</v>
      </c>
      <c r="J238" s="15">
        <v>365</v>
      </c>
      <c r="K238" s="15">
        <v>380.59</v>
      </c>
      <c r="L238" s="15">
        <v>520.95000000000005</v>
      </c>
      <c r="M238" s="61"/>
      <c r="N238" s="22"/>
      <c r="O238" s="22"/>
      <c r="P238" s="22"/>
    </row>
    <row r="239" spans="2:16" outlineLevel="1">
      <c r="B239" s="22"/>
      <c r="C239" s="22"/>
      <c r="D239" s="22" t="s">
        <v>202</v>
      </c>
      <c r="E239" s="22"/>
      <c r="F239" s="22"/>
      <c r="G239" s="15">
        <v>14.66</v>
      </c>
      <c r="H239" s="15">
        <v>14.66</v>
      </c>
      <c r="I239" s="15">
        <v>14.66</v>
      </c>
      <c r="J239" s="15">
        <v>14.66</v>
      </c>
      <c r="K239" s="15">
        <v>14.66</v>
      </c>
      <c r="L239" s="15">
        <v>14.66</v>
      </c>
      <c r="M239" s="61"/>
      <c r="N239" s="22"/>
      <c r="O239" s="22"/>
      <c r="P239" s="22"/>
    </row>
    <row r="240" spans="2:16" outlineLevel="1">
      <c r="B240" s="22"/>
      <c r="C240" s="22"/>
      <c r="D240" s="22" t="s">
        <v>203</v>
      </c>
      <c r="E240" s="22"/>
      <c r="F240" s="22"/>
      <c r="G240" s="15">
        <v>3.14</v>
      </c>
      <c r="H240" s="15">
        <v>3.14</v>
      </c>
      <c r="I240" s="15">
        <v>3.14</v>
      </c>
      <c r="J240" s="15">
        <v>3.14</v>
      </c>
      <c r="K240" s="15">
        <v>3.14</v>
      </c>
      <c r="L240" s="15">
        <v>3.14</v>
      </c>
      <c r="M240" s="61"/>
      <c r="N240" s="22"/>
      <c r="O240" s="22"/>
      <c r="P240" s="22"/>
    </row>
    <row r="241" spans="2:16" outlineLevel="1">
      <c r="B241" s="22"/>
      <c r="C241" s="22"/>
      <c r="D241" s="22" t="s">
        <v>204</v>
      </c>
      <c r="E241" s="22"/>
      <c r="F241" s="22"/>
      <c r="G241" s="15">
        <v>17.97</v>
      </c>
      <c r="H241" s="15">
        <v>17.97</v>
      </c>
      <c r="I241" s="15">
        <v>17.97</v>
      </c>
      <c r="J241" s="15">
        <v>17.97</v>
      </c>
      <c r="K241" s="15">
        <v>17.97</v>
      </c>
      <c r="L241" s="15">
        <v>17.97</v>
      </c>
      <c r="M241" s="61"/>
      <c r="N241" s="22"/>
      <c r="O241" s="22"/>
      <c r="P241" s="22"/>
    </row>
    <row r="242" spans="2:16" outlineLevel="1">
      <c r="B242" s="22"/>
      <c r="C242" s="22"/>
      <c r="D242" s="22" t="s">
        <v>205</v>
      </c>
      <c r="E242" s="22"/>
      <c r="F242" s="22"/>
      <c r="G242" s="15">
        <v>92.6</v>
      </c>
      <c r="H242" s="15">
        <v>74.989999999999995</v>
      </c>
      <c r="I242" s="15">
        <v>93.27</v>
      </c>
      <c r="J242" s="15">
        <v>123.78</v>
      </c>
      <c r="K242" s="15">
        <v>148.21</v>
      </c>
      <c r="L242" s="15">
        <v>59.08</v>
      </c>
      <c r="M242" s="61"/>
      <c r="N242" s="22"/>
      <c r="O242" s="22"/>
      <c r="P242" s="22"/>
    </row>
    <row r="243" spans="2:16" outlineLevel="1">
      <c r="B243" s="22"/>
      <c r="C243" s="22"/>
      <c r="D243" s="22" t="s">
        <v>206</v>
      </c>
      <c r="E243" s="22"/>
      <c r="F243" s="22"/>
      <c r="G243" s="15">
        <v>513.42999999999995</v>
      </c>
      <c r="H243" s="15">
        <v>513.42999999999995</v>
      </c>
      <c r="I243" s="15">
        <v>513.42999999999995</v>
      </c>
      <c r="J243" s="15">
        <v>513.42999999999995</v>
      </c>
      <c r="K243" s="15">
        <v>513.42999999999995</v>
      </c>
      <c r="L243" s="15">
        <v>513.42999999999995</v>
      </c>
      <c r="M243" s="61"/>
      <c r="N243" s="22"/>
      <c r="O243" s="22"/>
      <c r="P243" s="22"/>
    </row>
    <row r="244" spans="2:16" outlineLevel="1">
      <c r="B244" s="22"/>
      <c r="C244" s="22"/>
      <c r="D244" s="22" t="s">
        <v>207</v>
      </c>
      <c r="E244" s="22"/>
      <c r="F244" s="22"/>
      <c r="G244" s="15">
        <v>4825.3</v>
      </c>
      <c r="H244" s="15">
        <v>4672.28</v>
      </c>
      <c r="I244" s="15">
        <v>5481.03</v>
      </c>
      <c r="J244" s="15">
        <v>6586.44</v>
      </c>
      <c r="K244" s="15">
        <v>7361.06</v>
      </c>
      <c r="L244" s="15">
        <v>8125.33</v>
      </c>
      <c r="M244" s="61"/>
      <c r="N244" s="22"/>
      <c r="O244" s="22"/>
      <c r="P244" s="22"/>
    </row>
    <row r="245" spans="2:16" outlineLevel="1">
      <c r="B245" s="22"/>
      <c r="C245" s="22"/>
      <c r="D245" s="22"/>
      <c r="E245" s="22"/>
      <c r="F245" s="22"/>
      <c r="G245" s="11"/>
      <c r="H245" s="11"/>
      <c r="I245" s="11"/>
      <c r="J245" s="11"/>
      <c r="K245" s="11"/>
      <c r="L245" s="11"/>
      <c r="M245" s="61"/>
      <c r="N245" s="22"/>
      <c r="O245" s="22"/>
      <c r="P245" s="22"/>
    </row>
    <row r="246" spans="2:16" ht="15.6" outlineLevel="1">
      <c r="B246" s="22"/>
      <c r="C246" s="48" t="s">
        <v>197</v>
      </c>
      <c r="D246" s="49"/>
      <c r="E246" s="49"/>
      <c r="F246" s="49"/>
      <c r="G246" s="14">
        <f>SUM(G237:G244)</f>
        <v>5724.27</v>
      </c>
      <c r="H246" s="14">
        <f t="shared" ref="H246:L246" si="64">SUM(H237:H244)</f>
        <v>5648.62</v>
      </c>
      <c r="I246" s="14">
        <f t="shared" si="64"/>
        <v>6502.6299999999992</v>
      </c>
      <c r="J246" s="14">
        <f t="shared" si="64"/>
        <v>7651.34</v>
      </c>
      <c r="K246" s="14">
        <f t="shared" si="64"/>
        <v>8465.98</v>
      </c>
      <c r="L246" s="14">
        <f t="shared" si="64"/>
        <v>9281.48</v>
      </c>
      <c r="M246" s="61"/>
      <c r="N246" s="22"/>
      <c r="O246" s="22"/>
      <c r="P246" s="22"/>
    </row>
    <row r="247" spans="2:16" ht="15.6" outlineLevel="1">
      <c r="B247" s="22"/>
      <c r="C247" s="47" t="s">
        <v>70</v>
      </c>
      <c r="D247" s="22"/>
      <c r="E247" s="22"/>
      <c r="F247" s="22"/>
      <c r="G247" s="11"/>
      <c r="H247" s="11"/>
      <c r="I247" s="11"/>
      <c r="J247" s="11"/>
      <c r="K247" s="11"/>
      <c r="L247" s="11"/>
      <c r="M247" s="501"/>
      <c r="N247" s="22"/>
      <c r="O247" s="22"/>
      <c r="P247" s="22"/>
    </row>
    <row r="248" spans="2:16" outlineLevel="1">
      <c r="B248" s="22"/>
      <c r="C248" s="22"/>
      <c r="D248" s="22" t="s">
        <v>208</v>
      </c>
      <c r="E248" s="22"/>
      <c r="F248" s="22"/>
      <c r="G248" s="15">
        <v>-194.34</v>
      </c>
      <c r="H248" s="15">
        <v>-190.03</v>
      </c>
      <c r="I248" s="15">
        <v>-96.89</v>
      </c>
      <c r="J248" s="15">
        <v>-167.25</v>
      </c>
      <c r="K248" s="15">
        <v>-228.53</v>
      </c>
      <c r="L248" s="15">
        <v>-373.49</v>
      </c>
      <c r="M248" s="61"/>
      <c r="N248" s="22"/>
      <c r="O248" s="22"/>
      <c r="P248" s="22"/>
    </row>
    <row r="249" spans="2:16" outlineLevel="1">
      <c r="B249" s="22"/>
      <c r="C249" s="22"/>
      <c r="D249" s="22" t="s">
        <v>209</v>
      </c>
      <c r="E249" s="22"/>
      <c r="F249" s="22"/>
      <c r="G249" s="15">
        <v>0.44</v>
      </c>
      <c r="H249" s="15">
        <v>-3.54</v>
      </c>
      <c r="I249" s="15">
        <v>23.3</v>
      </c>
      <c r="J249" s="15">
        <v>2.7</v>
      </c>
      <c r="K249" s="15">
        <v>-32.94</v>
      </c>
      <c r="L249" s="15">
        <v>-111.91</v>
      </c>
      <c r="M249" s="61"/>
      <c r="N249" s="22"/>
      <c r="O249" s="22"/>
      <c r="P249" s="22"/>
    </row>
    <row r="250" spans="2:16" ht="15.6" outlineLevel="1">
      <c r="B250" s="22"/>
      <c r="C250" s="48" t="s">
        <v>197</v>
      </c>
      <c r="D250" s="49"/>
      <c r="E250" s="49"/>
      <c r="F250" s="49"/>
      <c r="G250" s="14">
        <f>G248+G249</f>
        <v>-193.9</v>
      </c>
      <c r="H250" s="14">
        <f t="shared" ref="H250:L250" si="65">H248+H249</f>
        <v>-193.57</v>
      </c>
      <c r="I250" s="14">
        <f t="shared" si="65"/>
        <v>-73.59</v>
      </c>
      <c r="J250" s="14">
        <f t="shared" si="65"/>
        <v>-164.55</v>
      </c>
      <c r="K250" s="14">
        <f t="shared" si="65"/>
        <v>-261.47000000000003</v>
      </c>
      <c r="L250" s="14">
        <f t="shared" si="65"/>
        <v>-485.4</v>
      </c>
      <c r="M250" s="61"/>
      <c r="N250" s="22"/>
      <c r="O250" s="22"/>
      <c r="P250" s="22"/>
    </row>
    <row r="251" spans="2:16" outlineLevel="1">
      <c r="B251" s="22"/>
      <c r="C251" s="22"/>
      <c r="D251" s="22"/>
      <c r="E251" s="22"/>
      <c r="F251" s="22"/>
      <c r="G251" s="22"/>
      <c r="H251" s="22"/>
      <c r="I251" s="22"/>
      <c r="J251" s="22"/>
      <c r="K251" s="22"/>
      <c r="L251" s="22"/>
      <c r="M251" s="61"/>
      <c r="N251" s="22"/>
      <c r="O251" s="22"/>
      <c r="P251" s="22"/>
    </row>
    <row r="252" spans="2:16" ht="15.6" outlineLevel="1" thickBot="1">
      <c r="B252" s="22"/>
      <c r="C252" s="22"/>
      <c r="D252" s="22"/>
      <c r="E252" s="22"/>
      <c r="F252" s="22"/>
      <c r="G252" s="22"/>
      <c r="H252" s="22"/>
      <c r="I252" s="22"/>
      <c r="J252" s="22"/>
      <c r="K252" s="22"/>
      <c r="L252" s="22"/>
      <c r="M252" s="61"/>
      <c r="N252" s="22"/>
      <c r="O252" s="22"/>
      <c r="P252" s="22"/>
    </row>
    <row r="253" spans="2:16" ht="16.8" outlineLevel="1" thickTop="1" thickBot="1">
      <c r="B253" s="22"/>
      <c r="C253" s="51" t="s">
        <v>210</v>
      </c>
      <c r="D253" s="50"/>
      <c r="E253" s="50"/>
      <c r="F253" s="50"/>
      <c r="G253" s="50">
        <f>G246+G250</f>
        <v>5530.3700000000008</v>
      </c>
      <c r="H253" s="50">
        <f>H246+H250</f>
        <v>5455.05</v>
      </c>
      <c r="I253" s="50">
        <f t="shared" ref="I253:L253" si="66">I246+I250</f>
        <v>6429.0399999999991</v>
      </c>
      <c r="J253" s="50">
        <f t="shared" si="66"/>
        <v>7486.79</v>
      </c>
      <c r="K253" s="50">
        <f t="shared" si="66"/>
        <v>8204.51</v>
      </c>
      <c r="L253" s="50">
        <f t="shared" si="66"/>
        <v>8796.08</v>
      </c>
      <c r="M253" s="61"/>
      <c r="N253" s="22"/>
      <c r="O253" s="22"/>
      <c r="P253" s="22"/>
    </row>
    <row r="254" spans="2:16" ht="15.6" outlineLevel="1" thickTop="1">
      <c r="B254" s="22"/>
      <c r="C254" s="22"/>
      <c r="D254" s="22"/>
      <c r="E254" s="22"/>
      <c r="F254" s="22"/>
      <c r="G254" s="22"/>
      <c r="H254" s="22"/>
      <c r="I254" s="22"/>
      <c r="J254" s="22"/>
      <c r="K254" s="22"/>
      <c r="L254" s="22"/>
      <c r="M254" s="61"/>
      <c r="N254" s="22"/>
      <c r="O254" s="22"/>
      <c r="P254" s="22"/>
    </row>
    <row r="255" spans="2:16" outlineLevel="1">
      <c r="B255" s="22"/>
      <c r="C255" s="22"/>
      <c r="D255" s="22"/>
      <c r="E255" s="22"/>
      <c r="F255" s="22"/>
      <c r="G255" s="52" t="str">
        <f t="shared" ref="G255:L255" si="67">IF(G253=G46,"OK","ERROR")</f>
        <v>OK</v>
      </c>
      <c r="H255" s="52" t="str">
        <f t="shared" si="67"/>
        <v>OK</v>
      </c>
      <c r="I255" s="52" t="str">
        <f t="shared" si="67"/>
        <v>OK</v>
      </c>
      <c r="J255" s="52" t="str">
        <f t="shared" si="67"/>
        <v>OK</v>
      </c>
      <c r="K255" s="52" t="str">
        <f t="shared" si="67"/>
        <v>OK</v>
      </c>
      <c r="L255" s="52" t="str">
        <f t="shared" si="67"/>
        <v>OK</v>
      </c>
      <c r="M255" s="61"/>
      <c r="N255" s="22"/>
      <c r="O255" s="22"/>
      <c r="P255" s="22"/>
    </row>
    <row r="256" spans="2:16" ht="15.6" outlineLevel="1" thickBot="1">
      <c r="B256" s="67"/>
      <c r="C256" s="67"/>
      <c r="D256" s="67"/>
      <c r="E256" s="67"/>
      <c r="F256" s="67"/>
      <c r="G256" s="67"/>
      <c r="H256" s="67"/>
      <c r="I256" s="67"/>
      <c r="J256" s="67"/>
      <c r="K256" s="67"/>
      <c r="L256" s="67"/>
      <c r="M256" s="61"/>
      <c r="N256" s="22"/>
      <c r="O256" s="22"/>
      <c r="P256" s="22"/>
    </row>
    <row r="257" spans="2:17" s="80" customFormat="1" collapsed="1" thickTop="1">
      <c r="M257" s="500"/>
      <c r="N257" s="96"/>
      <c r="O257" s="96"/>
      <c r="P257" s="96"/>
    </row>
    <row r="258" spans="2:17" ht="15.6">
      <c r="B258" s="3">
        <v>7</v>
      </c>
      <c r="M258" s="61"/>
      <c r="N258" s="22"/>
      <c r="O258" s="22"/>
      <c r="P258" s="22"/>
    </row>
    <row r="259" spans="2:17" outlineLevel="1">
      <c r="M259" s="61"/>
      <c r="N259" s="22"/>
      <c r="O259" s="22"/>
      <c r="P259" s="22"/>
    </row>
    <row r="260" spans="2:17" ht="15.6" outlineLevel="1">
      <c r="C260" s="22"/>
      <c r="D260" s="47" t="s">
        <v>213</v>
      </c>
      <c r="E260" s="22"/>
      <c r="F260" s="22"/>
      <c r="G260" s="26">
        <v>35.75</v>
      </c>
      <c r="H260" s="26">
        <v>33.35</v>
      </c>
      <c r="I260" s="26">
        <v>207.27</v>
      </c>
      <c r="J260" s="26">
        <v>152.94</v>
      </c>
      <c r="K260" s="26">
        <v>194.94</v>
      </c>
      <c r="L260" s="26">
        <v>197.33</v>
      </c>
      <c r="M260" s="61"/>
      <c r="N260" s="22"/>
      <c r="O260" s="22"/>
      <c r="P260" s="22"/>
    </row>
    <row r="261" spans="2:17" outlineLevel="1">
      <c r="C261" s="22"/>
      <c r="D261" s="22" t="s">
        <v>215</v>
      </c>
      <c r="E261" s="22"/>
      <c r="F261" s="22"/>
      <c r="G261" s="22"/>
      <c r="H261" s="22"/>
      <c r="I261" s="22"/>
      <c r="J261" s="22"/>
      <c r="K261" s="22"/>
      <c r="L261" s="22"/>
      <c r="M261" s="61"/>
      <c r="N261" s="22"/>
      <c r="O261" s="22"/>
      <c r="P261" s="22"/>
    </row>
    <row r="262" spans="2:17" outlineLevel="1">
      <c r="M262" s="61"/>
      <c r="N262" s="61"/>
      <c r="O262" s="22"/>
      <c r="P262" s="22"/>
      <c r="Q262" s="22"/>
    </row>
    <row r="263" spans="2:17" s="80" customFormat="1" ht="14.4" collapsed="1">
      <c r="B263" s="97"/>
      <c r="C263" s="97"/>
      <c r="D263" s="97"/>
      <c r="E263" s="97"/>
      <c r="F263" s="97"/>
      <c r="G263" s="97"/>
      <c r="H263" s="97"/>
      <c r="I263" s="97"/>
      <c r="J263" s="97"/>
      <c r="K263" s="97"/>
      <c r="L263" s="97"/>
      <c r="M263" s="500"/>
      <c r="N263" s="95"/>
      <c r="O263" s="96"/>
      <c r="P263" s="96"/>
      <c r="Q263" s="96"/>
    </row>
    <row r="264" spans="2:17">
      <c r="N264" s="61"/>
      <c r="O264" s="22"/>
      <c r="P264" s="22"/>
      <c r="Q264" s="22"/>
    </row>
    <row r="265" spans="2:17">
      <c r="N265" s="61"/>
      <c r="O265" s="22"/>
      <c r="P265" s="22"/>
      <c r="Q265" s="22"/>
    </row>
    <row r="266" spans="2:17" ht="15.6">
      <c r="B266" s="3">
        <v>8</v>
      </c>
      <c r="N266" s="61"/>
      <c r="O266" s="22"/>
      <c r="P266" s="22"/>
      <c r="Q266" s="22"/>
    </row>
    <row r="267" spans="2:17" ht="15.6" outlineLevel="1">
      <c r="B267" s="47" t="s">
        <v>227</v>
      </c>
      <c r="C267" s="22"/>
      <c r="D267" s="2" t="s">
        <v>225</v>
      </c>
      <c r="E267" s="22"/>
      <c r="F267" s="22"/>
      <c r="G267" s="22"/>
      <c r="H267" s="22"/>
      <c r="I267" s="22"/>
      <c r="J267" s="22"/>
      <c r="K267" s="22"/>
      <c r="L267" s="22"/>
      <c r="M267" s="61"/>
      <c r="N267" s="61"/>
      <c r="O267" s="22"/>
      <c r="P267" s="22"/>
      <c r="Q267" s="22"/>
    </row>
    <row r="268" spans="2:17" outlineLevel="1">
      <c r="B268" s="22"/>
      <c r="C268" s="22"/>
      <c r="D268" s="22"/>
      <c r="E268" s="22"/>
      <c r="F268" s="22"/>
      <c r="G268" s="22"/>
      <c r="H268" s="22"/>
      <c r="I268" s="22"/>
      <c r="J268" s="22"/>
      <c r="K268" s="22"/>
      <c r="L268" s="22"/>
      <c r="M268" s="61"/>
      <c r="N268" s="61"/>
      <c r="O268" s="22"/>
      <c r="P268" s="22"/>
      <c r="Q268" s="22"/>
    </row>
    <row r="269" spans="2:17" ht="15.6" outlineLevel="1">
      <c r="B269" s="3" t="s">
        <v>106</v>
      </c>
      <c r="F269" s="22"/>
      <c r="G269" s="22"/>
      <c r="H269" s="22"/>
      <c r="I269" s="22"/>
      <c r="J269" s="22"/>
      <c r="K269" s="22"/>
      <c r="L269" s="22"/>
      <c r="M269" s="61"/>
      <c r="N269" s="61"/>
      <c r="O269" s="22"/>
      <c r="P269" s="22"/>
      <c r="Q269" s="22"/>
    </row>
    <row r="270" spans="2:17" ht="15.6" outlineLevel="1">
      <c r="C270" s="3" t="s">
        <v>107</v>
      </c>
      <c r="F270" s="22"/>
      <c r="G270" s="22"/>
      <c r="H270" s="22"/>
      <c r="I270" s="22"/>
      <c r="J270" s="22"/>
      <c r="K270" s="22"/>
      <c r="L270" s="22"/>
      <c r="M270" s="61"/>
      <c r="N270" s="61"/>
      <c r="O270" s="22"/>
      <c r="P270" s="22"/>
      <c r="Q270" s="22"/>
    </row>
    <row r="271" spans="2:17" outlineLevel="1">
      <c r="C271" s="2" t="s">
        <v>117</v>
      </c>
      <c r="F271" s="22"/>
      <c r="G271" s="8">
        <f t="shared" ref="G271:L276" si="68">G7/G$40</f>
        <v>0.17836888031322867</v>
      </c>
      <c r="H271" s="8">
        <f t="shared" si="68"/>
        <v>0.18348181266475755</v>
      </c>
      <c r="I271" s="8">
        <f t="shared" si="68"/>
        <v>0.1946737281657813</v>
      </c>
      <c r="J271" s="8">
        <f t="shared" si="68"/>
        <v>0.16702113831031806</v>
      </c>
      <c r="K271" s="8">
        <f t="shared" si="68"/>
        <v>0.16019741903027632</v>
      </c>
      <c r="L271" s="8">
        <f t="shared" si="68"/>
        <v>0.16387574088002596</v>
      </c>
      <c r="M271" s="61"/>
      <c r="N271" s="61"/>
      <c r="O271" s="22"/>
      <c r="P271" s="22"/>
      <c r="Q271" s="22"/>
    </row>
    <row r="272" spans="2:17" outlineLevel="1">
      <c r="C272" s="2" t="s">
        <v>118</v>
      </c>
      <c r="F272" s="22"/>
      <c r="G272" s="8">
        <f t="shared" si="68"/>
        <v>4.7703706087250325E-3</v>
      </c>
      <c r="H272" s="8">
        <f t="shared" si="68"/>
        <v>7.5575110470519069E-3</v>
      </c>
      <c r="I272" s="8">
        <f t="shared" si="68"/>
        <v>1.5669215662587489E-2</v>
      </c>
      <c r="J272" s="8">
        <f t="shared" si="68"/>
        <v>1.3579628897229041E-2</v>
      </c>
      <c r="K272" s="8">
        <f t="shared" si="68"/>
        <v>1.363503528421519E-2</v>
      </c>
      <c r="L272" s="8">
        <f t="shared" si="68"/>
        <v>1.2825930453034451E-2</v>
      </c>
      <c r="M272" s="61"/>
      <c r="N272" s="61"/>
      <c r="O272" s="22"/>
      <c r="P272" s="22"/>
      <c r="Q272" s="22"/>
    </row>
    <row r="273" spans="3:17" outlineLevel="1">
      <c r="C273" s="2" t="s">
        <v>108</v>
      </c>
      <c r="F273" s="22"/>
      <c r="G273" s="8">
        <f t="shared" si="68"/>
        <v>6.2241212278619064E-3</v>
      </c>
      <c r="H273" s="8">
        <f t="shared" si="68"/>
        <v>6.1754442526882744E-3</v>
      </c>
      <c r="I273" s="8">
        <f t="shared" si="68"/>
        <v>5.5110054404474652E-3</v>
      </c>
      <c r="J273" s="8">
        <f t="shared" si="68"/>
        <v>4.6556093639515718E-3</v>
      </c>
      <c r="K273" s="8">
        <f t="shared" si="68"/>
        <v>3.9944548143071006E-3</v>
      </c>
      <c r="L273" s="8">
        <f t="shared" si="68"/>
        <v>3.44578329135654E-3</v>
      </c>
      <c r="M273" s="61"/>
      <c r="N273" s="61"/>
      <c r="O273" s="22"/>
      <c r="P273" s="22"/>
      <c r="Q273" s="22"/>
    </row>
    <row r="274" spans="3:17" outlineLevel="1">
      <c r="C274" s="2" t="s">
        <v>109</v>
      </c>
      <c r="F274" s="22"/>
      <c r="G274" s="8">
        <f t="shared" si="68"/>
        <v>4.7294587335935917E-2</v>
      </c>
      <c r="H274" s="8">
        <f t="shared" si="68"/>
        <v>3.9834578694835858E-2</v>
      </c>
      <c r="I274" s="8">
        <f t="shared" si="68"/>
        <v>3.5917216252708731E-2</v>
      </c>
      <c r="J274" s="8">
        <f t="shared" si="68"/>
        <v>3.0976857472898366E-2</v>
      </c>
      <c r="K274" s="8">
        <f t="shared" si="68"/>
        <v>2.0444412606750118E-2</v>
      </c>
      <c r="L274" s="8">
        <f t="shared" si="68"/>
        <v>2.9679143014287736E-2</v>
      </c>
      <c r="M274" s="61"/>
      <c r="N274" s="61"/>
      <c r="O274" s="22"/>
      <c r="P274" s="22"/>
      <c r="Q274" s="22"/>
    </row>
    <row r="275" spans="3:17" outlineLevel="1">
      <c r="C275" s="2" t="s">
        <v>110</v>
      </c>
      <c r="F275" s="22"/>
      <c r="G275" s="8">
        <f t="shared" si="68"/>
        <v>1.1848354848459429E-3</v>
      </c>
      <c r="H275" s="8">
        <f t="shared" si="68"/>
        <v>3.90202734738E-3</v>
      </c>
      <c r="I275" s="8">
        <f t="shared" si="68"/>
        <v>4.7231080573999816E-3</v>
      </c>
      <c r="J275" s="8">
        <f t="shared" si="68"/>
        <v>4.1218276170747479E-3</v>
      </c>
      <c r="K275" s="8">
        <f t="shared" si="68"/>
        <v>3.2341489662201161E-3</v>
      </c>
      <c r="L275" s="8">
        <f t="shared" si="68"/>
        <v>6.5087587343832048E-2</v>
      </c>
      <c r="M275" s="61"/>
      <c r="N275" s="61"/>
      <c r="O275" s="22"/>
      <c r="P275" s="22"/>
      <c r="Q275" s="22"/>
    </row>
    <row r="276" spans="3:17" outlineLevel="1">
      <c r="C276" s="2" t="s">
        <v>211</v>
      </c>
      <c r="F276" s="22"/>
      <c r="G276" s="8">
        <f t="shared" si="68"/>
        <v>1.3020549023573746E-3</v>
      </c>
      <c r="H276" s="8">
        <f t="shared" si="68"/>
        <v>1.4567410722752185E-3</v>
      </c>
      <c r="I276" s="8">
        <f t="shared" si="68"/>
        <v>1.3128059516720636E-3</v>
      </c>
      <c r="J276" s="8">
        <f t="shared" si="68"/>
        <v>1.0389845055788953E-3</v>
      </c>
      <c r="K276" s="8">
        <f t="shared" si="68"/>
        <v>7.7088826353144987E-4</v>
      </c>
      <c r="L276" s="8">
        <f t="shared" si="68"/>
        <v>5.7417515418140865E-4</v>
      </c>
      <c r="M276" s="61"/>
      <c r="N276" s="61"/>
      <c r="O276" s="22"/>
      <c r="P276" s="22"/>
      <c r="Q276" s="22"/>
    </row>
    <row r="277" spans="3:17" outlineLevel="1">
      <c r="C277" s="2" t="s">
        <v>111</v>
      </c>
      <c r="F277" s="22"/>
      <c r="G277" s="8"/>
      <c r="H277" s="8"/>
      <c r="I277" s="8"/>
      <c r="J277" s="8"/>
      <c r="K277" s="8"/>
      <c r="L277" s="8"/>
      <c r="M277" s="61"/>
      <c r="N277" s="61"/>
      <c r="O277" s="22"/>
      <c r="P277" s="22"/>
      <c r="Q277" s="22"/>
    </row>
    <row r="278" spans="3:17" outlineLevel="1">
      <c r="D278" s="2" t="s">
        <v>112</v>
      </c>
      <c r="F278" s="22"/>
      <c r="G278" s="8">
        <f t="shared" ref="G278:L283" si="69">G14/G$40</f>
        <v>0.35400838693440195</v>
      </c>
      <c r="H278" s="8">
        <f t="shared" si="69"/>
        <v>0.31067581406815986</v>
      </c>
      <c r="I278" s="8">
        <f t="shared" si="69"/>
        <v>0.14934236760490954</v>
      </c>
      <c r="J278" s="8">
        <f t="shared" si="69"/>
        <v>0.31366361424634909</v>
      </c>
      <c r="K278" s="8">
        <f t="shared" si="69"/>
        <v>0.43596214100173147</v>
      </c>
      <c r="L278" s="8">
        <f t="shared" si="69"/>
        <v>0.40433575478033773</v>
      </c>
      <c r="M278" s="61"/>
      <c r="N278" s="61"/>
      <c r="O278" s="22"/>
      <c r="P278" s="22"/>
      <c r="Q278" s="22"/>
    </row>
    <row r="279" spans="3:17" outlineLevel="1">
      <c r="D279" s="2" t="s">
        <v>113</v>
      </c>
      <c r="F279" s="22"/>
      <c r="G279" s="8">
        <f t="shared" si="69"/>
        <v>2.1789021137419086E-3</v>
      </c>
      <c r="H279" s="8">
        <f t="shared" si="69"/>
        <v>2.0813973335356254E-3</v>
      </c>
      <c r="I279" s="8">
        <f t="shared" si="69"/>
        <v>2.6341643851139781E-3</v>
      </c>
      <c r="J279" s="8">
        <f t="shared" si="69"/>
        <v>2.0724375940917097E-3</v>
      </c>
      <c r="K279" s="8">
        <f t="shared" si="69"/>
        <v>0</v>
      </c>
      <c r="L279" s="8">
        <f t="shared" si="69"/>
        <v>0</v>
      </c>
      <c r="M279" s="61"/>
      <c r="N279" s="61"/>
      <c r="O279" s="22"/>
      <c r="P279" s="22"/>
      <c r="Q279" s="22"/>
    </row>
    <row r="280" spans="3:17" outlineLevel="1">
      <c r="D280" s="2" t="s">
        <v>114</v>
      </c>
      <c r="F280" s="22"/>
      <c r="G280" s="8">
        <f t="shared" si="69"/>
        <v>4.7232529997253396E-4</v>
      </c>
      <c r="H280" s="8">
        <f t="shared" si="69"/>
        <v>9.2050863851011779E-3</v>
      </c>
      <c r="I280" s="8">
        <f t="shared" si="69"/>
        <v>5.6497694571632916E-2</v>
      </c>
      <c r="J280" s="8">
        <f t="shared" si="69"/>
        <v>8.1726687151347892E-3</v>
      </c>
      <c r="K280" s="8">
        <f t="shared" si="69"/>
        <v>1.8983225243456609E-3</v>
      </c>
      <c r="L280" s="8">
        <f t="shared" si="69"/>
        <v>2.2256610887210469E-3</v>
      </c>
      <c r="M280" s="61"/>
      <c r="N280" s="61"/>
      <c r="O280" s="22"/>
      <c r="P280" s="22"/>
      <c r="Q280" s="22"/>
    </row>
    <row r="281" spans="3:17" outlineLevel="1">
      <c r="C281" s="2" t="s">
        <v>212</v>
      </c>
      <c r="F281" s="22"/>
      <c r="G281" s="8">
        <f t="shared" si="69"/>
        <v>0</v>
      </c>
      <c r="H281" s="8">
        <f t="shared" si="69"/>
        <v>0</v>
      </c>
      <c r="I281" s="8">
        <f t="shared" si="69"/>
        <v>2.3519324867089086E-3</v>
      </c>
      <c r="J281" s="8">
        <f t="shared" si="69"/>
        <v>1.6548156056025883E-3</v>
      </c>
      <c r="K281" s="8">
        <f t="shared" si="69"/>
        <v>5.454014113686076E-5</v>
      </c>
      <c r="L281" s="8">
        <f t="shared" si="69"/>
        <v>1.5306455003050306E-4</v>
      </c>
      <c r="M281" s="61"/>
      <c r="N281" s="61"/>
      <c r="O281" s="22"/>
      <c r="P281" s="22"/>
      <c r="Q281" s="22"/>
    </row>
    <row r="282" spans="3:17" outlineLevel="1">
      <c r="C282" s="2" t="s">
        <v>115</v>
      </c>
      <c r="F282" s="22"/>
      <c r="G282" s="8">
        <f t="shared" si="69"/>
        <v>3.8268692187555672E-4</v>
      </c>
      <c r="H282" s="8">
        <f t="shared" si="69"/>
        <v>1.054922338750972E-4</v>
      </c>
      <c r="I282" s="8">
        <f t="shared" si="69"/>
        <v>1.1652756411421413E-4</v>
      </c>
      <c r="J282" s="8">
        <f t="shared" si="69"/>
        <v>3.9549632022479688E-4</v>
      </c>
      <c r="K282" s="8">
        <f t="shared" si="69"/>
        <v>3.6631438076996028E-4</v>
      </c>
      <c r="L282" s="8">
        <f t="shared" si="69"/>
        <v>3.288324543717506E-4</v>
      </c>
      <c r="M282" s="61"/>
      <c r="N282" s="61"/>
      <c r="O282" s="22"/>
      <c r="P282" s="22"/>
      <c r="Q282" s="22"/>
    </row>
    <row r="283" spans="3:17" outlineLevel="1">
      <c r="C283" s="2" t="s">
        <v>116</v>
      </c>
      <c r="F283" s="22"/>
      <c r="G283" s="8">
        <f t="shared" si="69"/>
        <v>8.513347499261633E-3</v>
      </c>
      <c r="H283" s="8">
        <f t="shared" si="69"/>
        <v>1.0446101765631816E-2</v>
      </c>
      <c r="I283" s="8">
        <f t="shared" si="69"/>
        <v>9.5210503302861557E-3</v>
      </c>
      <c r="J283" s="8">
        <f t="shared" si="69"/>
        <v>1.235165430855904E-2</v>
      </c>
      <c r="K283" s="8">
        <f t="shared" si="69"/>
        <v>8.0377515460501956E-3</v>
      </c>
      <c r="L283" s="8">
        <f t="shared" si="69"/>
        <v>6.2888291440762198E-3</v>
      </c>
      <c r="M283" s="61"/>
      <c r="N283" s="61"/>
      <c r="O283" s="22"/>
      <c r="P283" s="22"/>
      <c r="Q283" s="22"/>
    </row>
    <row r="284" spans="3:17" outlineLevel="1">
      <c r="F284" s="22"/>
      <c r="G284" s="22"/>
      <c r="H284" s="22"/>
      <c r="I284" s="22"/>
      <c r="J284" s="22"/>
      <c r="K284" s="22"/>
      <c r="L284" s="22"/>
      <c r="M284" s="61"/>
      <c r="N284" s="61"/>
      <c r="O284" s="22"/>
      <c r="P284" s="22"/>
      <c r="Q284" s="22"/>
    </row>
    <row r="285" spans="3:17" ht="15.6" outlineLevel="1">
      <c r="C285" s="12" t="s">
        <v>154</v>
      </c>
      <c r="D285" s="13"/>
      <c r="E285" s="13"/>
      <c r="F285" s="49"/>
      <c r="G285" s="69">
        <f>SUM(G271:G283)</f>
        <v>0.60470049864220843</v>
      </c>
      <c r="H285" s="69">
        <f t="shared" ref="H285:L285" si="70">SUM(H271:H283)</f>
        <v>0.57492200686529238</v>
      </c>
      <c r="I285" s="69">
        <f t="shared" si="70"/>
        <v>0.47827081647336278</v>
      </c>
      <c r="J285" s="69">
        <f t="shared" si="70"/>
        <v>0.55970473295701262</v>
      </c>
      <c r="K285" s="69">
        <f t="shared" si="70"/>
        <v>0.64859542855933439</v>
      </c>
      <c r="L285" s="69">
        <f t="shared" si="70"/>
        <v>0.68882050215425539</v>
      </c>
      <c r="M285" s="72"/>
      <c r="N285" s="61"/>
      <c r="O285" s="22"/>
      <c r="P285" s="22"/>
      <c r="Q285" s="22"/>
    </row>
    <row r="286" spans="3:17" outlineLevel="1">
      <c r="F286" s="22"/>
      <c r="G286" s="22"/>
      <c r="H286" s="22"/>
      <c r="I286" s="22"/>
      <c r="J286" s="22"/>
      <c r="K286" s="22"/>
      <c r="L286" s="22"/>
      <c r="M286" s="61"/>
      <c r="N286" s="61"/>
      <c r="O286" s="22"/>
      <c r="P286" s="22"/>
      <c r="Q286" s="22"/>
    </row>
    <row r="287" spans="3:17" outlineLevel="1">
      <c r="F287" s="22"/>
      <c r="G287" s="22"/>
      <c r="H287" s="22"/>
      <c r="I287" s="22"/>
      <c r="J287" s="22"/>
      <c r="K287" s="22"/>
      <c r="L287" s="22"/>
      <c r="M287" s="61"/>
      <c r="N287" s="61"/>
      <c r="O287" s="22"/>
      <c r="P287" s="22"/>
      <c r="Q287" s="22"/>
    </row>
    <row r="288" spans="3:17" ht="15.6" outlineLevel="1">
      <c r="C288" s="3" t="s">
        <v>119</v>
      </c>
      <c r="F288" s="22"/>
      <c r="G288" s="22"/>
      <c r="H288" s="22"/>
      <c r="I288" s="22"/>
      <c r="J288" s="22"/>
      <c r="K288" s="22"/>
      <c r="L288" s="22"/>
      <c r="M288" s="61"/>
      <c r="N288" s="61"/>
      <c r="O288" s="22"/>
      <c r="P288" s="22"/>
      <c r="Q288" s="22"/>
    </row>
    <row r="289" spans="2:17" outlineLevel="1">
      <c r="C289" s="2" t="s">
        <v>120</v>
      </c>
      <c r="F289" s="22"/>
      <c r="G289" s="8">
        <f t="shared" ref="G289:L289" si="71">G25/G$40</f>
        <v>0.14436145871520625</v>
      </c>
      <c r="H289" s="8">
        <f t="shared" si="71"/>
        <v>0.15415260103548334</v>
      </c>
      <c r="I289" s="8">
        <f t="shared" si="71"/>
        <v>0.14748434094040949</v>
      </c>
      <c r="J289" s="8">
        <f t="shared" si="71"/>
        <v>0.15988376648938479</v>
      </c>
      <c r="K289" s="8">
        <f t="shared" si="71"/>
        <v>0.15559162621606198</v>
      </c>
      <c r="L289" s="8">
        <f t="shared" si="71"/>
        <v>0.14824557998648052</v>
      </c>
      <c r="M289" s="61"/>
      <c r="N289" s="61"/>
      <c r="O289" s="22"/>
      <c r="P289" s="22"/>
      <c r="Q289" s="22"/>
    </row>
    <row r="290" spans="2:17" outlineLevel="1">
      <c r="C290" s="2" t="s">
        <v>111</v>
      </c>
      <c r="F290" s="22"/>
      <c r="G290" s="8"/>
      <c r="H290" s="8"/>
      <c r="I290" s="8"/>
      <c r="J290" s="8"/>
      <c r="K290" s="8"/>
      <c r="L290" s="8"/>
      <c r="M290" s="61"/>
      <c r="N290" s="61"/>
      <c r="O290" s="22"/>
      <c r="P290" s="22"/>
      <c r="Q290" s="22"/>
    </row>
    <row r="291" spans="2:17" outlineLevel="1">
      <c r="D291" s="2" t="s">
        <v>121</v>
      </c>
      <c r="F291" s="22"/>
      <c r="G291" s="8">
        <f t="shared" ref="G291:L299" si="72">G27/G$40</f>
        <v>8.1983490449490506E-2</v>
      </c>
      <c r="H291" s="8">
        <f t="shared" si="72"/>
        <v>8.5983282444195799E-2</v>
      </c>
      <c r="I291" s="8">
        <f t="shared" si="72"/>
        <v>0.1487094839539406</v>
      </c>
      <c r="J291" s="8">
        <f t="shared" si="72"/>
        <v>6.8774874091119043E-2</v>
      </c>
      <c r="K291" s="8">
        <f t="shared" si="72"/>
        <v>6.9563914940172722E-2</v>
      </c>
      <c r="L291" s="8">
        <f t="shared" si="72"/>
        <v>5.3936578545916075E-2</v>
      </c>
      <c r="M291" s="61"/>
      <c r="N291" s="61"/>
      <c r="O291" s="22"/>
      <c r="P291" s="22"/>
      <c r="Q291" s="22"/>
    </row>
    <row r="292" spans="2:17" outlineLevel="1">
      <c r="D292" s="2" t="s">
        <v>122</v>
      </c>
      <c r="F292" s="22"/>
      <c r="G292" s="8">
        <f t="shared" si="72"/>
        <v>8.1143417957325242E-2</v>
      </c>
      <c r="H292" s="8">
        <f t="shared" si="72"/>
        <v>9.8802366819017995E-2</v>
      </c>
      <c r="I292" s="8">
        <f t="shared" si="72"/>
        <v>8.7009742345796073E-2</v>
      </c>
      <c r="J292" s="8">
        <f t="shared" si="72"/>
        <v>5.1772219932830175E-2</v>
      </c>
      <c r="K292" s="8">
        <f t="shared" si="72"/>
        <v>5.2598674918779967E-2</v>
      </c>
      <c r="L292" s="8">
        <f t="shared" si="72"/>
        <v>6.2159587004014104E-2</v>
      </c>
      <c r="M292" s="61"/>
      <c r="N292" s="61"/>
      <c r="O292" s="22"/>
      <c r="P292" s="22"/>
      <c r="Q292" s="22"/>
    </row>
    <row r="293" spans="2:17" outlineLevel="1">
      <c r="D293" s="2" t="s">
        <v>186</v>
      </c>
      <c r="F293" s="22"/>
      <c r="G293" s="8">
        <f t="shared" si="72"/>
        <v>1.767484942476295E-2</v>
      </c>
      <c r="H293" s="8">
        <f t="shared" si="72"/>
        <v>1.2764560298886762E-2</v>
      </c>
      <c r="I293" s="8">
        <f t="shared" si="72"/>
        <v>1.7526173266866295E-2</v>
      </c>
      <c r="J293" s="8">
        <f t="shared" si="72"/>
        <v>2.2239062314178961E-2</v>
      </c>
      <c r="K293" s="8">
        <f t="shared" si="72"/>
        <v>2.0831891818409009E-2</v>
      </c>
      <c r="L293" s="8">
        <f t="shared" si="72"/>
        <v>1.0752601548075818E-2</v>
      </c>
      <c r="M293" s="61"/>
      <c r="N293" s="61"/>
      <c r="O293" s="22"/>
      <c r="P293" s="22"/>
      <c r="Q293" s="22"/>
    </row>
    <row r="294" spans="2:17" outlineLevel="1">
      <c r="D294" s="2" t="s">
        <v>123</v>
      </c>
      <c r="F294" s="22"/>
      <c r="G294" s="8">
        <f t="shared" si="72"/>
        <v>1.7497871088520196E-2</v>
      </c>
      <c r="H294" s="8">
        <f t="shared" si="72"/>
        <v>2.6132441351059191E-2</v>
      </c>
      <c r="I294" s="8">
        <f t="shared" si="72"/>
        <v>6.9214165903179484E-2</v>
      </c>
      <c r="J294" s="8">
        <f t="shared" si="72"/>
        <v>0.10028459140804989</v>
      </c>
      <c r="K294" s="8">
        <f t="shared" si="72"/>
        <v>2.5579326193187694E-2</v>
      </c>
      <c r="L294" s="8">
        <f t="shared" si="72"/>
        <v>1.3116679861465598E-2</v>
      </c>
      <c r="M294" s="61"/>
      <c r="N294" s="61"/>
      <c r="O294" s="22"/>
      <c r="P294" s="22"/>
      <c r="Q294" s="22"/>
    </row>
    <row r="295" spans="2:17" outlineLevel="1">
      <c r="D295" s="2" t="s">
        <v>124</v>
      </c>
      <c r="F295" s="22"/>
      <c r="G295" s="8">
        <f t="shared" si="72"/>
        <v>4.0084443949007257E-3</v>
      </c>
      <c r="H295" s="8">
        <f t="shared" si="72"/>
        <v>1.3085778224506438E-3</v>
      </c>
      <c r="I295" s="8">
        <f t="shared" si="72"/>
        <v>1.3972617091493381E-3</v>
      </c>
      <c r="J295" s="8">
        <f t="shared" si="72"/>
        <v>1.3330715129255392E-3</v>
      </c>
      <c r="K295" s="8">
        <f t="shared" si="72"/>
        <v>0</v>
      </c>
      <c r="L295" s="8">
        <f t="shared" si="72"/>
        <v>0</v>
      </c>
      <c r="M295" s="61"/>
      <c r="N295" s="61"/>
      <c r="O295" s="22"/>
      <c r="P295" s="22"/>
      <c r="Q295" s="22"/>
    </row>
    <row r="296" spans="2:17" outlineLevel="1">
      <c r="D296" s="2" t="s">
        <v>125</v>
      </c>
      <c r="F296" s="22"/>
      <c r="G296" s="8">
        <f t="shared" si="72"/>
        <v>3.2488166010276238E-3</v>
      </c>
      <c r="H296" s="8">
        <f t="shared" si="72"/>
        <v>3.1375049782851943E-3</v>
      </c>
      <c r="I296" s="8">
        <f t="shared" si="72"/>
        <v>2.8009377796260642E-4</v>
      </c>
      <c r="J296" s="8">
        <f t="shared" si="72"/>
        <v>2.7196133908231955E-4</v>
      </c>
      <c r="K296" s="8">
        <f t="shared" si="72"/>
        <v>2.9476097172622807E-3</v>
      </c>
      <c r="L296" s="8">
        <f t="shared" si="72"/>
        <v>2.1216650786524756E-3</v>
      </c>
      <c r="M296" s="61"/>
      <c r="N296" s="61"/>
      <c r="O296" s="22"/>
      <c r="P296" s="22"/>
      <c r="Q296" s="22"/>
    </row>
    <row r="297" spans="2:17" outlineLevel="1">
      <c r="B297" s="15"/>
      <c r="C297" s="2" t="s">
        <v>128</v>
      </c>
      <c r="F297" s="22"/>
      <c r="G297" s="8">
        <f t="shared" si="72"/>
        <v>2.2524515521804537E-4</v>
      </c>
      <c r="H297" s="8">
        <f t="shared" si="72"/>
        <v>1.5646039181475092E-4</v>
      </c>
      <c r="I297" s="8">
        <f t="shared" si="72"/>
        <v>9.407729946835635E-5</v>
      </c>
      <c r="J297" s="8">
        <f t="shared" si="72"/>
        <v>2.2125668264324302E-5</v>
      </c>
      <c r="K297" s="8">
        <f t="shared" si="72"/>
        <v>5.2098045265061022E-5</v>
      </c>
      <c r="L297" s="8">
        <f t="shared" si="72"/>
        <v>4.7091151038092569E-4</v>
      </c>
      <c r="M297" s="61"/>
      <c r="N297" s="61"/>
      <c r="O297" s="22"/>
      <c r="P297" s="22"/>
      <c r="Q297" s="22"/>
    </row>
    <row r="298" spans="2:17" outlineLevel="1">
      <c r="C298" s="2" t="s">
        <v>126</v>
      </c>
      <c r="F298" s="22"/>
      <c r="G298" s="8">
        <f t="shared" si="72"/>
        <v>4.493525925602445E-2</v>
      </c>
      <c r="H298" s="8">
        <f t="shared" si="72"/>
        <v>4.261175064954769E-2</v>
      </c>
      <c r="I298" s="8">
        <f t="shared" si="72"/>
        <v>4.9984979703891701E-2</v>
      </c>
      <c r="J298" s="8">
        <f t="shared" si="72"/>
        <v>3.56887029103551E-2</v>
      </c>
      <c r="K298" s="8">
        <f t="shared" si="72"/>
        <v>2.4215008632808913E-2</v>
      </c>
      <c r="L298" s="8">
        <f t="shared" si="72"/>
        <v>2.0375894310759122E-2</v>
      </c>
      <c r="M298" s="61"/>
      <c r="N298" s="61"/>
      <c r="O298" s="22"/>
      <c r="P298" s="22"/>
      <c r="Q298" s="22"/>
    </row>
    <row r="299" spans="2:17" outlineLevel="1">
      <c r="C299" s="2" t="s">
        <v>127</v>
      </c>
      <c r="F299" s="22"/>
      <c r="G299" s="8">
        <f t="shared" si="72"/>
        <v>2.2064831531563628E-4</v>
      </c>
      <c r="H299" s="8">
        <f t="shared" si="72"/>
        <v>2.8447343966318346E-5</v>
      </c>
      <c r="I299" s="8">
        <f t="shared" si="72"/>
        <v>2.8864625973245701E-5</v>
      </c>
      <c r="J299" s="8">
        <f t="shared" si="72"/>
        <v>2.4891376797364841E-5</v>
      </c>
      <c r="K299" s="8">
        <f t="shared" si="72"/>
        <v>2.4420958717997351E-5</v>
      </c>
      <c r="L299" s="8">
        <f t="shared" si="72"/>
        <v>0</v>
      </c>
      <c r="M299" s="61"/>
      <c r="N299" s="61"/>
      <c r="O299" s="22"/>
      <c r="P299" s="22"/>
      <c r="Q299" s="22"/>
    </row>
    <row r="300" spans="2:17" outlineLevel="1">
      <c r="F300" s="22"/>
      <c r="G300" s="22"/>
      <c r="H300" s="22"/>
      <c r="I300" s="22"/>
      <c r="J300" s="22"/>
      <c r="K300" s="22"/>
      <c r="L300" s="22"/>
      <c r="M300" s="61"/>
      <c r="N300" s="61"/>
      <c r="O300" s="22"/>
      <c r="P300" s="22"/>
      <c r="Q300" s="22"/>
    </row>
    <row r="301" spans="2:17" ht="15.6" outlineLevel="1">
      <c r="C301" s="12" t="s">
        <v>153</v>
      </c>
      <c r="D301" s="13"/>
      <c r="E301" s="13"/>
      <c r="F301" s="49"/>
      <c r="G301" s="69">
        <f>SUM(G287:G299)</f>
        <v>0.39529950135779157</v>
      </c>
      <c r="H301" s="69">
        <f t="shared" ref="H301:L301" si="73">SUM(H287:H299)</f>
        <v>0.42507799313470773</v>
      </c>
      <c r="I301" s="69">
        <f t="shared" si="73"/>
        <v>0.52172918352663722</v>
      </c>
      <c r="J301" s="69">
        <f t="shared" si="73"/>
        <v>0.44029526704298744</v>
      </c>
      <c r="K301" s="69">
        <f t="shared" si="73"/>
        <v>0.35140457144066561</v>
      </c>
      <c r="L301" s="69">
        <f t="shared" si="73"/>
        <v>0.31117949784574467</v>
      </c>
      <c r="M301" s="72"/>
      <c r="N301" s="61"/>
      <c r="O301" s="22"/>
      <c r="P301" s="22"/>
      <c r="Q301" s="22"/>
    </row>
    <row r="302" spans="2:17" outlineLevel="1">
      <c r="F302" s="22"/>
      <c r="G302" s="22"/>
      <c r="H302" s="22"/>
      <c r="I302" s="22"/>
      <c r="J302" s="22"/>
      <c r="K302" s="22"/>
      <c r="L302" s="22"/>
      <c r="M302" s="61"/>
      <c r="N302" s="61"/>
      <c r="O302" s="22"/>
      <c r="P302" s="22"/>
      <c r="Q302" s="22"/>
    </row>
    <row r="303" spans="2:17" outlineLevel="1">
      <c r="F303" s="22"/>
      <c r="G303" s="22"/>
      <c r="H303" s="22"/>
      <c r="I303" s="22"/>
      <c r="J303" s="22"/>
      <c r="K303" s="22"/>
      <c r="L303" s="22"/>
      <c r="M303" s="61"/>
      <c r="N303" s="61"/>
      <c r="O303" s="22"/>
      <c r="P303" s="22"/>
      <c r="Q303" s="22"/>
    </row>
    <row r="304" spans="2:17" ht="15.6" outlineLevel="1">
      <c r="C304" s="12" t="s">
        <v>129</v>
      </c>
      <c r="D304" s="12"/>
      <c r="E304" s="12"/>
      <c r="F304" s="48"/>
      <c r="G304" s="71">
        <f>SUM(G285,G301)</f>
        <v>1</v>
      </c>
      <c r="H304" s="71">
        <f t="shared" ref="H304:L304" si="74">SUM(H285,H301)</f>
        <v>1</v>
      </c>
      <c r="I304" s="71">
        <f t="shared" si="74"/>
        <v>1</v>
      </c>
      <c r="J304" s="71">
        <f t="shared" si="74"/>
        <v>1</v>
      </c>
      <c r="K304" s="71">
        <f t="shared" si="74"/>
        <v>1</v>
      </c>
      <c r="L304" s="71">
        <f t="shared" si="74"/>
        <v>1</v>
      </c>
      <c r="M304" s="61"/>
      <c r="N304" s="61"/>
      <c r="O304" s="22"/>
      <c r="P304" s="22"/>
      <c r="Q304" s="22"/>
    </row>
    <row r="305" spans="2:17" outlineLevel="1">
      <c r="F305" s="22"/>
      <c r="G305" s="22"/>
      <c r="H305" s="22"/>
      <c r="I305" s="22"/>
      <c r="J305" s="22"/>
      <c r="K305" s="22"/>
      <c r="L305" s="22"/>
      <c r="M305" s="61"/>
      <c r="N305" s="61"/>
      <c r="O305" s="22"/>
      <c r="P305" s="22"/>
      <c r="Q305" s="22"/>
    </row>
    <row r="306" spans="2:17" ht="15.6" outlineLevel="1">
      <c r="B306" s="3" t="s">
        <v>130</v>
      </c>
      <c r="F306" s="22"/>
      <c r="G306" s="22"/>
      <c r="H306" s="22"/>
      <c r="I306" s="22"/>
      <c r="J306" s="22"/>
      <c r="K306" s="22"/>
      <c r="L306" s="22"/>
      <c r="M306" s="61"/>
    </row>
    <row r="307" spans="2:17" outlineLevel="1">
      <c r="F307" s="22"/>
      <c r="G307" s="22"/>
      <c r="H307" s="22"/>
      <c r="I307" s="22"/>
      <c r="J307" s="22"/>
      <c r="K307" s="22"/>
      <c r="L307" s="22"/>
      <c r="M307" s="61"/>
    </row>
    <row r="308" spans="2:17" ht="15.6" outlineLevel="1">
      <c r="C308" s="3" t="s">
        <v>131</v>
      </c>
      <c r="F308" s="22"/>
      <c r="G308" s="22"/>
      <c r="H308" s="22"/>
      <c r="I308" s="22"/>
      <c r="J308" s="22"/>
      <c r="K308" s="22"/>
      <c r="L308" s="22"/>
      <c r="M308" s="61"/>
    </row>
    <row r="309" spans="2:17" outlineLevel="1">
      <c r="C309" s="2" t="s">
        <v>132</v>
      </c>
      <c r="G309" s="8">
        <f t="shared" ref="G309:L311" si="75">G45/G$75</f>
        <v>2.0243333720234027E-2</v>
      </c>
      <c r="H309" s="8">
        <f t="shared" si="75"/>
        <v>2.0936059853211703E-2</v>
      </c>
      <c r="I309" s="8">
        <f t="shared" si="75"/>
        <v>1.8891363169378696E-2</v>
      </c>
      <c r="J309" s="8">
        <f t="shared" si="75"/>
        <v>1.6293710870986151E-2</v>
      </c>
      <c r="K309" s="8">
        <f t="shared" si="75"/>
        <v>1.439127097251584E-2</v>
      </c>
      <c r="L309" s="8">
        <f t="shared" si="75"/>
        <v>1.2976065537992599E-2</v>
      </c>
    </row>
    <row r="310" spans="2:17" outlineLevel="1">
      <c r="C310" s="2" t="s">
        <v>133</v>
      </c>
      <c r="G310" s="8">
        <f t="shared" si="75"/>
        <v>0.63555563727715392</v>
      </c>
      <c r="H310" s="8">
        <f t="shared" si="75"/>
        <v>0.646590348764437</v>
      </c>
      <c r="I310" s="8">
        <f t="shared" si="75"/>
        <v>0.68730309247050192</v>
      </c>
      <c r="J310" s="8">
        <f t="shared" si="75"/>
        <v>0.69020929960275212</v>
      </c>
      <c r="K310" s="8">
        <f t="shared" si="75"/>
        <v>0.6678733333713216</v>
      </c>
      <c r="L310" s="8">
        <f t="shared" si="75"/>
        <v>0.64419522834081688</v>
      </c>
    </row>
    <row r="311" spans="2:17" outlineLevel="1">
      <c r="C311" s="2" t="s">
        <v>156</v>
      </c>
      <c r="G311" s="8">
        <f t="shared" si="75"/>
        <v>3.0488540652728285E-3</v>
      </c>
      <c r="H311" s="8">
        <f t="shared" si="75"/>
        <v>3.7194902235961227E-3</v>
      </c>
      <c r="I311" s="8">
        <f t="shared" si="75"/>
        <v>3.8977935666094005E-3</v>
      </c>
      <c r="J311" s="8">
        <f t="shared" si="75"/>
        <v>3.3824615359085769E-3</v>
      </c>
      <c r="K311" s="8">
        <f t="shared" si="75"/>
        <v>3.3008995867159752E-3</v>
      </c>
      <c r="L311" s="8">
        <f t="shared" si="75"/>
        <v>3.428719157310077E-2</v>
      </c>
    </row>
    <row r="312" spans="2:17" ht="15.6" outlineLevel="1">
      <c r="C312" s="12" t="s">
        <v>134</v>
      </c>
      <c r="D312" s="13"/>
      <c r="E312" s="13"/>
      <c r="F312" s="13"/>
      <c r="G312" s="69">
        <f>SUM(G309:G311)</f>
        <v>0.65884782506266071</v>
      </c>
      <c r="H312" s="69">
        <f t="shared" ref="H312:L312" si="76">SUM(H309:H311)</f>
        <v>0.67124589884124475</v>
      </c>
      <c r="I312" s="69">
        <f t="shared" si="76"/>
        <v>0.71009224920648994</v>
      </c>
      <c r="J312" s="69">
        <f t="shared" si="76"/>
        <v>0.70988547200964691</v>
      </c>
      <c r="K312" s="69">
        <f t="shared" si="76"/>
        <v>0.68556550393055338</v>
      </c>
      <c r="L312" s="69">
        <f t="shared" si="76"/>
        <v>0.69145848545191024</v>
      </c>
    </row>
    <row r="313" spans="2:17" outlineLevel="1"/>
    <row r="314" spans="2:17" ht="15.6" outlineLevel="1">
      <c r="C314" s="3" t="s">
        <v>135</v>
      </c>
    </row>
    <row r="315" spans="2:17" outlineLevel="1">
      <c r="C315" s="2" t="s">
        <v>138</v>
      </c>
    </row>
    <row r="316" spans="2:17" outlineLevel="1">
      <c r="D316" s="2" t="s">
        <v>136</v>
      </c>
      <c r="G316" s="8">
        <f t="shared" ref="G316:L320" si="77">G52/G$75</f>
        <v>4.1870316251093186E-2</v>
      </c>
      <c r="H316" s="8">
        <f t="shared" si="77"/>
        <v>3.0877221263441368E-3</v>
      </c>
      <c r="I316" s="8">
        <f t="shared" si="77"/>
        <v>1.7413921943637004E-2</v>
      </c>
      <c r="J316" s="8">
        <f t="shared" si="77"/>
        <v>1.2365482851224241E-2</v>
      </c>
      <c r="K316" s="8">
        <f t="shared" si="77"/>
        <v>2.0380104082126059E-2</v>
      </c>
      <c r="L316" s="8">
        <f t="shared" si="77"/>
        <v>2.1886033555557668E-2</v>
      </c>
    </row>
    <row r="317" spans="2:17" outlineLevel="1">
      <c r="D317" s="2" t="s">
        <v>137</v>
      </c>
      <c r="G317" s="8">
        <f t="shared" si="77"/>
        <v>4.8841423963096574E-4</v>
      </c>
      <c r="H317" s="8">
        <f t="shared" si="77"/>
        <v>5.4049953536004845E-4</v>
      </c>
      <c r="I317" s="8">
        <f t="shared" si="77"/>
        <v>4.9818206309379615E-4</v>
      </c>
      <c r="J317" s="8">
        <f t="shared" si="77"/>
        <v>1.2630068967551787E-4</v>
      </c>
      <c r="K317" s="8">
        <f t="shared" si="77"/>
        <v>3.4596358183829583E-4</v>
      </c>
      <c r="L317" s="8">
        <f t="shared" si="77"/>
        <v>3.6252130270382303E-4</v>
      </c>
    </row>
    <row r="318" spans="2:17" outlineLevel="1">
      <c r="D318" s="2" t="s">
        <v>217</v>
      </c>
      <c r="G318" s="8">
        <f t="shared" si="77"/>
        <v>0</v>
      </c>
      <c r="H318" s="8">
        <f t="shared" si="77"/>
        <v>0</v>
      </c>
      <c r="I318" s="8">
        <f t="shared" si="77"/>
        <v>0</v>
      </c>
      <c r="J318" s="8">
        <f t="shared" si="77"/>
        <v>0</v>
      </c>
      <c r="K318" s="8">
        <f t="shared" si="77"/>
        <v>1.1362258059526903E-2</v>
      </c>
      <c r="L318" s="8">
        <f t="shared" si="77"/>
        <v>1.0572439446126038E-2</v>
      </c>
    </row>
    <row r="319" spans="2:17" outlineLevel="1">
      <c r="C319" s="2" t="s">
        <v>139</v>
      </c>
      <c r="G319" s="8">
        <f t="shared" si="77"/>
        <v>6.4930363621528387E-3</v>
      </c>
      <c r="H319" s="8">
        <f t="shared" si="77"/>
        <v>7.0549413036469491E-3</v>
      </c>
      <c r="I319" s="8">
        <f t="shared" si="77"/>
        <v>6.7286650324299415E-3</v>
      </c>
      <c r="J319" s="8">
        <f t="shared" si="77"/>
        <v>5.8365669075598802E-3</v>
      </c>
      <c r="K319" s="8">
        <f t="shared" si="77"/>
        <v>5.1837555038735713E-3</v>
      </c>
      <c r="L319" s="8">
        <f t="shared" si="77"/>
        <v>4.7142416676858763E-3</v>
      </c>
    </row>
    <row r="320" spans="2:17" outlineLevel="1">
      <c r="C320" s="2" t="s">
        <v>140</v>
      </c>
      <c r="G320" s="8">
        <f t="shared" si="77"/>
        <v>1.2532134783942779E-2</v>
      </c>
      <c r="H320" s="8">
        <f t="shared" si="77"/>
        <v>2.7427980807525269E-3</v>
      </c>
      <c r="I320" s="8">
        <f t="shared" si="77"/>
        <v>1.8633719656061946E-3</v>
      </c>
      <c r="J320" s="8">
        <f t="shared" si="77"/>
        <v>1.2823668564864623E-3</v>
      </c>
      <c r="K320" s="8">
        <f t="shared" si="77"/>
        <v>6.6970409124321407E-3</v>
      </c>
      <c r="L320" s="8">
        <f t="shared" si="77"/>
        <v>6.6638006733375464E-3</v>
      </c>
    </row>
    <row r="321" spans="3:12" outlineLevel="1"/>
    <row r="322" spans="3:12" ht="15.6" outlineLevel="1">
      <c r="C322" s="12" t="s">
        <v>141</v>
      </c>
      <c r="D322" s="13"/>
      <c r="E322" s="13"/>
      <c r="F322" s="13"/>
      <c r="G322" s="69">
        <f>SUM(G316:G320)</f>
        <v>6.1383901636819768E-2</v>
      </c>
      <c r="H322" s="69">
        <f t="shared" ref="H322:L322" si="78">SUM(H316:H320)</f>
        <v>1.3425961046103663E-2</v>
      </c>
      <c r="I322" s="69">
        <f t="shared" si="78"/>
        <v>2.6504141004766939E-2</v>
      </c>
      <c r="J322" s="69">
        <f t="shared" si="78"/>
        <v>1.9610717304946099E-2</v>
      </c>
      <c r="K322" s="69">
        <f t="shared" si="78"/>
        <v>4.3969122139796972E-2</v>
      </c>
      <c r="L322" s="69">
        <f t="shared" si="78"/>
        <v>4.4199036645410958E-2</v>
      </c>
    </row>
    <row r="323" spans="3:12" outlineLevel="1"/>
    <row r="324" spans="3:12" ht="15.6" outlineLevel="1">
      <c r="C324" s="3" t="s">
        <v>142</v>
      </c>
    </row>
    <row r="325" spans="3:12" outlineLevel="1">
      <c r="C325" s="2" t="s">
        <v>143</v>
      </c>
      <c r="G325" s="8"/>
      <c r="H325" s="8"/>
      <c r="I325" s="8"/>
      <c r="J325" s="8"/>
      <c r="K325" s="8"/>
      <c r="L325" s="8"/>
    </row>
    <row r="326" spans="3:12" outlineLevel="1">
      <c r="D326" s="2" t="s">
        <v>144</v>
      </c>
      <c r="G326" s="8">
        <f t="shared" ref="G326:L334" si="79">G62/G$75</f>
        <v>5.3379654156749945E-2</v>
      </c>
      <c r="H326" s="8">
        <f t="shared" si="79"/>
        <v>5.9055500768078278E-2</v>
      </c>
      <c r="I326" s="8">
        <f t="shared" si="79"/>
        <v>3.2525088170741748E-2</v>
      </c>
      <c r="J326" s="8">
        <f t="shared" si="79"/>
        <v>3.2187315907525771E-2</v>
      </c>
      <c r="K326" s="8">
        <f t="shared" si="79"/>
        <v>5.024937869010862E-2</v>
      </c>
      <c r="L326" s="8">
        <f t="shared" si="79"/>
        <v>5.1278821359022779E-2</v>
      </c>
    </row>
    <row r="327" spans="3:12" outlineLevel="1">
      <c r="D327" s="2" t="s">
        <v>145</v>
      </c>
      <c r="G327" s="8">
        <f t="shared" si="79"/>
        <v>0</v>
      </c>
      <c r="H327" s="8">
        <f t="shared" si="79"/>
        <v>0</v>
      </c>
      <c r="I327" s="8">
        <f t="shared" si="79"/>
        <v>0</v>
      </c>
      <c r="J327" s="8">
        <f t="shared" si="79"/>
        <v>0</v>
      </c>
      <c r="K327" s="8">
        <f t="shared" si="79"/>
        <v>0</v>
      </c>
      <c r="L327" s="8">
        <f t="shared" si="79"/>
        <v>0</v>
      </c>
    </row>
    <row r="328" spans="3:12" outlineLevel="1">
      <c r="E328" s="2" t="s">
        <v>146</v>
      </c>
      <c r="G328" s="8">
        <f t="shared" si="79"/>
        <v>8.469677520188747E-4</v>
      </c>
      <c r="H328" s="8">
        <f t="shared" si="79"/>
        <v>6.4729560583360194E-3</v>
      </c>
      <c r="I328" s="8">
        <f t="shared" si="79"/>
        <v>4.7829754297889354E-3</v>
      </c>
      <c r="J328" s="8">
        <f t="shared" si="79"/>
        <v>1.0866468826316271E-2</v>
      </c>
      <c r="K328" s="8">
        <f t="shared" si="79"/>
        <v>1.1984178474878569E-2</v>
      </c>
      <c r="L328" s="8">
        <f t="shared" si="79"/>
        <v>1.2101620213894892E-2</v>
      </c>
    </row>
    <row r="329" spans="3:12" outlineLevel="1">
      <c r="E329" s="2" t="s">
        <v>147</v>
      </c>
      <c r="G329" s="8">
        <f t="shared" si="79"/>
        <v>0.16122841352712081</v>
      </c>
      <c r="H329" s="8">
        <f t="shared" si="79"/>
        <v>0.16604003489540856</v>
      </c>
      <c r="I329" s="8">
        <f t="shared" si="79"/>
        <v>0.15366778526001149</v>
      </c>
      <c r="J329" s="8">
        <f t="shared" si="79"/>
        <v>0.16570189534005772</v>
      </c>
      <c r="K329" s="8">
        <f t="shared" si="79"/>
        <v>0.15228340034173063</v>
      </c>
      <c r="L329" s="8">
        <f t="shared" si="79"/>
        <v>0.14803832033261144</v>
      </c>
    </row>
    <row r="330" spans="3:12" outlineLevel="1">
      <c r="D330" s="2" t="s">
        <v>148</v>
      </c>
      <c r="G330" s="8">
        <f t="shared" si="79"/>
        <v>2.7374181618846125E-2</v>
      </c>
      <c r="H330" s="8">
        <f t="shared" si="79"/>
        <v>3.883299512602173E-2</v>
      </c>
      <c r="I330" s="8">
        <f t="shared" si="79"/>
        <v>2.4109446109208777E-2</v>
      </c>
      <c r="J330" s="8">
        <f t="shared" si="79"/>
        <v>2.2027024659979185E-2</v>
      </c>
      <c r="K330" s="8">
        <f t="shared" si="79"/>
        <v>2.0509535163331444E-2</v>
      </c>
      <c r="L330" s="8">
        <f t="shared" si="79"/>
        <v>2.049453764618946E-2</v>
      </c>
    </row>
    <row r="331" spans="3:12" outlineLevel="1">
      <c r="D331" s="2" t="s">
        <v>218</v>
      </c>
      <c r="G331" s="8">
        <f t="shared" si="79"/>
        <v>0</v>
      </c>
      <c r="H331" s="8">
        <f t="shared" si="79"/>
        <v>0</v>
      </c>
      <c r="I331" s="8">
        <f t="shared" si="79"/>
        <v>0</v>
      </c>
      <c r="J331" s="8">
        <f t="shared" si="79"/>
        <v>0</v>
      </c>
      <c r="K331" s="8">
        <f t="shared" si="79"/>
        <v>1.8616910862686649E-3</v>
      </c>
      <c r="L331" s="8">
        <f t="shared" si="79"/>
        <v>2.2271258212572236E-3</v>
      </c>
    </row>
    <row r="332" spans="3:12" outlineLevel="1">
      <c r="C332" s="2" t="s">
        <v>149</v>
      </c>
      <c r="G332" s="8">
        <f t="shared" si="79"/>
        <v>1.9884780207846117E-2</v>
      </c>
      <c r="H332" s="8">
        <f t="shared" si="79"/>
        <v>2.3485653056192983E-2</v>
      </c>
      <c r="I332" s="8">
        <f t="shared" si="79"/>
        <v>2.5633925984684641E-2</v>
      </c>
      <c r="J332" s="8">
        <f t="shared" si="79"/>
        <v>1.4606628665831423E-2</v>
      </c>
      <c r="K332" s="8">
        <f t="shared" si="79"/>
        <v>7.4418801533310602E-3</v>
      </c>
      <c r="L332" s="8">
        <f t="shared" si="79"/>
        <v>4.8848830081505042E-3</v>
      </c>
    </row>
    <row r="333" spans="3:12" outlineLevel="1">
      <c r="C333" s="2" t="s">
        <v>150</v>
      </c>
      <c r="G333" s="8">
        <f t="shared" si="79"/>
        <v>1.235055960779762E-2</v>
      </c>
      <c r="H333" s="8">
        <f t="shared" si="79"/>
        <v>1.5437425325722088E-2</v>
      </c>
      <c r="I333" s="8">
        <f t="shared" si="79"/>
        <v>1.7697222902263308E-2</v>
      </c>
      <c r="J333" s="8">
        <f t="shared" si="79"/>
        <v>1.731702302821115E-2</v>
      </c>
      <c r="K333" s="8">
        <f t="shared" si="79"/>
        <v>1.514099440515836E-2</v>
      </c>
      <c r="L333" s="8">
        <f t="shared" si="79"/>
        <v>1.567337050336266E-2</v>
      </c>
    </row>
    <row r="334" spans="3:12" outlineLevel="1">
      <c r="C334" s="2" t="s">
        <v>151</v>
      </c>
      <c r="G334" s="8">
        <f t="shared" si="79"/>
        <v>4.7037164301401008E-3</v>
      </c>
      <c r="H334" s="8">
        <f t="shared" si="79"/>
        <v>6.003574882891766E-3</v>
      </c>
      <c r="I334" s="8">
        <f t="shared" si="79"/>
        <v>4.9871659320441181E-3</v>
      </c>
      <c r="J334" s="8">
        <f t="shared" si="79"/>
        <v>7.797454257485621E-3</v>
      </c>
      <c r="K334" s="8">
        <f t="shared" si="79"/>
        <v>1.0994315614842409E-2</v>
      </c>
      <c r="L334" s="8">
        <f t="shared" si="79"/>
        <v>9.6437990181897811E-3</v>
      </c>
    </row>
    <row r="335" spans="3:12" outlineLevel="1"/>
    <row r="336" spans="3:12" ht="15.6" outlineLevel="1">
      <c r="C336" s="12" t="s">
        <v>152</v>
      </c>
      <c r="D336" s="13"/>
      <c r="E336" s="13"/>
      <c r="F336" s="13"/>
      <c r="G336" s="69">
        <f>SUM(G326:G334)</f>
        <v>0.27976827330051962</v>
      </c>
      <c r="H336" s="69">
        <f t="shared" ref="H336:L336" si="80">SUM(H326:H334)</f>
        <v>0.31532814011265142</v>
      </c>
      <c r="I336" s="69">
        <f t="shared" si="80"/>
        <v>0.26340360978874305</v>
      </c>
      <c r="J336" s="69">
        <f t="shared" si="80"/>
        <v>0.27050381068540719</v>
      </c>
      <c r="K336" s="69">
        <f t="shared" si="80"/>
        <v>0.27046537392964975</v>
      </c>
      <c r="L336" s="69">
        <f t="shared" si="80"/>
        <v>0.26434247790267879</v>
      </c>
    </row>
    <row r="337" spans="2:14" outlineLevel="1"/>
    <row r="338" spans="2:14" ht="15.6" outlineLevel="1" thickBot="1"/>
    <row r="339" spans="2:14" ht="16.8" outlineLevel="1" thickTop="1" thickBot="1">
      <c r="C339" s="32" t="s">
        <v>155</v>
      </c>
      <c r="D339" s="32"/>
      <c r="E339" s="32"/>
      <c r="F339" s="32"/>
      <c r="G339" s="70">
        <f>SUM(G312,G322,G336)</f>
        <v>1</v>
      </c>
      <c r="H339" s="70">
        <f t="shared" ref="H339:L339" si="81">SUM(H312,H322,H336)</f>
        <v>0.99999999999999989</v>
      </c>
      <c r="I339" s="70">
        <f t="shared" si="81"/>
        <v>1</v>
      </c>
      <c r="J339" s="70">
        <f t="shared" si="81"/>
        <v>1.0000000000000002</v>
      </c>
      <c r="K339" s="70">
        <f t="shared" si="81"/>
        <v>1</v>
      </c>
      <c r="L339" s="70">
        <f t="shared" si="81"/>
        <v>1</v>
      </c>
      <c r="M339" s="125"/>
    </row>
    <row r="340" spans="2:14" s="80" customFormat="1" collapsed="1" thickTop="1">
      <c r="M340" s="496"/>
      <c r="N340" s="94"/>
    </row>
    <row r="341" spans="2:14" ht="15.6">
      <c r="B341" s="3"/>
      <c r="F341" s="22"/>
      <c r="G341" s="22"/>
      <c r="H341" s="22"/>
      <c r="I341" s="22"/>
      <c r="J341" s="22"/>
      <c r="K341" s="22"/>
      <c r="L341" s="22"/>
      <c r="M341" s="61"/>
      <c r="N341" s="61"/>
    </row>
    <row r="342" spans="2:14" ht="15.6">
      <c r="C342" s="3"/>
      <c r="F342" s="22"/>
      <c r="G342" s="22"/>
      <c r="H342" s="22"/>
      <c r="I342" s="22"/>
      <c r="J342" s="22"/>
      <c r="K342" s="22"/>
      <c r="L342" s="22"/>
      <c r="M342" s="61"/>
      <c r="N342" s="61"/>
    </row>
    <row r="343" spans="2:14">
      <c r="F343" s="22"/>
      <c r="G343" s="8"/>
      <c r="H343" s="8"/>
      <c r="I343" s="8"/>
      <c r="J343" s="8"/>
      <c r="K343" s="8"/>
      <c r="L343" s="8"/>
      <c r="M343" s="62"/>
      <c r="N343" s="72"/>
    </row>
    <row r="344" spans="2:14">
      <c r="F344" s="22"/>
      <c r="G344" s="8"/>
      <c r="H344" s="8"/>
      <c r="I344" s="8"/>
      <c r="J344" s="8"/>
      <c r="K344" s="8"/>
      <c r="L344" s="8"/>
      <c r="M344" s="62"/>
      <c r="N344" s="61"/>
    </row>
    <row r="345" spans="2:14" ht="15.6">
      <c r="B345" s="3">
        <v>9</v>
      </c>
      <c r="F345" s="22"/>
      <c r="G345" s="8"/>
      <c r="H345" s="8"/>
      <c r="I345" s="8"/>
      <c r="J345" s="8"/>
      <c r="K345" s="8"/>
      <c r="L345" s="8"/>
      <c r="M345" s="62"/>
      <c r="N345" s="61"/>
    </row>
    <row r="346" spans="2:14" collapsed="1">
      <c r="F346" s="22"/>
      <c r="G346" s="8"/>
      <c r="H346" s="8"/>
      <c r="I346" s="8"/>
      <c r="J346" s="8"/>
      <c r="K346" s="8"/>
      <c r="L346" s="8"/>
      <c r="M346" s="62"/>
      <c r="N346" s="61"/>
    </row>
    <row r="347" spans="2:14" ht="15.6" hidden="1" outlineLevel="1">
      <c r="E347" s="47" t="s">
        <v>276</v>
      </c>
      <c r="G347" s="99">
        <v>248.32</v>
      </c>
      <c r="H347" s="99">
        <v>251.19</v>
      </c>
      <c r="I347" s="99">
        <v>273.93</v>
      </c>
      <c r="J347" s="99">
        <v>283.75</v>
      </c>
      <c r="K347" s="99">
        <v>286.89</v>
      </c>
      <c r="L347" s="99">
        <v>284.91000000000003</v>
      </c>
      <c r="M347" s="62"/>
      <c r="N347" s="61"/>
    </row>
    <row r="348" spans="2:14" s="80" customFormat="1" ht="14.4" collapsed="1">
      <c r="F348" s="96"/>
      <c r="G348" s="100"/>
      <c r="H348" s="100"/>
      <c r="I348" s="100"/>
      <c r="J348" s="100"/>
      <c r="K348" s="100"/>
      <c r="L348" s="100"/>
      <c r="M348" s="495"/>
      <c r="N348" s="95"/>
    </row>
    <row r="349" spans="2:14">
      <c r="F349" s="22"/>
      <c r="G349" s="8"/>
      <c r="H349" s="8"/>
      <c r="I349" s="8"/>
      <c r="J349" s="8"/>
      <c r="K349" s="8"/>
      <c r="L349" s="8"/>
      <c r="M349" s="62"/>
      <c r="N349" s="61"/>
    </row>
    <row r="350" spans="2:14">
      <c r="F350" s="22"/>
      <c r="G350" s="8"/>
      <c r="H350" s="8"/>
      <c r="I350" s="8"/>
      <c r="J350" s="8"/>
      <c r="K350" s="8"/>
      <c r="L350" s="8"/>
      <c r="M350" s="62"/>
      <c r="N350" s="61"/>
    </row>
    <row r="351" spans="2:14" ht="15.6">
      <c r="B351" s="3"/>
      <c r="F351" s="22"/>
      <c r="G351" s="8"/>
      <c r="H351" s="8"/>
      <c r="I351" s="8"/>
      <c r="J351" s="8"/>
      <c r="K351" s="8"/>
      <c r="L351" s="8"/>
      <c r="M351" s="62"/>
      <c r="N351" s="61"/>
    </row>
    <row r="352" spans="2:14">
      <c r="F352" s="22"/>
      <c r="G352" s="8"/>
      <c r="H352" s="8"/>
      <c r="I352" s="8"/>
      <c r="J352" s="8"/>
      <c r="K352" s="8"/>
      <c r="L352" s="8"/>
      <c r="M352" s="62"/>
      <c r="N352" s="61"/>
    </row>
    <row r="367" spans="6:14">
      <c r="F367" s="22"/>
      <c r="G367" s="8"/>
      <c r="H367" s="8"/>
      <c r="I367" s="8"/>
      <c r="J367" s="8"/>
      <c r="K367" s="8"/>
      <c r="L367" s="8"/>
      <c r="M367" s="62"/>
      <c r="N367" s="61"/>
    </row>
    <row r="368" spans="6:14">
      <c r="F368" s="22"/>
      <c r="G368" s="8"/>
      <c r="H368" s="8"/>
      <c r="I368" s="8"/>
      <c r="J368" s="8"/>
      <c r="K368" s="8"/>
      <c r="L368" s="8"/>
      <c r="M368" s="62"/>
      <c r="N368" s="61"/>
    </row>
    <row r="369" spans="2:14">
      <c r="F369" s="22"/>
      <c r="G369" s="8"/>
      <c r="H369" s="8"/>
      <c r="I369" s="8"/>
      <c r="J369" s="8"/>
      <c r="K369" s="8"/>
      <c r="L369" s="8"/>
      <c r="M369" s="62"/>
      <c r="N369" s="61"/>
    </row>
    <row r="370" spans="2:14">
      <c r="F370" s="22"/>
      <c r="G370" s="8"/>
      <c r="H370" s="8"/>
      <c r="I370" s="8"/>
      <c r="J370" s="8"/>
      <c r="K370" s="8"/>
      <c r="L370" s="8"/>
      <c r="M370" s="62"/>
      <c r="N370" s="61"/>
    </row>
    <row r="371" spans="2:14">
      <c r="B371" s="15"/>
      <c r="F371" s="22"/>
      <c r="G371" s="8"/>
      <c r="H371" s="8"/>
      <c r="I371" s="8"/>
      <c r="J371" s="8"/>
      <c r="K371" s="8"/>
      <c r="L371" s="8"/>
      <c r="M371" s="62"/>
      <c r="N371" s="61"/>
    </row>
    <row r="372" spans="2:14">
      <c r="F372" s="22"/>
      <c r="G372" s="8"/>
      <c r="H372" s="11"/>
      <c r="I372" s="11"/>
      <c r="J372" s="11"/>
      <c r="K372" s="11"/>
      <c r="L372" s="11"/>
      <c r="M372" s="62"/>
      <c r="N372" s="61"/>
    </row>
    <row r="373" spans="2:14">
      <c r="F373" s="22"/>
      <c r="G373" s="8"/>
      <c r="H373" s="8"/>
      <c r="I373" s="8"/>
      <c r="J373" s="8"/>
      <c r="K373" s="8"/>
      <c r="L373" s="8"/>
      <c r="M373" s="62"/>
      <c r="N373" s="61"/>
    </row>
    <row r="374" spans="2:14">
      <c r="F374" s="22"/>
      <c r="G374" s="8"/>
      <c r="H374" s="11"/>
      <c r="I374" s="11"/>
      <c r="J374" s="11"/>
      <c r="K374" s="11"/>
      <c r="L374" s="11"/>
      <c r="M374" s="62"/>
      <c r="N374" s="61"/>
    </row>
    <row r="375" spans="2:14">
      <c r="F375" s="22"/>
      <c r="G375" s="11"/>
      <c r="H375" s="11"/>
      <c r="I375" s="11"/>
      <c r="J375" s="11"/>
      <c r="K375" s="11"/>
      <c r="L375" s="11"/>
      <c r="M375" s="62"/>
      <c r="N375" s="61"/>
    </row>
    <row r="376" spans="2:14" ht="15.6">
      <c r="C376" s="3"/>
      <c r="D376" s="3"/>
      <c r="E376" s="3"/>
      <c r="F376" s="47"/>
      <c r="G376" s="8"/>
      <c r="H376" s="8"/>
      <c r="I376" s="8"/>
      <c r="J376" s="8"/>
      <c r="K376" s="8"/>
      <c r="L376" s="8"/>
      <c r="M376" s="62"/>
      <c r="N376" s="61"/>
    </row>
    <row r="377" spans="2:14">
      <c r="F377" s="22"/>
      <c r="G377" s="11"/>
      <c r="H377" s="11"/>
      <c r="I377" s="11"/>
      <c r="J377" s="11"/>
      <c r="K377" s="11"/>
      <c r="L377" s="11"/>
      <c r="M377" s="62"/>
      <c r="N377" s="61"/>
    </row>
    <row r="378" spans="2:14" ht="15.6">
      <c r="B378" s="3"/>
      <c r="F378" s="22"/>
      <c r="G378" s="11"/>
      <c r="H378" s="11"/>
      <c r="I378" s="11"/>
      <c r="J378" s="11"/>
      <c r="K378" s="11"/>
      <c r="L378" s="11"/>
      <c r="M378" s="62"/>
      <c r="N378" s="61"/>
    </row>
    <row r="379" spans="2:14">
      <c r="F379" s="22"/>
      <c r="G379" s="11"/>
      <c r="H379" s="11"/>
      <c r="I379" s="11"/>
      <c r="J379" s="11"/>
      <c r="K379" s="11"/>
      <c r="L379" s="11"/>
      <c r="M379" s="62"/>
      <c r="N379" s="61"/>
    </row>
    <row r="380" spans="2:14" ht="15.6">
      <c r="C380" s="3"/>
      <c r="F380" s="22"/>
      <c r="G380" s="11"/>
      <c r="H380" s="11"/>
      <c r="I380" s="11"/>
      <c r="J380" s="11"/>
      <c r="K380" s="11"/>
      <c r="L380" s="11"/>
      <c r="M380" s="62"/>
      <c r="N380" s="61"/>
    </row>
    <row r="381" spans="2:14">
      <c r="G381" s="8"/>
      <c r="H381" s="8"/>
      <c r="I381" s="8"/>
      <c r="J381" s="8"/>
      <c r="K381" s="8"/>
      <c r="L381" s="8"/>
      <c r="M381" s="62"/>
    </row>
    <row r="382" spans="2:14">
      <c r="G382" s="8"/>
      <c r="H382" s="8"/>
      <c r="I382" s="8"/>
      <c r="J382" s="8"/>
      <c r="K382" s="8"/>
      <c r="L382" s="8"/>
      <c r="M382" s="62"/>
    </row>
    <row r="383" spans="2:14">
      <c r="G383" s="8"/>
      <c r="H383" s="8"/>
      <c r="I383" s="8"/>
      <c r="J383" s="8"/>
      <c r="K383" s="8"/>
      <c r="L383" s="8"/>
      <c r="M383" s="62"/>
    </row>
    <row r="384" spans="2:14" ht="15.6">
      <c r="C384" s="3"/>
      <c r="G384" s="8"/>
      <c r="H384" s="8"/>
      <c r="I384" s="8"/>
      <c r="J384" s="8"/>
      <c r="K384" s="8"/>
      <c r="L384" s="8"/>
      <c r="M384" s="72"/>
    </row>
    <row r="385" spans="3:13">
      <c r="G385" s="11"/>
      <c r="H385" s="11"/>
      <c r="I385" s="11"/>
      <c r="J385" s="11"/>
      <c r="K385" s="11"/>
      <c r="L385" s="11"/>
      <c r="M385" s="62"/>
    </row>
    <row r="386" spans="3:13" ht="15.6">
      <c r="C386" s="3"/>
      <c r="G386" s="11"/>
      <c r="H386" s="11"/>
      <c r="I386" s="11"/>
      <c r="J386" s="11"/>
      <c r="K386" s="11"/>
      <c r="L386" s="11"/>
      <c r="M386" s="62"/>
    </row>
    <row r="387" spans="3:13">
      <c r="G387" s="11"/>
      <c r="H387" s="11"/>
      <c r="I387" s="11"/>
      <c r="J387" s="11"/>
      <c r="K387" s="11"/>
      <c r="L387" s="11"/>
      <c r="M387" s="62"/>
    </row>
    <row r="388" spans="3:13">
      <c r="G388" s="8"/>
      <c r="H388" s="8"/>
      <c r="I388" s="8"/>
      <c r="J388" s="8"/>
      <c r="K388" s="8"/>
      <c r="L388" s="8"/>
      <c r="M388" s="62"/>
    </row>
    <row r="389" spans="3:13">
      <c r="G389" s="8"/>
      <c r="H389" s="8"/>
      <c r="I389" s="8"/>
      <c r="J389" s="8"/>
      <c r="K389" s="8"/>
      <c r="L389" s="8"/>
      <c r="M389" s="62"/>
    </row>
    <row r="390" spans="3:13">
      <c r="G390" s="8"/>
      <c r="H390" s="8"/>
      <c r="I390" s="8"/>
      <c r="J390" s="8"/>
      <c r="K390" s="8"/>
      <c r="L390" s="8"/>
      <c r="M390" s="62"/>
    </row>
    <row r="391" spans="3:13">
      <c r="G391" s="8"/>
      <c r="H391" s="8"/>
      <c r="I391" s="8"/>
      <c r="J391" s="8"/>
      <c r="K391" s="8"/>
      <c r="L391" s="8"/>
      <c r="M391" s="62"/>
    </row>
    <row r="392" spans="3:13">
      <c r="G392" s="8"/>
      <c r="H392" s="8"/>
      <c r="I392" s="8"/>
      <c r="J392" s="8"/>
      <c r="K392" s="8"/>
      <c r="L392" s="8"/>
      <c r="M392" s="62"/>
    </row>
    <row r="393" spans="3:13">
      <c r="G393" s="11"/>
      <c r="H393" s="11"/>
      <c r="I393" s="11"/>
      <c r="J393" s="11"/>
      <c r="K393" s="11"/>
      <c r="L393" s="11"/>
      <c r="M393" s="62"/>
    </row>
    <row r="394" spans="3:13" ht="15.6">
      <c r="C394" s="3"/>
      <c r="G394" s="8"/>
      <c r="H394" s="8"/>
      <c r="I394" s="8"/>
      <c r="J394" s="8"/>
      <c r="K394" s="8"/>
      <c r="L394" s="8"/>
      <c r="M394" s="62"/>
    </row>
    <row r="395" spans="3:13">
      <c r="G395" s="11"/>
      <c r="H395" s="11"/>
      <c r="I395" s="11"/>
      <c r="J395" s="11"/>
      <c r="K395" s="11"/>
      <c r="L395" s="11"/>
      <c r="M395" s="62"/>
    </row>
    <row r="396" spans="3:13" ht="15.6">
      <c r="C396" s="3"/>
      <c r="G396" s="11"/>
      <c r="H396" s="11"/>
      <c r="I396" s="11"/>
      <c r="J396" s="11"/>
      <c r="K396" s="11"/>
      <c r="L396" s="11"/>
      <c r="M396" s="62"/>
    </row>
    <row r="397" spans="3:13">
      <c r="G397" s="11"/>
      <c r="H397" s="11"/>
      <c r="I397" s="11"/>
      <c r="J397" s="11"/>
      <c r="K397" s="11"/>
      <c r="L397" s="11"/>
      <c r="M397" s="62"/>
    </row>
    <row r="398" spans="3:13">
      <c r="G398" s="8"/>
      <c r="H398" s="8"/>
      <c r="I398" s="8"/>
      <c r="J398" s="8"/>
      <c r="K398" s="8"/>
      <c r="L398" s="8"/>
      <c r="M398" s="62"/>
    </row>
    <row r="399" spans="3:13">
      <c r="G399" s="8"/>
      <c r="H399" s="8"/>
      <c r="I399" s="8"/>
      <c r="J399" s="8"/>
      <c r="K399" s="8"/>
      <c r="L399" s="8"/>
      <c r="M399" s="62"/>
    </row>
    <row r="400" spans="3:13">
      <c r="G400" s="8"/>
      <c r="H400" s="8"/>
      <c r="I400" s="8"/>
      <c r="J400" s="8"/>
      <c r="K400" s="8"/>
      <c r="L400" s="8"/>
      <c r="M400" s="62"/>
    </row>
    <row r="401" spans="3:13">
      <c r="G401" s="8"/>
      <c r="H401" s="8"/>
      <c r="I401" s="8"/>
      <c r="J401" s="8"/>
      <c r="K401" s="8"/>
      <c r="L401" s="8"/>
      <c r="M401" s="62"/>
    </row>
    <row r="402" spans="3:13">
      <c r="G402" s="8"/>
      <c r="H402" s="8"/>
      <c r="I402" s="8"/>
      <c r="J402" s="8"/>
      <c r="K402" s="8"/>
      <c r="L402" s="8"/>
      <c r="M402" s="62"/>
    </row>
    <row r="403" spans="3:13">
      <c r="G403" s="8"/>
      <c r="H403" s="8"/>
      <c r="I403" s="8"/>
      <c r="J403" s="8"/>
      <c r="K403" s="8"/>
      <c r="L403" s="8"/>
      <c r="M403" s="62"/>
    </row>
    <row r="404" spans="3:13">
      <c r="G404" s="8"/>
      <c r="H404" s="8"/>
      <c r="I404" s="8"/>
      <c r="J404" s="8"/>
      <c r="K404" s="8"/>
      <c r="L404" s="8"/>
      <c r="M404" s="62"/>
    </row>
    <row r="405" spans="3:13">
      <c r="G405" s="8"/>
      <c r="H405" s="8"/>
      <c r="I405" s="8"/>
      <c r="J405" s="8"/>
      <c r="K405" s="8"/>
      <c r="L405" s="8"/>
      <c r="M405" s="62"/>
    </row>
    <row r="406" spans="3:13">
      <c r="G406" s="8"/>
      <c r="H406" s="8"/>
      <c r="I406" s="8"/>
      <c r="J406" s="8"/>
      <c r="K406" s="8"/>
      <c r="L406" s="8"/>
      <c r="M406" s="62"/>
    </row>
    <row r="407" spans="3:13">
      <c r="G407" s="11"/>
      <c r="H407" s="11"/>
      <c r="I407" s="11"/>
      <c r="J407" s="11"/>
      <c r="K407" s="11"/>
      <c r="L407" s="11"/>
      <c r="M407" s="62"/>
    </row>
    <row r="408" spans="3:13" ht="15.6">
      <c r="C408" s="3"/>
      <c r="G408" s="8"/>
      <c r="H408" s="8"/>
      <c r="I408" s="8"/>
      <c r="J408" s="8"/>
      <c r="K408" s="8"/>
      <c r="L408" s="8"/>
      <c r="M408" s="62"/>
    </row>
    <row r="409" spans="3:13">
      <c r="G409" s="11"/>
      <c r="H409" s="11"/>
      <c r="I409" s="11"/>
      <c r="J409" s="11"/>
      <c r="K409" s="11"/>
      <c r="L409" s="11"/>
      <c r="M409" s="62"/>
    </row>
    <row r="410" spans="3:13">
      <c r="G410" s="11"/>
      <c r="H410" s="11"/>
      <c r="I410" s="11"/>
      <c r="J410" s="11"/>
      <c r="K410" s="11"/>
      <c r="L410" s="11"/>
      <c r="M410" s="62"/>
    </row>
    <row r="411" spans="3:13" ht="15.6">
      <c r="C411" s="3"/>
      <c r="D411" s="3"/>
      <c r="E411" s="3"/>
      <c r="F411" s="3"/>
      <c r="G411" s="8"/>
      <c r="H411" s="8"/>
      <c r="I411" s="8"/>
      <c r="J411" s="8"/>
      <c r="K411" s="8"/>
      <c r="L411" s="8"/>
      <c r="M411" s="73"/>
    </row>
    <row r="412" spans="3:13">
      <c r="G412" s="45"/>
      <c r="H412" s="45"/>
      <c r="I412" s="45"/>
      <c r="J412" s="45"/>
      <c r="K412" s="45"/>
      <c r="L412" s="45"/>
      <c r="M412" s="74"/>
    </row>
  </sheetData>
  <dataConsolidate/>
  <phoneticPr fontId="1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8AD0-98C4-494E-BFC4-6ED334FE9C7F}">
  <sheetPr codeName="Sheet7">
    <tabColor rgb="FFFF0000"/>
    <outlinePr summaryBelow="0"/>
  </sheetPr>
  <dimension ref="A1:W272"/>
  <sheetViews>
    <sheetView showGridLines="0" zoomScaleNormal="100" workbookViewId="0">
      <pane ySplit="3" topLeftCell="A4" activePane="bottomLeft" state="frozen"/>
      <selection activeCell="H19" sqref="H19"/>
      <selection pane="bottomLeft" activeCell="B11" sqref="B11"/>
    </sheetView>
  </sheetViews>
  <sheetFormatPr defaultColWidth="11.77734375" defaultRowHeight="15" outlineLevelRow="1"/>
  <cols>
    <col min="1" max="1" width="2.6640625" style="2" customWidth="1"/>
    <col min="2" max="6" width="15.5546875" style="2" customWidth="1"/>
    <col min="7" max="21" width="15.5546875" style="10" customWidth="1"/>
    <col min="22" max="16384" width="11.77734375" style="10"/>
  </cols>
  <sheetData>
    <row r="1" spans="2:18" s="2" customFormat="1" ht="15.6">
      <c r="B1" s="3"/>
    </row>
    <row r="2" spans="2:18" s="2" customFormat="1" ht="15.6">
      <c r="I2" s="125" t="s">
        <v>360</v>
      </c>
      <c r="J2" s="124"/>
      <c r="K2" s="124"/>
      <c r="L2" s="59"/>
      <c r="M2" s="59"/>
    </row>
    <row r="3" spans="2:18" s="2" customFormat="1" ht="15.6">
      <c r="B3" s="43" t="s">
        <v>358</v>
      </c>
      <c r="C3" s="36"/>
      <c r="D3" s="43" t="s">
        <v>78</v>
      </c>
      <c r="E3" s="36"/>
      <c r="F3" s="36"/>
      <c r="G3" s="38">
        <v>43190</v>
      </c>
      <c r="H3" s="38">
        <v>43555</v>
      </c>
      <c r="I3" s="38">
        <v>43921</v>
      </c>
      <c r="J3" s="38">
        <v>44286</v>
      </c>
      <c r="K3" s="38">
        <v>44651</v>
      </c>
      <c r="L3" s="38">
        <v>45016</v>
      </c>
      <c r="M3" s="38"/>
      <c r="N3" s="36"/>
      <c r="O3" s="10"/>
      <c r="P3" s="10"/>
      <c r="Q3" s="10"/>
      <c r="R3" s="10"/>
    </row>
    <row r="4" spans="2:18" s="2" customFormat="1" ht="15.6">
      <c r="L4"/>
    </row>
    <row r="5" spans="2:18" s="2" customFormat="1" ht="15.6">
      <c r="B5" s="123"/>
      <c r="C5" s="124"/>
      <c r="D5" s="124"/>
      <c r="E5" s="124"/>
      <c r="F5" s="124"/>
      <c r="G5" s="124"/>
      <c r="H5" s="124"/>
      <c r="I5" s="124"/>
      <c r="J5" s="123"/>
      <c r="K5" s="124"/>
      <c r="L5" s="124"/>
      <c r="M5" s="124"/>
      <c r="N5" s="124"/>
      <c r="O5" s="59"/>
    </row>
    <row r="6" spans="2:18" s="2" customFormat="1"/>
    <row r="7" spans="2:18" s="2" customFormat="1" ht="15.6">
      <c r="B7" s="3"/>
    </row>
    <row r="8" spans="2:18">
      <c r="C8" s="2" t="s">
        <v>47</v>
      </c>
      <c r="G8" s="15">
        <v>7748.34</v>
      </c>
      <c r="H8" s="15">
        <v>8533.0499999999993</v>
      </c>
      <c r="I8" s="15">
        <v>8703.59</v>
      </c>
      <c r="J8" s="15">
        <v>9561.65</v>
      </c>
      <c r="K8" s="15">
        <v>10888.68</v>
      </c>
      <c r="L8" s="15">
        <v>11529.89</v>
      </c>
      <c r="M8" s="15"/>
      <c r="N8" s="15"/>
    </row>
    <row r="9" spans="2:18">
      <c r="C9" s="2" t="s">
        <v>48</v>
      </c>
      <c r="G9" s="15">
        <v>305.18</v>
      </c>
      <c r="H9" s="15">
        <v>296.17</v>
      </c>
      <c r="I9" s="15">
        <v>305.29000000000002</v>
      </c>
      <c r="J9" s="15">
        <v>325.29000000000002</v>
      </c>
      <c r="K9" s="15">
        <v>393.16</v>
      </c>
      <c r="L9" s="15">
        <v>445.39</v>
      </c>
      <c r="M9" s="15"/>
      <c r="N9" s="15"/>
    </row>
    <row r="10" spans="2:18" ht="15.6">
      <c r="C10" s="12" t="s">
        <v>49</v>
      </c>
      <c r="D10" s="13"/>
      <c r="E10" s="13"/>
      <c r="F10" s="13"/>
      <c r="G10" s="14">
        <f>G8+G9</f>
        <v>8053.52</v>
      </c>
      <c r="H10" s="14">
        <f t="shared" ref="H10:L10" si="0">H8+H9</f>
        <v>8829.2199999999993</v>
      </c>
      <c r="I10" s="14">
        <f t="shared" si="0"/>
        <v>9008.880000000001</v>
      </c>
      <c r="J10" s="14">
        <f t="shared" si="0"/>
        <v>9886.94</v>
      </c>
      <c r="K10" s="14">
        <f t="shared" si="0"/>
        <v>11281.84</v>
      </c>
      <c r="L10" s="14">
        <f t="shared" si="0"/>
        <v>11975.279999999999</v>
      </c>
      <c r="M10" s="14"/>
      <c r="N10" s="14"/>
    </row>
    <row r="12" spans="2:18" ht="15.6">
      <c r="B12" s="3" t="s">
        <v>50</v>
      </c>
    </row>
    <row r="13" spans="2:18">
      <c r="C13" s="2" t="s">
        <v>51</v>
      </c>
      <c r="G13" s="15">
        <v>-3220.05</v>
      </c>
      <c r="H13" s="15">
        <v>-3475.35</v>
      </c>
      <c r="I13" s="15">
        <v>-3731.71</v>
      </c>
      <c r="J13" s="15">
        <v>-3998.58</v>
      </c>
      <c r="K13" s="15">
        <v>-4766.12</v>
      </c>
      <c r="L13" s="15">
        <v>-5306.97</v>
      </c>
      <c r="M13" s="15"/>
      <c r="N13" s="15"/>
    </row>
    <row r="14" spans="2:18">
      <c r="C14" s="2" t="s">
        <v>52</v>
      </c>
      <c r="G14" s="15">
        <v>-26.49</v>
      </c>
      <c r="H14" s="15">
        <v>-18.059999999999999</v>
      </c>
      <c r="I14" s="15">
        <v>-18.95</v>
      </c>
      <c r="J14" s="15">
        <v>-15.05</v>
      </c>
      <c r="K14" s="15">
        <v>0</v>
      </c>
      <c r="L14" s="15">
        <v>0</v>
      </c>
      <c r="M14" s="15"/>
      <c r="N14" s="15"/>
    </row>
    <row r="15" spans="2:18">
      <c r="C15" s="2" t="s">
        <v>53</v>
      </c>
      <c r="G15" s="15">
        <v>-665.8</v>
      </c>
      <c r="H15" s="15">
        <v>-802.98</v>
      </c>
      <c r="I15" s="15">
        <v>-674.62</v>
      </c>
      <c r="J15" s="15">
        <v>-982.53</v>
      </c>
      <c r="K15" s="15">
        <v>-882.12</v>
      </c>
      <c r="L15" s="15">
        <v>-1052.49</v>
      </c>
      <c r="M15" s="15"/>
      <c r="N15" s="15"/>
    </row>
    <row r="16" spans="2:18">
      <c r="C16" s="2" t="s">
        <v>79</v>
      </c>
      <c r="G16" s="15">
        <v>65.930000000000007</v>
      </c>
      <c r="H16" s="15">
        <v>-12.64</v>
      </c>
      <c r="I16" s="15">
        <v>65.040000000000006</v>
      </c>
      <c r="J16" s="15">
        <v>207.2</v>
      </c>
      <c r="K16" s="15">
        <v>8.5500000000000007</v>
      </c>
      <c r="L16" s="15">
        <v>90.79</v>
      </c>
      <c r="M16" s="15"/>
      <c r="N16" s="15"/>
    </row>
    <row r="17" spans="2:23">
      <c r="C17" s="2" t="s">
        <v>54</v>
      </c>
      <c r="G17" s="15">
        <v>-792.79</v>
      </c>
      <c r="H17" s="15">
        <v>-937.91</v>
      </c>
      <c r="I17" s="15">
        <v>-947.74</v>
      </c>
      <c r="J17" s="15">
        <v>-1033.46</v>
      </c>
      <c r="K17" s="15">
        <v>-1079.95</v>
      </c>
      <c r="L17" s="15">
        <v>-1137</v>
      </c>
      <c r="M17" s="15"/>
      <c r="N17" s="15"/>
      <c r="Q17" s="15"/>
      <c r="R17" s="15"/>
      <c r="S17" s="15"/>
      <c r="T17" s="15"/>
      <c r="U17" s="15"/>
      <c r="V17" s="15"/>
    </row>
    <row r="18" spans="2:23">
      <c r="C18" s="2" t="s">
        <v>55</v>
      </c>
      <c r="M18" s="15"/>
      <c r="N18" s="15"/>
    </row>
    <row r="19" spans="2:23">
      <c r="D19" s="2" t="s">
        <v>284</v>
      </c>
      <c r="G19" s="15">
        <v>-42.38</v>
      </c>
      <c r="H19" s="15">
        <v>-49.2</v>
      </c>
      <c r="I19" s="15">
        <v>-41.12</v>
      </c>
      <c r="J19" s="15">
        <v>-24.05</v>
      </c>
      <c r="K19" s="15">
        <v>-20.61</v>
      </c>
      <c r="L19" s="15">
        <v>-58.51</v>
      </c>
      <c r="M19" s="15"/>
      <c r="N19" s="15"/>
      <c r="Q19" s="15"/>
      <c r="R19" s="15"/>
      <c r="S19" s="15"/>
      <c r="T19" s="15"/>
      <c r="U19" s="15"/>
      <c r="V19" s="15"/>
      <c r="W19" s="15"/>
    </row>
    <row r="20" spans="2:23">
      <c r="D20" s="2" t="s">
        <v>285</v>
      </c>
      <c r="G20" s="15">
        <v>-10.67</v>
      </c>
      <c r="H20" s="15">
        <v>-10.38</v>
      </c>
      <c r="I20" s="15">
        <v>-8.42</v>
      </c>
      <c r="J20" s="15">
        <v>-6.76</v>
      </c>
      <c r="K20" s="15">
        <v>-17.989999999999998</v>
      </c>
      <c r="L20" s="15">
        <v>-19.73</v>
      </c>
      <c r="M20" s="15"/>
      <c r="N20" s="15"/>
    </row>
    <row r="21" spans="2:23">
      <c r="C21" s="2" t="s">
        <v>56</v>
      </c>
      <c r="G21" s="15">
        <v>-162.18</v>
      </c>
      <c r="H21" s="15">
        <v>-176.9</v>
      </c>
      <c r="I21" s="15">
        <v>-220.45</v>
      </c>
      <c r="J21" s="15">
        <v>-240.13</v>
      </c>
      <c r="K21" s="15">
        <v>-252.89</v>
      </c>
      <c r="L21" s="15">
        <v>-310.95999999999998</v>
      </c>
      <c r="M21" s="15"/>
      <c r="N21" s="15"/>
    </row>
    <row r="22" spans="2:23">
      <c r="C22" s="2" t="s">
        <v>57</v>
      </c>
      <c r="G22" s="15"/>
      <c r="M22" s="15"/>
      <c r="N22" s="15"/>
    </row>
    <row r="23" spans="2:23">
      <c r="D23" s="2" t="s">
        <v>58</v>
      </c>
      <c r="G23" s="15">
        <v>-606.71</v>
      </c>
      <c r="H23" s="15">
        <v>-608.33000000000004</v>
      </c>
      <c r="I23" s="15">
        <v>-649.98</v>
      </c>
      <c r="J23" s="15">
        <v>-784.36</v>
      </c>
      <c r="K23" s="15">
        <v>-777.94</v>
      </c>
      <c r="L23" s="15">
        <v>-640.27</v>
      </c>
      <c r="M23" s="15"/>
      <c r="N23" s="15"/>
    </row>
    <row r="24" spans="2:23">
      <c r="D24" s="2" t="s">
        <v>59</v>
      </c>
      <c r="G24" s="15">
        <v>-884.99</v>
      </c>
      <c r="H24" s="15">
        <v>-938.22</v>
      </c>
      <c r="I24" s="15">
        <v>-953.28</v>
      </c>
      <c r="J24" s="15">
        <v>-952.19</v>
      </c>
      <c r="K24" s="15">
        <v>-1137.29</v>
      </c>
      <c r="L24" s="15">
        <v>-1319.83</v>
      </c>
      <c r="M24" s="15"/>
      <c r="N24" s="15"/>
    </row>
    <row r="25" spans="2:23">
      <c r="G25" s="16"/>
      <c r="H25" s="16"/>
      <c r="J25" s="16"/>
      <c r="K25" s="16"/>
      <c r="L25" s="16"/>
      <c r="M25" s="16"/>
      <c r="N25" s="16"/>
    </row>
    <row r="26" spans="2:23" ht="15.6">
      <c r="C26" s="12" t="s">
        <v>60</v>
      </c>
      <c r="D26" s="13"/>
      <c r="E26" s="13"/>
      <c r="F26" s="13"/>
      <c r="G26" s="14">
        <f t="shared" ref="G26:L26" si="1">SUM(G13:G24)</f>
        <v>-6346.130000000001</v>
      </c>
      <c r="H26" s="14">
        <f t="shared" si="1"/>
        <v>-7029.9699999999993</v>
      </c>
      <c r="I26" s="14">
        <f t="shared" si="1"/>
        <v>-7181.2299999999987</v>
      </c>
      <c r="J26" s="14">
        <f t="shared" si="1"/>
        <v>-7829.91</v>
      </c>
      <c r="K26" s="14">
        <f t="shared" si="1"/>
        <v>-8926.36</v>
      </c>
      <c r="L26" s="14">
        <f t="shared" si="1"/>
        <v>-9754.9699999999993</v>
      </c>
      <c r="M26" s="14"/>
      <c r="N26" s="14"/>
    </row>
    <row r="27" spans="2:23">
      <c r="G27" s="11"/>
      <c r="H27" s="11"/>
      <c r="I27" s="11"/>
      <c r="J27" s="11"/>
      <c r="K27" s="11"/>
      <c r="L27" s="11"/>
      <c r="M27" s="11"/>
      <c r="N27" s="11"/>
    </row>
    <row r="28" spans="2:23" ht="15.6">
      <c r="B28" s="3" t="s">
        <v>83</v>
      </c>
      <c r="C28" s="12"/>
      <c r="D28" s="12"/>
      <c r="E28" s="12"/>
      <c r="F28" s="13"/>
      <c r="G28" s="14">
        <f>G10+G26</f>
        <v>1707.3899999999994</v>
      </c>
      <c r="H28" s="14">
        <f t="shared" ref="H28:L28" si="2">H10+H26</f>
        <v>1799.25</v>
      </c>
      <c r="I28" s="14">
        <f t="shared" si="2"/>
        <v>1827.6500000000024</v>
      </c>
      <c r="J28" s="14">
        <f t="shared" si="2"/>
        <v>2057.0300000000007</v>
      </c>
      <c r="K28" s="14">
        <f t="shared" si="2"/>
        <v>2355.4799999999996</v>
      </c>
      <c r="L28" s="14">
        <f t="shared" si="2"/>
        <v>2220.3099999999995</v>
      </c>
      <c r="M28" s="14"/>
      <c r="N28" s="14"/>
    </row>
    <row r="29" spans="2:23">
      <c r="G29" s="11"/>
      <c r="H29" s="11"/>
      <c r="I29" s="11"/>
      <c r="J29" s="11"/>
      <c r="K29" s="11"/>
      <c r="L29" s="11"/>
      <c r="M29" s="11"/>
      <c r="N29" s="11"/>
    </row>
    <row r="30" spans="2:23">
      <c r="C30" s="2" t="s">
        <v>61</v>
      </c>
      <c r="G30" s="15">
        <v>0.24</v>
      </c>
      <c r="H30" s="15">
        <v>0.96</v>
      </c>
      <c r="I30" s="15">
        <v>-0.01</v>
      </c>
      <c r="J30" s="15">
        <v>-1.01</v>
      </c>
      <c r="K30" s="15">
        <v>-1.8</v>
      </c>
      <c r="L30" s="15">
        <v>-1.63</v>
      </c>
      <c r="M30" s="15"/>
      <c r="N30" s="15"/>
    </row>
    <row r="32" spans="2:23" ht="15.6">
      <c r="B32" s="3" t="s">
        <v>62</v>
      </c>
      <c r="C32" s="12"/>
      <c r="D32" s="12"/>
      <c r="E32" s="12"/>
      <c r="F32" s="13"/>
      <c r="G32" s="14">
        <f>G28+G30</f>
        <v>1707.6299999999994</v>
      </c>
      <c r="H32" s="14">
        <f t="shared" ref="H32:L32" si="3">H28+H30</f>
        <v>1800.21</v>
      </c>
      <c r="I32" s="14">
        <f t="shared" si="3"/>
        <v>1827.6400000000024</v>
      </c>
      <c r="J32" s="14">
        <f t="shared" si="3"/>
        <v>2056.0200000000004</v>
      </c>
      <c r="K32" s="14">
        <f t="shared" si="3"/>
        <v>2353.6799999999994</v>
      </c>
      <c r="L32" s="14">
        <f t="shared" si="3"/>
        <v>2218.6799999999994</v>
      </c>
      <c r="M32" s="14"/>
      <c r="N32" s="14"/>
    </row>
    <row r="33" spans="2:14">
      <c r="G33" s="11"/>
      <c r="H33" s="11"/>
      <c r="I33" s="11"/>
      <c r="J33" s="11"/>
      <c r="K33" s="11"/>
      <c r="L33" s="11"/>
      <c r="M33" s="11"/>
      <c r="N33" s="11"/>
    </row>
    <row r="34" spans="2:14">
      <c r="C34" s="2" t="s">
        <v>63</v>
      </c>
      <c r="G34" s="15">
        <v>-14.54</v>
      </c>
      <c r="H34" s="15">
        <v>-75.34</v>
      </c>
      <c r="I34" s="15">
        <v>-100</v>
      </c>
      <c r="J34" s="15">
        <v>0</v>
      </c>
      <c r="K34" s="15">
        <v>-85</v>
      </c>
      <c r="L34" s="15">
        <v>0</v>
      </c>
      <c r="M34" s="15"/>
      <c r="N34" s="15"/>
    </row>
    <row r="35" spans="2:14">
      <c r="G35" s="11"/>
      <c r="H35" s="11"/>
      <c r="I35" s="11"/>
      <c r="J35" s="11"/>
      <c r="K35" s="11"/>
      <c r="L35" s="11"/>
      <c r="M35" s="11"/>
      <c r="N35" s="11"/>
    </row>
    <row r="36" spans="2:14" ht="15.6">
      <c r="B36" s="3" t="s">
        <v>64</v>
      </c>
      <c r="C36" s="12"/>
      <c r="D36" s="12"/>
      <c r="E36" s="12"/>
      <c r="F36" s="13"/>
      <c r="G36" s="14">
        <f>G32+G34</f>
        <v>1693.0899999999995</v>
      </c>
      <c r="H36" s="14">
        <f t="shared" ref="H36:L36" si="4">H32+H34</f>
        <v>1724.8700000000001</v>
      </c>
      <c r="I36" s="14">
        <f t="shared" si="4"/>
        <v>1727.6400000000024</v>
      </c>
      <c r="J36" s="14">
        <f t="shared" si="4"/>
        <v>2056.0200000000004</v>
      </c>
      <c r="K36" s="14">
        <f t="shared" si="4"/>
        <v>2268.6799999999994</v>
      </c>
      <c r="L36" s="14">
        <f t="shared" si="4"/>
        <v>2218.6799999999994</v>
      </c>
      <c r="M36" s="14"/>
      <c r="N36" s="14"/>
    </row>
    <row r="37" spans="2:14">
      <c r="G37" s="11"/>
      <c r="H37" s="11"/>
      <c r="I37" s="11"/>
      <c r="J37" s="11"/>
      <c r="K37" s="11"/>
      <c r="L37" s="11"/>
      <c r="M37" s="11"/>
      <c r="N37" s="11"/>
    </row>
    <row r="38" spans="2:14">
      <c r="C38" s="2" t="s">
        <v>65</v>
      </c>
      <c r="G38" s="11"/>
      <c r="H38" s="11"/>
      <c r="I38" s="11"/>
      <c r="J38" s="11"/>
      <c r="K38" s="11"/>
      <c r="L38" s="11"/>
      <c r="M38" s="11"/>
      <c r="N38" s="11"/>
    </row>
    <row r="39" spans="2:14">
      <c r="D39" s="2" t="s">
        <v>66</v>
      </c>
      <c r="G39" s="15">
        <v>-371.34</v>
      </c>
      <c r="H39" s="15">
        <v>-406.99</v>
      </c>
      <c r="I39" s="15">
        <v>-465.42</v>
      </c>
      <c r="J39" s="15">
        <v>-505.18</v>
      </c>
      <c r="K39" s="15">
        <v>-442.17</v>
      </c>
      <c r="L39" s="15">
        <v>-481.63</v>
      </c>
      <c r="M39" s="15"/>
      <c r="N39" s="15"/>
    </row>
    <row r="40" spans="2:14">
      <c r="D40" s="2" t="s">
        <v>67</v>
      </c>
      <c r="G40" s="15">
        <v>35.99</v>
      </c>
      <c r="H40" s="15">
        <v>128.37</v>
      </c>
      <c r="I40" s="15">
        <v>185.7</v>
      </c>
      <c r="J40" s="15">
        <v>144.11000000000001</v>
      </c>
      <c r="K40" s="15">
        <v>-84.21</v>
      </c>
      <c r="L40" s="15">
        <v>-35.72</v>
      </c>
      <c r="M40" s="15"/>
      <c r="N40" s="15"/>
    </row>
    <row r="41" spans="2:14" ht="15.6">
      <c r="C41" s="12" t="s">
        <v>68</v>
      </c>
      <c r="D41" s="13"/>
      <c r="E41" s="13"/>
      <c r="F41" s="13"/>
      <c r="G41" s="14">
        <f>(G39+G40)</f>
        <v>-335.34999999999997</v>
      </c>
      <c r="H41" s="14">
        <f t="shared" ref="H41:L41" si="5">(H39+H40)</f>
        <v>-278.62</v>
      </c>
      <c r="I41" s="14">
        <f t="shared" si="5"/>
        <v>-279.72000000000003</v>
      </c>
      <c r="J41" s="14">
        <f t="shared" si="5"/>
        <v>-361.07</v>
      </c>
      <c r="K41" s="14">
        <f t="shared" si="5"/>
        <v>-526.38</v>
      </c>
      <c r="L41" s="14">
        <f t="shared" si="5"/>
        <v>-517.35</v>
      </c>
      <c r="M41" s="14"/>
      <c r="N41" s="14"/>
    </row>
    <row r="42" spans="2:14">
      <c r="C42" s="10"/>
      <c r="G42" s="11"/>
      <c r="H42" s="11"/>
      <c r="I42" s="11"/>
      <c r="J42" s="11"/>
      <c r="K42" s="11"/>
      <c r="L42" s="11"/>
      <c r="M42" s="11"/>
      <c r="N42" s="11"/>
    </row>
    <row r="43" spans="2:14" ht="15.6">
      <c r="C43" s="88" t="s">
        <v>245</v>
      </c>
      <c r="G43" s="89">
        <f>G41/G36</f>
        <v>-0.19806980136909441</v>
      </c>
      <c r="H43" s="89">
        <f t="shared" ref="H43:L43" si="6">H41/H36</f>
        <v>-0.1615310139314847</v>
      </c>
      <c r="I43" s="89">
        <f t="shared" si="6"/>
        <v>-0.16190873098562181</v>
      </c>
      <c r="J43" s="89">
        <f t="shared" si="6"/>
        <v>-0.1756159959533467</v>
      </c>
      <c r="K43" s="89">
        <f t="shared" si="6"/>
        <v>-0.2320203818960806</v>
      </c>
      <c r="L43" s="89">
        <f t="shared" si="6"/>
        <v>-0.23317918762507445</v>
      </c>
      <c r="M43" s="11"/>
      <c r="N43" s="11"/>
    </row>
    <row r="44" spans="2:14">
      <c r="G44" s="11"/>
      <c r="H44" s="11"/>
      <c r="I44" s="11"/>
      <c r="J44" s="11"/>
      <c r="K44" s="11"/>
      <c r="L44" s="11"/>
      <c r="M44" s="11"/>
      <c r="N44" s="11"/>
    </row>
    <row r="45" spans="2:14" ht="15.6">
      <c r="B45" s="3" t="s">
        <v>69</v>
      </c>
      <c r="C45" s="12"/>
      <c r="D45" s="12"/>
      <c r="E45" s="12"/>
      <c r="F45" s="13"/>
      <c r="G45" s="14">
        <f>G36+G41</f>
        <v>1357.7399999999996</v>
      </c>
      <c r="H45" s="14">
        <f t="shared" ref="H45:L45" si="7">H36+H41</f>
        <v>1446.25</v>
      </c>
      <c r="I45" s="14">
        <f t="shared" si="7"/>
        <v>1447.9200000000023</v>
      </c>
      <c r="J45" s="14">
        <f t="shared" si="7"/>
        <v>1694.9500000000005</v>
      </c>
      <c r="K45" s="14">
        <f t="shared" si="7"/>
        <v>1742.2999999999993</v>
      </c>
      <c r="L45" s="14">
        <f t="shared" si="7"/>
        <v>1701.3299999999995</v>
      </c>
      <c r="M45" s="14"/>
      <c r="N45" s="14"/>
    </row>
    <row r="46" spans="2:14">
      <c r="G46" s="11"/>
      <c r="H46" s="11"/>
      <c r="I46" s="11"/>
      <c r="J46" s="11"/>
      <c r="K46" s="11"/>
      <c r="L46" s="11"/>
      <c r="M46" s="11"/>
      <c r="N46" s="11"/>
    </row>
    <row r="47" spans="2:14">
      <c r="C47" s="2" t="s">
        <v>70</v>
      </c>
      <c r="G47" s="15">
        <v>-23.3</v>
      </c>
      <c r="H47" s="15">
        <v>2.89</v>
      </c>
      <c r="I47" s="15">
        <v>103.7</v>
      </c>
      <c r="J47" s="15">
        <v>-88.21</v>
      </c>
      <c r="K47" s="15">
        <v>-88.42</v>
      </c>
      <c r="L47" s="15">
        <v>-225.39</v>
      </c>
      <c r="M47" s="15"/>
      <c r="N47" s="15"/>
    </row>
    <row r="48" spans="2:14" ht="15.6">
      <c r="F48" s="3"/>
      <c r="G48" s="11"/>
      <c r="H48" s="11"/>
      <c r="I48" s="11"/>
      <c r="J48" s="11"/>
      <c r="K48" s="11"/>
      <c r="L48" s="11"/>
      <c r="M48" s="11"/>
      <c r="N48" s="11"/>
    </row>
    <row r="49" spans="2:14" ht="15.6">
      <c r="B49" s="3" t="s">
        <v>71</v>
      </c>
      <c r="C49" s="12"/>
      <c r="D49" s="12"/>
      <c r="E49" s="12"/>
      <c r="F49" s="13"/>
      <c r="G49" s="14">
        <f>G45+G47</f>
        <v>1334.4399999999996</v>
      </c>
      <c r="H49" s="14">
        <f t="shared" ref="H49:L49" si="8">H45+H47</f>
        <v>1449.14</v>
      </c>
      <c r="I49" s="14">
        <f t="shared" si="8"/>
        <v>1551.6200000000024</v>
      </c>
      <c r="J49" s="14">
        <f t="shared" si="8"/>
        <v>1606.7400000000005</v>
      </c>
      <c r="K49" s="14">
        <f t="shared" si="8"/>
        <v>1653.8799999999992</v>
      </c>
      <c r="L49" s="14">
        <f t="shared" si="8"/>
        <v>1475.9399999999996</v>
      </c>
      <c r="M49" s="14"/>
      <c r="N49" s="14"/>
    </row>
    <row r="50" spans="2:14">
      <c r="G50" s="11"/>
      <c r="H50" s="11"/>
      <c r="I50" s="11"/>
      <c r="J50" s="11"/>
      <c r="K50" s="11"/>
      <c r="L50" s="11"/>
      <c r="M50" s="11"/>
      <c r="N50" s="11"/>
    </row>
    <row r="51" spans="2:14" ht="15.6">
      <c r="B51" s="3" t="s">
        <v>72</v>
      </c>
      <c r="G51" s="11"/>
      <c r="H51" s="11"/>
      <c r="I51" s="11"/>
      <c r="J51" s="11"/>
      <c r="K51" s="11"/>
      <c r="L51" s="11"/>
      <c r="M51" s="11"/>
      <c r="N51" s="11"/>
    </row>
    <row r="52" spans="2:14">
      <c r="C52" s="2" t="s">
        <v>73</v>
      </c>
      <c r="G52" s="11">
        <f>G45-G53</f>
        <v>1354.3899999999996</v>
      </c>
      <c r="H52" s="11">
        <f t="shared" ref="H52:L52" si="9">H45-H53</f>
        <v>1442.33</v>
      </c>
      <c r="I52" s="11">
        <f t="shared" si="9"/>
        <v>1444.9600000000023</v>
      </c>
      <c r="J52" s="11">
        <f t="shared" si="9"/>
        <v>1693.3000000000004</v>
      </c>
      <c r="K52" s="11">
        <f t="shared" si="9"/>
        <v>1739.2199999999993</v>
      </c>
      <c r="L52" s="11">
        <f t="shared" si="9"/>
        <v>1707.1499999999994</v>
      </c>
      <c r="M52" s="11"/>
      <c r="N52" s="11"/>
    </row>
    <row r="53" spans="2:14">
      <c r="C53" s="2" t="s">
        <v>74</v>
      </c>
      <c r="G53" s="15">
        <v>3.35</v>
      </c>
      <c r="H53" s="15">
        <v>3.92</v>
      </c>
      <c r="I53" s="15">
        <v>2.96</v>
      </c>
      <c r="J53" s="15">
        <v>1.65</v>
      </c>
      <c r="K53" s="15">
        <v>3.08</v>
      </c>
      <c r="L53" s="15">
        <v>-5.82</v>
      </c>
      <c r="M53" s="15"/>
      <c r="N53" s="11"/>
    </row>
    <row r="54" spans="2:14">
      <c r="G54" s="11"/>
      <c r="H54" s="11"/>
      <c r="I54" s="11"/>
      <c r="J54" s="11"/>
      <c r="K54" s="11"/>
      <c r="L54" s="11"/>
      <c r="M54" s="11"/>
      <c r="N54" s="11"/>
    </row>
    <row r="55" spans="2:14" ht="15.6">
      <c r="B55" s="3" t="s">
        <v>75</v>
      </c>
      <c r="G55" s="11"/>
      <c r="H55" s="11"/>
      <c r="I55" s="11"/>
      <c r="J55" s="11"/>
      <c r="K55" s="11"/>
      <c r="L55" s="11"/>
      <c r="M55" s="11"/>
      <c r="N55" s="11"/>
    </row>
    <row r="56" spans="2:14">
      <c r="C56" s="2" t="s">
        <v>73</v>
      </c>
      <c r="G56" s="15">
        <v>-21.72</v>
      </c>
      <c r="H56" s="15">
        <v>1.97</v>
      </c>
      <c r="I56" s="15">
        <v>101.59</v>
      </c>
      <c r="J56" s="15">
        <v>-86.79</v>
      </c>
      <c r="K56" s="15">
        <v>-89.2</v>
      </c>
      <c r="L56" s="15">
        <v>-225.49</v>
      </c>
      <c r="M56" s="15"/>
      <c r="N56" s="11"/>
    </row>
    <row r="57" spans="2:14">
      <c r="B57" s="17"/>
      <c r="C57" s="17" t="s">
        <v>74</v>
      </c>
      <c r="D57" s="17"/>
      <c r="E57" s="17"/>
      <c r="F57" s="17"/>
      <c r="G57" s="18">
        <v>-1.58</v>
      </c>
      <c r="H57" s="18">
        <v>0.92</v>
      </c>
      <c r="I57" s="18">
        <v>2.11</v>
      </c>
      <c r="J57" s="18">
        <v>-1.42</v>
      </c>
      <c r="K57" s="18">
        <v>0.78</v>
      </c>
      <c r="L57" s="18">
        <v>0.1</v>
      </c>
      <c r="M57" s="18"/>
      <c r="N57" s="19"/>
    </row>
    <row r="58" spans="2:14">
      <c r="G58" s="11"/>
      <c r="H58" s="11"/>
      <c r="I58" s="11"/>
      <c r="J58" s="11"/>
      <c r="K58" s="11"/>
      <c r="L58" s="11"/>
      <c r="M58" s="11"/>
      <c r="N58" s="11"/>
    </row>
    <row r="59" spans="2:14" ht="15.6">
      <c r="B59" s="3" t="s">
        <v>76</v>
      </c>
      <c r="G59" s="11"/>
      <c r="H59" s="11"/>
      <c r="I59" s="11"/>
      <c r="J59" s="11"/>
      <c r="K59" s="11"/>
      <c r="L59" s="11"/>
      <c r="M59" s="11"/>
      <c r="N59" s="11"/>
    </row>
    <row r="60" spans="2:14">
      <c r="C60" s="2" t="s">
        <v>73</v>
      </c>
      <c r="G60" s="11">
        <f>G52+G56</f>
        <v>1332.6699999999996</v>
      </c>
      <c r="H60" s="11">
        <f t="shared" ref="H60:L60" si="10">H52+H56</f>
        <v>1444.3</v>
      </c>
      <c r="I60" s="11">
        <f t="shared" si="10"/>
        <v>1546.5500000000022</v>
      </c>
      <c r="J60" s="11">
        <f t="shared" si="10"/>
        <v>1606.5100000000004</v>
      </c>
      <c r="K60" s="11">
        <f t="shared" si="10"/>
        <v>1650.0199999999993</v>
      </c>
      <c r="L60" s="11">
        <f t="shared" si="10"/>
        <v>1481.6599999999994</v>
      </c>
      <c r="M60" s="11"/>
      <c r="N60" s="11"/>
    </row>
    <row r="61" spans="2:14">
      <c r="B61" s="17"/>
      <c r="C61" s="17" t="s">
        <v>74</v>
      </c>
      <c r="D61" s="17"/>
      <c r="E61" s="17"/>
      <c r="F61" s="17"/>
      <c r="G61" s="19">
        <f>G53+G57</f>
        <v>1.77</v>
      </c>
      <c r="H61" s="19">
        <f t="shared" ref="H61:L61" si="11">H53+H57</f>
        <v>4.84</v>
      </c>
      <c r="I61" s="19">
        <f t="shared" si="11"/>
        <v>5.07</v>
      </c>
      <c r="J61" s="19">
        <f t="shared" si="11"/>
        <v>0.22999999999999998</v>
      </c>
      <c r="K61" s="19">
        <f t="shared" si="11"/>
        <v>3.8600000000000003</v>
      </c>
      <c r="L61" s="19">
        <f t="shared" si="11"/>
        <v>-5.7200000000000006</v>
      </c>
      <c r="M61" s="19"/>
      <c r="N61" s="19"/>
    </row>
    <row r="62" spans="2:14">
      <c r="G62" s="11"/>
      <c r="H62" s="11"/>
      <c r="I62" s="11"/>
      <c r="J62" s="11"/>
      <c r="K62" s="11"/>
      <c r="L62" s="11"/>
      <c r="M62" s="11"/>
      <c r="N62" s="11"/>
    </row>
    <row r="63" spans="2:14" ht="15.6">
      <c r="B63" s="3" t="s">
        <v>84</v>
      </c>
      <c r="D63" s="2" t="s">
        <v>103</v>
      </c>
      <c r="G63" s="11"/>
      <c r="H63" s="11"/>
      <c r="I63" s="11"/>
      <c r="J63" s="11"/>
      <c r="K63" s="11"/>
      <c r="L63" s="11"/>
      <c r="M63" s="11"/>
      <c r="N63" s="11"/>
    </row>
    <row r="64" spans="2:14" ht="15.6">
      <c r="B64" s="3"/>
      <c r="C64" s="2" t="s">
        <v>80</v>
      </c>
      <c r="G64" s="15">
        <v>176.15</v>
      </c>
      <c r="H64" s="15">
        <v>176.54</v>
      </c>
      <c r="I64" s="15">
        <v>176.69</v>
      </c>
      <c r="J64" s="15">
        <v>176.73</v>
      </c>
      <c r="K64" s="15">
        <v>176.77</v>
      </c>
      <c r="L64" s="15">
        <v>177.11</v>
      </c>
      <c r="M64" s="15"/>
      <c r="N64" s="11"/>
    </row>
    <row r="65" spans="2:14" ht="15.6">
      <c r="B65" s="3"/>
      <c r="C65" s="2" t="s">
        <v>102</v>
      </c>
      <c r="G65" s="15">
        <v>176.81</v>
      </c>
      <c r="H65" s="15">
        <v>177.26</v>
      </c>
      <c r="I65" s="15">
        <v>177.24</v>
      </c>
      <c r="J65" s="15">
        <v>177.22</v>
      </c>
      <c r="K65" s="15">
        <v>177.26</v>
      </c>
      <c r="L65" s="15">
        <v>177.62</v>
      </c>
      <c r="M65" s="15"/>
      <c r="N65" s="11"/>
    </row>
    <row r="66" spans="2:14">
      <c r="G66" s="11"/>
      <c r="H66" s="11"/>
      <c r="I66" s="11"/>
      <c r="J66" s="11"/>
      <c r="K66" s="11"/>
      <c r="L66" s="11"/>
      <c r="M66" s="11"/>
      <c r="N66" s="11"/>
    </row>
    <row r="67" spans="2:14" ht="15.6">
      <c r="B67" s="3" t="s">
        <v>77</v>
      </c>
      <c r="G67" s="11"/>
      <c r="H67" s="11"/>
      <c r="I67" s="11"/>
      <c r="J67" s="11"/>
      <c r="K67" s="11"/>
      <c r="L67" s="11"/>
      <c r="M67" s="11"/>
      <c r="N67" s="11"/>
    </row>
    <row r="68" spans="2:14">
      <c r="B68" s="2" t="s">
        <v>104</v>
      </c>
    </row>
    <row r="69" spans="2:14">
      <c r="C69" s="2" t="s">
        <v>80</v>
      </c>
      <c r="G69" s="11">
        <f>$G$52/G64</f>
        <v>7.6888447346011901</v>
      </c>
      <c r="H69" s="11">
        <f>$H$52/H64</f>
        <v>8.169989804010422</v>
      </c>
      <c r="I69" s="11">
        <f>IFERROR(I52/I64,"-")</f>
        <v>8.177938762804926</v>
      </c>
      <c r="J69" s="11">
        <f t="shared" ref="J69:N69" si="12">IFERROR(J52/J64,"-")</f>
        <v>9.5812821818593363</v>
      </c>
      <c r="K69" s="11">
        <f t="shared" si="12"/>
        <v>9.8388866889177979</v>
      </c>
      <c r="L69" s="11">
        <f t="shared" si="12"/>
        <v>9.6389249618880886</v>
      </c>
      <c r="M69" s="11"/>
      <c r="N69" s="11" t="str">
        <f t="shared" si="12"/>
        <v>-</v>
      </c>
    </row>
    <row r="70" spans="2:14">
      <c r="B70" s="17"/>
      <c r="C70" s="17" t="s">
        <v>81</v>
      </c>
      <c r="D70" s="17"/>
      <c r="E70" s="17"/>
      <c r="F70" s="17"/>
      <c r="G70" s="19">
        <f>$G$52/G65</f>
        <v>7.6601436570329708</v>
      </c>
      <c r="H70" s="19">
        <f>$H$52/H65</f>
        <v>8.1368046936703156</v>
      </c>
      <c r="I70" s="19">
        <f>IFERROR(I52/I65,"-")</f>
        <v>8.1525614985330748</v>
      </c>
      <c r="J70" s="19">
        <f>IFERROR(J52/J65,"-")</f>
        <v>9.554790655682206</v>
      </c>
      <c r="K70" s="19">
        <f t="shared" ref="K70:N70" si="13">IFERROR(K52/K65,"-")</f>
        <v>9.8116890443416427</v>
      </c>
      <c r="L70" s="19">
        <f t="shared" si="13"/>
        <v>9.6112487332507559</v>
      </c>
      <c r="M70" s="19"/>
      <c r="N70" s="19" t="str">
        <f t="shared" si="13"/>
        <v>-</v>
      </c>
    </row>
    <row r="71" spans="2:14">
      <c r="G71" s="11"/>
      <c r="H71" s="11"/>
      <c r="I71" s="11"/>
      <c r="J71" s="11"/>
      <c r="K71" s="11"/>
      <c r="L71" s="11"/>
      <c r="M71" s="11"/>
      <c r="N71" s="11"/>
    </row>
    <row r="72" spans="2:14" ht="15.6">
      <c r="B72" s="3" t="s">
        <v>235</v>
      </c>
      <c r="G72" s="11"/>
      <c r="H72" s="11"/>
      <c r="I72" s="11"/>
      <c r="J72" s="11"/>
      <c r="K72" s="11"/>
      <c r="L72" s="11"/>
      <c r="M72" s="11"/>
      <c r="N72" s="11"/>
    </row>
    <row r="73" spans="2:14">
      <c r="C73" s="2" t="s">
        <v>236</v>
      </c>
      <c r="G73" s="15">
        <v>1.25</v>
      </c>
      <c r="H73" s="15">
        <v>1.25</v>
      </c>
      <c r="I73" s="15">
        <v>1.4</v>
      </c>
      <c r="J73" s="15">
        <v>1.75</v>
      </c>
      <c r="K73" s="15">
        <v>2.5</v>
      </c>
      <c r="L73" s="15">
        <v>2.5</v>
      </c>
      <c r="M73" s="15"/>
      <c r="N73" s="11"/>
    </row>
    <row r="74" spans="2:14">
      <c r="C74" s="2" t="s">
        <v>237</v>
      </c>
      <c r="G74" s="15">
        <v>0</v>
      </c>
      <c r="H74" s="15">
        <v>0</v>
      </c>
      <c r="I74" s="15">
        <v>0</v>
      </c>
      <c r="J74" s="15">
        <v>0</v>
      </c>
      <c r="K74" s="15">
        <v>0</v>
      </c>
      <c r="L74" s="15">
        <v>0</v>
      </c>
      <c r="M74" s="15"/>
      <c r="N74" s="11"/>
    </row>
    <row r="75" spans="2:14">
      <c r="C75" s="2" t="s">
        <v>238</v>
      </c>
      <c r="G75" s="15">
        <v>6.25</v>
      </c>
      <c r="H75" s="15">
        <v>1.5</v>
      </c>
      <c r="I75" s="15">
        <v>1.6</v>
      </c>
      <c r="J75" s="15">
        <v>3</v>
      </c>
      <c r="K75" s="15">
        <v>2.7</v>
      </c>
      <c r="L75" s="15">
        <v>2.7</v>
      </c>
      <c r="M75" s="15"/>
      <c r="N75" s="11"/>
    </row>
    <row r="76" spans="2:14">
      <c r="B76" s="2" t="s">
        <v>239</v>
      </c>
      <c r="G76" s="11"/>
      <c r="H76" s="11"/>
      <c r="I76" s="11"/>
      <c r="J76" s="11"/>
      <c r="K76" s="11"/>
      <c r="L76" s="11"/>
      <c r="M76" s="11"/>
      <c r="N76" s="11"/>
    </row>
    <row r="77" spans="2:14">
      <c r="G77" s="11"/>
      <c r="H77" s="11"/>
      <c r="I77" s="11"/>
      <c r="J77" s="11"/>
      <c r="K77" s="11"/>
      <c r="L77" s="11"/>
      <c r="M77" s="11"/>
      <c r="N77" s="11"/>
    </row>
    <row r="78" spans="2:14" ht="15.6">
      <c r="B78" s="81"/>
      <c r="C78" s="81" t="s">
        <v>197</v>
      </c>
      <c r="D78" s="81"/>
      <c r="E78" s="81"/>
      <c r="F78" s="81"/>
      <c r="G78" s="68">
        <f>SUM(G72:G76)</f>
        <v>7.5</v>
      </c>
      <c r="H78" s="68">
        <f t="shared" ref="H78:L78" si="14">SUM(H72:H76)</f>
        <v>2.75</v>
      </c>
      <c r="I78" s="68">
        <f t="shared" si="14"/>
        <v>3</v>
      </c>
      <c r="J78" s="68">
        <f t="shared" si="14"/>
        <v>4.75</v>
      </c>
      <c r="K78" s="68">
        <f t="shared" si="14"/>
        <v>5.2</v>
      </c>
      <c r="L78" s="68">
        <f t="shared" si="14"/>
        <v>5.2</v>
      </c>
      <c r="M78" s="68"/>
      <c r="N78" s="68"/>
    </row>
    <row r="79" spans="2:14">
      <c r="G79" s="11"/>
      <c r="H79" s="11"/>
      <c r="I79" s="11"/>
      <c r="J79" s="11"/>
      <c r="K79" s="11"/>
      <c r="L79" s="11"/>
      <c r="M79" s="11"/>
      <c r="N79" s="11"/>
    </row>
    <row r="80" spans="2:14" ht="15.6">
      <c r="B80" s="3" t="s">
        <v>240</v>
      </c>
      <c r="C80" s="3"/>
      <c r="G80" s="11">
        <f>G69-G78</f>
        <v>0.18884473460119011</v>
      </c>
      <c r="H80" s="11">
        <f t="shared" ref="H80:L80" si="15">H69-H78</f>
        <v>5.419989804010422</v>
      </c>
      <c r="I80" s="11">
        <f t="shared" si="15"/>
        <v>5.177938762804926</v>
      </c>
      <c r="J80" s="11">
        <f t="shared" si="15"/>
        <v>4.8312821818593363</v>
      </c>
      <c r="K80" s="11">
        <f t="shared" si="15"/>
        <v>4.6388866889177978</v>
      </c>
      <c r="L80" s="11">
        <f t="shared" si="15"/>
        <v>4.4389249618880884</v>
      </c>
      <c r="M80" s="11"/>
      <c r="N80" s="11"/>
    </row>
    <row r="81" spans="2:18" ht="15.6">
      <c r="C81" s="3"/>
      <c r="G81" s="11"/>
      <c r="H81" s="11"/>
      <c r="I81" s="11"/>
      <c r="J81" s="11"/>
      <c r="K81" s="11"/>
      <c r="L81" s="11"/>
      <c r="M81" s="11"/>
      <c r="N81" s="11"/>
    </row>
    <row r="82" spans="2:18" ht="15.6">
      <c r="B82" s="3" t="s">
        <v>241</v>
      </c>
      <c r="C82" s="3"/>
      <c r="G82" s="8">
        <f>G78/G69</f>
        <v>0.97543912757772899</v>
      </c>
      <c r="H82" s="8">
        <f t="shared" ref="H82:L82" si="16">H78/H69</f>
        <v>0.33659772728848464</v>
      </c>
      <c r="I82" s="8">
        <f t="shared" si="16"/>
        <v>0.36684060458420936</v>
      </c>
      <c r="J82" s="8">
        <f t="shared" si="16"/>
        <v>0.49575828264335897</v>
      </c>
      <c r="K82" s="8">
        <f t="shared" si="16"/>
        <v>0.52851508147330439</v>
      </c>
      <c r="L82" s="8">
        <f t="shared" si="16"/>
        <v>0.53947924904079925</v>
      </c>
      <c r="M82" s="11"/>
      <c r="N82" s="11"/>
    </row>
    <row r="83" spans="2:18" ht="15.6">
      <c r="B83" s="81" t="s">
        <v>242</v>
      </c>
      <c r="C83" s="17"/>
      <c r="D83" s="17"/>
      <c r="E83" s="17"/>
      <c r="F83" s="17"/>
      <c r="G83" s="82">
        <f>G80/G69</f>
        <v>2.4560872422271021E-2</v>
      </c>
      <c r="H83" s="82">
        <f t="shared" ref="H83:L83" si="17">H80/H69</f>
        <v>0.66340227271151542</v>
      </c>
      <c r="I83" s="82">
        <f t="shared" si="17"/>
        <v>0.63315939541579069</v>
      </c>
      <c r="J83" s="82">
        <f t="shared" si="17"/>
        <v>0.50424171735664103</v>
      </c>
      <c r="K83" s="82">
        <f t="shared" si="17"/>
        <v>0.47148491852669561</v>
      </c>
      <c r="L83" s="82">
        <f t="shared" si="17"/>
        <v>0.46052075095920081</v>
      </c>
      <c r="M83" s="19"/>
      <c r="N83" s="19"/>
    </row>
    <row r="86" spans="2:18" ht="15.6">
      <c r="I86" s="21" t="s">
        <v>85</v>
      </c>
      <c r="R86" s="79"/>
    </row>
    <row r="87" spans="2:18">
      <c r="B87" s="10"/>
      <c r="G87" s="8"/>
      <c r="H87" s="8"/>
    </row>
    <row r="88" spans="2:18" ht="15.6">
      <c r="B88" s="21"/>
      <c r="G88" s="8"/>
      <c r="H88" s="8"/>
      <c r="I88" s="8"/>
    </row>
    <row r="89" spans="2:18" ht="15.6">
      <c r="B89" s="21"/>
      <c r="G89" s="85" t="s">
        <v>243</v>
      </c>
      <c r="H89" s="85" t="s">
        <v>247</v>
      </c>
      <c r="I89" s="85"/>
    </row>
    <row r="90" spans="2:18" ht="15.6">
      <c r="B90" s="21"/>
      <c r="E90" s="2" t="s">
        <v>249</v>
      </c>
      <c r="G90" s="84">
        <v>1</v>
      </c>
      <c r="H90" s="8" t="s">
        <v>248</v>
      </c>
      <c r="I90" s="8"/>
    </row>
    <row r="91" spans="2:18" ht="15.6">
      <c r="B91" s="21"/>
      <c r="E91" s="2" t="s">
        <v>250</v>
      </c>
      <c r="G91" s="84">
        <v>2</v>
      </c>
      <c r="H91" s="8" t="s">
        <v>255</v>
      </c>
      <c r="I91" s="8"/>
    </row>
    <row r="92" spans="2:18" ht="15.6">
      <c r="B92" s="21"/>
      <c r="E92" s="2" t="s">
        <v>251</v>
      </c>
      <c r="G92" s="84">
        <v>3</v>
      </c>
      <c r="H92" s="8" t="s">
        <v>256</v>
      </c>
      <c r="I92" s="8"/>
    </row>
    <row r="93" spans="2:18" ht="15.6">
      <c r="B93" s="21"/>
      <c r="E93" s="2" t="s">
        <v>252</v>
      </c>
      <c r="G93" s="84">
        <v>4</v>
      </c>
      <c r="H93" s="8" t="s">
        <v>257</v>
      </c>
      <c r="I93" s="8"/>
    </row>
    <row r="94" spans="2:18" ht="15.6">
      <c r="B94" s="21"/>
      <c r="E94" s="2" t="s">
        <v>253</v>
      </c>
      <c r="G94" s="84">
        <v>5</v>
      </c>
      <c r="H94" s="8" t="s">
        <v>228</v>
      </c>
      <c r="I94" s="8"/>
    </row>
    <row r="95" spans="2:18" ht="15.6">
      <c r="B95" s="21"/>
      <c r="E95" s="2" t="s">
        <v>254</v>
      </c>
      <c r="G95" s="84">
        <v>6</v>
      </c>
      <c r="H95" s="8" t="s">
        <v>244</v>
      </c>
      <c r="I95" s="8"/>
    </row>
    <row r="96" spans="2:18" ht="15.6">
      <c r="B96" s="21"/>
      <c r="E96" s="2" t="s">
        <v>265</v>
      </c>
      <c r="G96" s="84">
        <v>7</v>
      </c>
      <c r="H96" s="8" t="s">
        <v>289</v>
      </c>
      <c r="I96" s="8"/>
    </row>
    <row r="97" spans="2:14" ht="15.6">
      <c r="B97" s="21"/>
      <c r="G97" s="84"/>
      <c r="H97" s="8"/>
      <c r="I97" s="8"/>
    </row>
    <row r="98" spans="2:14" ht="15.6">
      <c r="B98" s="21"/>
      <c r="G98" s="45"/>
      <c r="H98" s="8"/>
      <c r="I98" s="8"/>
    </row>
    <row r="99" spans="2:14" ht="15.6">
      <c r="B99" s="21"/>
      <c r="G99" s="45"/>
      <c r="H99" s="8"/>
      <c r="I99" s="8"/>
    </row>
    <row r="100" spans="2:14" ht="15.6">
      <c r="B100" s="21"/>
      <c r="G100" s="45"/>
      <c r="H100" s="8"/>
      <c r="I100" s="8"/>
    </row>
    <row r="101" spans="2:14" ht="15.6">
      <c r="B101" s="21"/>
      <c r="G101" s="45"/>
      <c r="H101" s="8"/>
      <c r="I101" s="8"/>
    </row>
    <row r="102" spans="2:14" ht="15.6">
      <c r="B102" s="21"/>
      <c r="G102" s="45"/>
      <c r="H102" s="8"/>
      <c r="I102" s="8"/>
    </row>
    <row r="103" spans="2:14" ht="15.6">
      <c r="B103" s="21"/>
      <c r="G103" s="8"/>
      <c r="H103" s="8"/>
      <c r="I103" s="8"/>
    </row>
    <row r="104" spans="2:14" ht="15.6">
      <c r="B104" s="21"/>
      <c r="G104" s="8"/>
      <c r="H104" s="8"/>
      <c r="I104" s="8"/>
    </row>
    <row r="105" spans="2:14" ht="15.6">
      <c r="B105" s="21"/>
      <c r="G105" s="8"/>
      <c r="H105" s="8"/>
      <c r="I105" s="8"/>
    </row>
    <row r="106" spans="2:14" ht="15.6">
      <c r="B106" s="21"/>
      <c r="G106" s="8"/>
      <c r="H106" s="8"/>
      <c r="I106" s="8"/>
    </row>
    <row r="107" spans="2:14" ht="15.6">
      <c r="B107" s="21"/>
      <c r="G107" s="8"/>
      <c r="H107" s="8"/>
      <c r="I107" s="8"/>
    </row>
    <row r="108" spans="2:14" ht="15.6">
      <c r="B108" s="21"/>
      <c r="G108" s="8"/>
      <c r="H108" s="8"/>
      <c r="I108" s="8"/>
    </row>
    <row r="109" spans="2:14" ht="15.6">
      <c r="C109" s="83">
        <v>1</v>
      </c>
      <c r="G109" s="8"/>
      <c r="H109" s="8"/>
    </row>
    <row r="110" spans="2:14" collapsed="1">
      <c r="G110" s="8"/>
      <c r="H110" s="8"/>
    </row>
    <row r="111" spans="2:14" ht="15.6" hidden="1" outlineLevel="1">
      <c r="C111" s="3" t="s">
        <v>87</v>
      </c>
      <c r="G111" s="22">
        <f>G114-G112</f>
        <v>7680.31</v>
      </c>
      <c r="H111" s="22">
        <f t="shared" ref="H111:M111" si="18">H114-H112</f>
        <v>8437.2999999999993</v>
      </c>
      <c r="I111" s="22">
        <f t="shared" si="18"/>
        <v>8622.8700000000008</v>
      </c>
      <c r="J111" s="22">
        <f>J114-J112</f>
        <v>9507.81</v>
      </c>
      <c r="K111" s="22">
        <f t="shared" si="18"/>
        <v>10808.03</v>
      </c>
      <c r="L111" s="22">
        <f t="shared" si="18"/>
        <v>11426.51</v>
      </c>
      <c r="M111" s="22">
        <f t="shared" si="18"/>
        <v>0</v>
      </c>
      <c r="N111" s="22"/>
    </row>
    <row r="112" spans="2:14" hidden="1" outlineLevel="1">
      <c r="C112" s="2" t="s">
        <v>88</v>
      </c>
      <c r="G112" s="15">
        <v>68.03</v>
      </c>
      <c r="H112" s="15">
        <v>95.75</v>
      </c>
      <c r="I112" s="15">
        <v>80.72</v>
      </c>
      <c r="J112" s="15">
        <v>53.84</v>
      </c>
      <c r="K112" s="15">
        <v>80.650000000000006</v>
      </c>
      <c r="L112" s="15">
        <v>103.38</v>
      </c>
      <c r="M112" s="15"/>
      <c r="N112" s="11"/>
    </row>
    <row r="113" spans="2:17" hidden="1" outlineLevel="1"/>
    <row r="114" spans="2:17" ht="15.6" hidden="1" outlineLevel="1">
      <c r="C114" s="12" t="s">
        <v>86</v>
      </c>
      <c r="D114" s="13"/>
      <c r="E114" s="13"/>
      <c r="F114" s="13"/>
      <c r="G114" s="49">
        <f t="shared" ref="G114:M114" si="19">G8</f>
        <v>7748.34</v>
      </c>
      <c r="H114" s="49">
        <f t="shared" si="19"/>
        <v>8533.0499999999993</v>
      </c>
      <c r="I114" s="49">
        <f t="shared" si="19"/>
        <v>8703.59</v>
      </c>
      <c r="J114" s="49">
        <f t="shared" si="19"/>
        <v>9561.65</v>
      </c>
      <c r="K114" s="49">
        <f t="shared" si="19"/>
        <v>10888.68</v>
      </c>
      <c r="L114" s="49">
        <f t="shared" si="19"/>
        <v>11529.89</v>
      </c>
      <c r="M114" s="49">
        <f t="shared" si="19"/>
        <v>0</v>
      </c>
      <c r="N114" s="22"/>
    </row>
    <row r="115" spans="2:17" hidden="1" outlineLevel="1">
      <c r="B115" s="17"/>
      <c r="C115" s="17"/>
      <c r="D115" s="17"/>
      <c r="E115" s="17"/>
      <c r="F115" s="17"/>
      <c r="G115" s="20"/>
      <c r="H115" s="20"/>
      <c r="I115" s="20"/>
      <c r="J115" s="20"/>
      <c r="K115" s="20"/>
      <c r="L115" s="20"/>
      <c r="M115" s="20"/>
      <c r="N115" s="20"/>
    </row>
    <row r="116" spans="2:17" hidden="1" outlineLevel="1"/>
    <row r="117" spans="2:17" ht="15.6" collapsed="1">
      <c r="C117" s="83">
        <v>2</v>
      </c>
    </row>
    <row r="118" spans="2:17" ht="15.6" collapsed="1">
      <c r="C118" s="83"/>
    </row>
    <row r="119" spans="2:17" ht="15.6" hidden="1" outlineLevel="1">
      <c r="C119" s="3" t="s">
        <v>91</v>
      </c>
      <c r="G119" s="22">
        <f t="shared" ref="G119:M119" si="20">G122-G120</f>
        <v>8375.98</v>
      </c>
      <c r="H119" s="22">
        <f t="shared" si="20"/>
        <v>9254.2799999999988</v>
      </c>
      <c r="I119" s="22">
        <f t="shared" si="20"/>
        <v>9592.9500000000007</v>
      </c>
      <c r="J119" s="22">
        <f t="shared" si="20"/>
        <v>10541.949999999999</v>
      </c>
      <c r="K119" s="22">
        <f t="shared" si="20"/>
        <v>12051.050000000001</v>
      </c>
      <c r="L119" s="22">
        <f t="shared" si="20"/>
        <v>12867.58</v>
      </c>
      <c r="M119" s="22">
        <f t="shared" si="20"/>
        <v>0</v>
      </c>
      <c r="N119" s="22"/>
    </row>
    <row r="120" spans="2:17" hidden="1" outlineLevel="1">
      <c r="C120" s="2" t="s">
        <v>90</v>
      </c>
      <c r="G120" s="15">
        <v>-695.67</v>
      </c>
      <c r="H120" s="15">
        <v>-816.98</v>
      </c>
      <c r="I120" s="15">
        <v>-970.08</v>
      </c>
      <c r="J120" s="15">
        <v>-1034.1400000000001</v>
      </c>
      <c r="K120" s="15">
        <v>-1243.02</v>
      </c>
      <c r="L120" s="15">
        <v>-1441.07</v>
      </c>
      <c r="M120" s="15"/>
      <c r="N120" s="15"/>
    </row>
    <row r="121" spans="2:17" ht="15.6" hidden="1" outlineLevel="1">
      <c r="Q121" s="79"/>
    </row>
    <row r="122" spans="2:17" hidden="1" outlineLevel="1">
      <c r="C122" s="13" t="s">
        <v>92</v>
      </c>
      <c r="D122" s="13"/>
      <c r="E122" s="13"/>
      <c r="F122" s="13"/>
      <c r="G122" s="49">
        <f t="shared" ref="G122:M122" si="21">G111</f>
        <v>7680.31</v>
      </c>
      <c r="H122" s="49">
        <f t="shared" si="21"/>
        <v>8437.2999999999993</v>
      </c>
      <c r="I122" s="49">
        <f t="shared" si="21"/>
        <v>8622.8700000000008</v>
      </c>
      <c r="J122" s="49">
        <f t="shared" si="21"/>
        <v>9507.81</v>
      </c>
      <c r="K122" s="49">
        <f t="shared" si="21"/>
        <v>10808.03</v>
      </c>
      <c r="L122" s="49">
        <f t="shared" si="21"/>
        <v>11426.51</v>
      </c>
      <c r="M122" s="49">
        <f t="shared" si="21"/>
        <v>0</v>
      </c>
    </row>
    <row r="123" spans="2:17" hidden="1" outlineLevel="1">
      <c r="N123" s="22"/>
    </row>
    <row r="124" spans="2:17" hidden="1" outlineLevel="1"/>
    <row r="125" spans="2:17" ht="15.6" hidden="1" outlineLevel="1">
      <c r="C125" s="3" t="s">
        <v>93</v>
      </c>
      <c r="D125" s="2" t="s">
        <v>94</v>
      </c>
      <c r="G125" s="26">
        <v>6365.77</v>
      </c>
      <c r="H125" s="26">
        <v>7064.6</v>
      </c>
      <c r="I125" s="26">
        <v>7333.68</v>
      </c>
      <c r="J125" s="26">
        <v>8373.82</v>
      </c>
      <c r="K125" s="26">
        <v>9148.66</v>
      </c>
      <c r="L125" s="26">
        <v>9202.25</v>
      </c>
      <c r="M125" s="26"/>
      <c r="N125" s="26"/>
    </row>
    <row r="126" spans="2:17" hidden="1" outlineLevel="1">
      <c r="D126" s="2" t="s">
        <v>95</v>
      </c>
      <c r="G126" s="26">
        <v>1095.92</v>
      </c>
      <c r="H126" s="26">
        <v>1155.46</v>
      </c>
      <c r="I126" s="26">
        <v>1079.33</v>
      </c>
      <c r="J126" s="26">
        <v>983.47</v>
      </c>
      <c r="K126" s="26">
        <v>1460.63</v>
      </c>
      <c r="L126" s="26">
        <v>1980.91</v>
      </c>
      <c r="M126" s="26"/>
      <c r="N126" s="26"/>
    </row>
    <row r="127" spans="2:17" hidden="1" outlineLevel="1">
      <c r="D127" s="2" t="s">
        <v>29</v>
      </c>
      <c r="G127" s="26">
        <v>114.29</v>
      </c>
      <c r="H127" s="26">
        <v>120.13</v>
      </c>
      <c r="I127" s="26">
        <v>119.51</v>
      </c>
      <c r="J127" s="26">
        <v>56.09</v>
      </c>
      <c r="K127" s="26">
        <v>75.38</v>
      </c>
      <c r="L127" s="26">
        <v>105.82</v>
      </c>
      <c r="M127" s="26"/>
      <c r="N127" s="26"/>
    </row>
    <row r="128" spans="2:17" hidden="1" outlineLevel="1">
      <c r="D128" s="2" t="s">
        <v>96</v>
      </c>
      <c r="G128" s="26">
        <v>104.33</v>
      </c>
      <c r="H128" s="26">
        <v>97.11</v>
      </c>
      <c r="I128" s="26">
        <v>90.35</v>
      </c>
      <c r="J128" s="26">
        <v>94.43</v>
      </c>
      <c r="K128" s="26">
        <v>123.36</v>
      </c>
      <c r="L128" s="26">
        <v>137.53</v>
      </c>
      <c r="M128" s="26"/>
      <c r="N128" s="26"/>
    </row>
    <row r="129" spans="2:14" hidden="1" outlineLevel="1">
      <c r="G129" s="22"/>
      <c r="H129" s="22"/>
      <c r="I129" s="22"/>
      <c r="J129" s="22"/>
      <c r="K129" s="22"/>
      <c r="L129" s="22"/>
      <c r="M129" s="22"/>
      <c r="N129" s="22"/>
    </row>
    <row r="130" spans="2:14" ht="15.6" hidden="1" outlineLevel="1">
      <c r="B130" s="17"/>
      <c r="C130" s="17"/>
      <c r="D130" s="17"/>
      <c r="E130" s="17"/>
      <c r="F130" s="17"/>
      <c r="G130" s="25">
        <f>SUM(G125:G128)</f>
        <v>7680.31</v>
      </c>
      <c r="H130" s="25">
        <f t="shared" ref="H130:M130" si="22">SUM(H125:H128)</f>
        <v>8437.3000000000011</v>
      </c>
      <c r="I130" s="25">
        <f t="shared" si="22"/>
        <v>8622.8700000000008</v>
      </c>
      <c r="J130" s="25">
        <f t="shared" si="22"/>
        <v>9507.81</v>
      </c>
      <c r="K130" s="25">
        <f t="shared" si="22"/>
        <v>10808.03</v>
      </c>
      <c r="L130" s="25">
        <f t="shared" si="22"/>
        <v>11426.51</v>
      </c>
      <c r="M130" s="25">
        <f t="shared" si="22"/>
        <v>0</v>
      </c>
      <c r="N130" s="25"/>
    </row>
    <row r="131" spans="2:14" hidden="1" outlineLevel="1">
      <c r="G131" s="22"/>
      <c r="H131" s="22"/>
      <c r="I131" s="22"/>
      <c r="J131" s="22"/>
      <c r="K131" s="22"/>
      <c r="L131" s="22"/>
      <c r="M131" s="22"/>
      <c r="N131" s="22"/>
    </row>
    <row r="132" spans="2:14" hidden="1" outlineLevel="1">
      <c r="F132" s="29"/>
      <c r="G132" s="30" t="str">
        <f t="shared" ref="G132:M132" si="23">IF(G130=G122,"OK","error")</f>
        <v>OK</v>
      </c>
      <c r="H132" s="30" t="str">
        <f t="shared" si="23"/>
        <v>OK</v>
      </c>
      <c r="I132" s="30" t="str">
        <f t="shared" si="23"/>
        <v>OK</v>
      </c>
      <c r="J132" s="30" t="str">
        <f t="shared" si="23"/>
        <v>OK</v>
      </c>
      <c r="K132" s="30" t="str">
        <f t="shared" si="23"/>
        <v>OK</v>
      </c>
      <c r="L132" s="30" t="str">
        <f t="shared" si="23"/>
        <v>OK</v>
      </c>
      <c r="M132" s="30" t="str">
        <f t="shared" si="23"/>
        <v>OK</v>
      </c>
      <c r="N132" s="30" t="str">
        <f t="shared" ref="N132" si="24">IF(N130=N123,"OK","error")</f>
        <v>OK</v>
      </c>
    </row>
    <row r="133" spans="2:14" hidden="1" outlineLevel="1">
      <c r="B133" s="17"/>
      <c r="C133" s="17"/>
      <c r="D133" s="17"/>
      <c r="E133" s="17"/>
      <c r="F133" s="17"/>
      <c r="G133" s="24"/>
      <c r="H133" s="24"/>
      <c r="I133" s="24"/>
      <c r="J133" s="24"/>
      <c r="K133" s="24"/>
      <c r="L133" s="24"/>
      <c r="M133" s="24"/>
      <c r="N133" s="24"/>
    </row>
    <row r="134" spans="2:14" ht="15.6" collapsed="1">
      <c r="C134" s="83">
        <v>3</v>
      </c>
      <c r="G134" s="22"/>
      <c r="H134" s="22"/>
      <c r="I134" s="22"/>
      <c r="J134" s="22"/>
      <c r="K134" s="22"/>
      <c r="L134" s="22"/>
      <c r="M134" s="22"/>
      <c r="N134" s="22"/>
    </row>
    <row r="135" spans="2:14" collapsed="1">
      <c r="G135" s="22"/>
      <c r="H135" s="22"/>
      <c r="I135" s="22"/>
      <c r="J135" s="22"/>
      <c r="K135" s="22"/>
      <c r="L135" s="22"/>
      <c r="M135" s="22"/>
      <c r="N135" s="22"/>
    </row>
    <row r="136" spans="2:14" hidden="1" outlineLevel="1">
      <c r="B136" s="10"/>
      <c r="C136" s="2" t="s">
        <v>98</v>
      </c>
      <c r="G136" s="11">
        <f t="shared" ref="G136:M136" si="25">G24*-1</f>
        <v>884.99</v>
      </c>
      <c r="H136" s="11">
        <f t="shared" si="25"/>
        <v>938.22</v>
      </c>
      <c r="I136" s="11">
        <f t="shared" si="25"/>
        <v>953.28</v>
      </c>
      <c r="J136" s="11">
        <f t="shared" si="25"/>
        <v>952.19</v>
      </c>
      <c r="K136" s="11">
        <f t="shared" si="25"/>
        <v>1137.29</v>
      </c>
      <c r="L136" s="11">
        <f t="shared" si="25"/>
        <v>1319.83</v>
      </c>
      <c r="M136" s="11">
        <f t="shared" si="25"/>
        <v>0</v>
      </c>
      <c r="N136" s="11"/>
    </row>
    <row r="137" spans="2:14" hidden="1" outlineLevel="1">
      <c r="G137" s="11"/>
      <c r="H137" s="11"/>
      <c r="I137" s="11"/>
      <c r="J137" s="11"/>
      <c r="K137" s="11"/>
      <c r="L137" s="11"/>
      <c r="M137" s="11"/>
      <c r="N137" s="11"/>
    </row>
    <row r="138" spans="2:14" ht="15.6" hidden="1" outlineLevel="1">
      <c r="C138" s="3" t="s">
        <v>93</v>
      </c>
      <c r="D138" s="2" t="s">
        <v>99</v>
      </c>
      <c r="G138" s="15">
        <v>93.91</v>
      </c>
      <c r="H138" s="15">
        <v>105.26</v>
      </c>
      <c r="I138" s="15">
        <v>107.12</v>
      </c>
      <c r="J138" s="15">
        <v>104.01</v>
      </c>
      <c r="K138" s="15">
        <v>128.66</v>
      </c>
      <c r="L138" s="15">
        <v>150.59</v>
      </c>
      <c r="M138" s="15"/>
      <c r="N138" s="15"/>
    </row>
    <row r="139" spans="2:14" hidden="1" outlineLevel="1">
      <c r="D139" s="2" t="s">
        <v>100</v>
      </c>
      <c r="G139" s="15">
        <v>162.99</v>
      </c>
      <c r="H139" s="15">
        <v>187.68</v>
      </c>
      <c r="I139" s="15">
        <v>216.39</v>
      </c>
      <c r="J139" s="15">
        <v>241.97</v>
      </c>
      <c r="K139" s="15">
        <v>288.08999999999997</v>
      </c>
      <c r="L139" s="15">
        <v>313.02</v>
      </c>
      <c r="M139" s="15"/>
      <c r="N139" s="15"/>
    </row>
    <row r="140" spans="2:14" hidden="1" outlineLevel="1">
      <c r="D140" s="2" t="s">
        <v>101</v>
      </c>
      <c r="G140" s="15">
        <v>32.04</v>
      </c>
      <c r="H140" s="15">
        <v>37.29</v>
      </c>
      <c r="I140" s="15">
        <v>38.99</v>
      </c>
      <c r="J140" s="15">
        <v>42.69</v>
      </c>
      <c r="K140" s="15">
        <v>41.72</v>
      </c>
      <c r="L140" s="15">
        <v>43.5</v>
      </c>
      <c r="M140" s="15"/>
      <c r="N140" s="15"/>
    </row>
    <row r="141" spans="2:14" hidden="1" outlineLevel="1">
      <c r="D141" s="2" t="s">
        <v>59</v>
      </c>
      <c r="G141" s="11">
        <f>G136-SUM(G138:G140)</f>
        <v>596.04999999999995</v>
      </c>
      <c r="H141" s="11">
        <f>H136-SUM(H138:H140)</f>
        <v>607.99</v>
      </c>
      <c r="I141" s="11">
        <f>I136-SUM(I138:I140)</f>
        <v>590.78</v>
      </c>
      <c r="J141" s="11">
        <f t="shared" ref="J141:M141" si="26">J136-SUM(J138:J140)</f>
        <v>563.52</v>
      </c>
      <c r="K141" s="11">
        <f t="shared" si="26"/>
        <v>678.81999999999994</v>
      </c>
      <c r="L141" s="11">
        <f t="shared" si="26"/>
        <v>812.71999999999991</v>
      </c>
      <c r="M141" s="11">
        <f t="shared" si="26"/>
        <v>0</v>
      </c>
      <c r="N141" s="11"/>
    </row>
    <row r="142" spans="2:14" hidden="1" outlineLevel="1">
      <c r="G142" s="11"/>
      <c r="H142" s="11"/>
      <c r="I142" s="11"/>
      <c r="J142" s="11"/>
      <c r="K142" s="11"/>
      <c r="L142" s="11"/>
      <c r="M142" s="11"/>
      <c r="N142" s="11"/>
    </row>
    <row r="143" spans="2:14" ht="15.6" hidden="1" outlineLevel="1">
      <c r="B143" s="17"/>
      <c r="C143" s="17"/>
      <c r="D143" s="17"/>
      <c r="E143" s="17"/>
      <c r="F143" s="17"/>
      <c r="G143" s="68">
        <f>SUM(G138:G141)</f>
        <v>884.99</v>
      </c>
      <c r="H143" s="68">
        <f t="shared" ref="H143:M143" si="27">SUM(H138:H141)</f>
        <v>938.22</v>
      </c>
      <c r="I143" s="68">
        <f t="shared" si="27"/>
        <v>953.28</v>
      </c>
      <c r="J143" s="68">
        <f t="shared" si="27"/>
        <v>952.19</v>
      </c>
      <c r="K143" s="68">
        <f t="shared" si="27"/>
        <v>1137.29</v>
      </c>
      <c r="L143" s="68">
        <f t="shared" si="27"/>
        <v>1319.83</v>
      </c>
      <c r="M143" s="68">
        <f t="shared" si="27"/>
        <v>0</v>
      </c>
      <c r="N143" s="19"/>
    </row>
    <row r="144" spans="2:14" hidden="1" outlineLevel="1"/>
    <row r="145" spans="2:14" hidden="1" outlineLevel="1">
      <c r="F145" s="27"/>
      <c r="G145" s="28" t="str">
        <f>IF(G143=G136,"OK","error")</f>
        <v>OK</v>
      </c>
      <c r="H145" s="28" t="str">
        <f t="shared" ref="H145:M145" si="28">IF(H143=H136,"OK","error")</f>
        <v>OK</v>
      </c>
      <c r="I145" s="28" t="str">
        <f t="shared" si="28"/>
        <v>OK</v>
      </c>
      <c r="J145" s="28" t="str">
        <f t="shared" si="28"/>
        <v>OK</v>
      </c>
      <c r="K145" s="28" t="str">
        <f t="shared" si="28"/>
        <v>OK</v>
      </c>
      <c r="L145" s="28" t="str">
        <f t="shared" si="28"/>
        <v>OK</v>
      </c>
      <c r="M145" s="28" t="str">
        <f t="shared" si="28"/>
        <v>OK</v>
      </c>
      <c r="N145" s="28"/>
    </row>
    <row r="146" spans="2:14" hidden="1" outlineLevel="1">
      <c r="B146" s="17"/>
      <c r="C146" s="17"/>
      <c r="D146" s="17"/>
      <c r="E146" s="17"/>
      <c r="F146" s="17"/>
      <c r="G146" s="19"/>
      <c r="H146" s="19"/>
      <c r="I146" s="19"/>
      <c r="J146" s="19"/>
      <c r="K146" s="19"/>
      <c r="L146" s="19"/>
      <c r="M146" s="19"/>
      <c r="N146" s="19"/>
    </row>
    <row r="147" spans="2:14" ht="15.6" collapsed="1">
      <c r="C147" s="83">
        <v>4</v>
      </c>
    </row>
    <row r="148" spans="2:14" hidden="1" outlineLevel="1">
      <c r="C148" s="2" t="s">
        <v>359</v>
      </c>
      <c r="G148" s="26">
        <v>1760.2</v>
      </c>
      <c r="H148" s="26">
        <v>1935.11</v>
      </c>
      <c r="I148" s="26">
        <v>1943.24</v>
      </c>
      <c r="J148" s="26">
        <v>2194.56</v>
      </c>
      <c r="K148" s="26">
        <v>2452.15</v>
      </c>
      <c r="L148" s="26">
        <v>2370.0700000000002</v>
      </c>
    </row>
    <row r="149" spans="2:14" hidden="1" outlineLevel="1">
      <c r="M149" s="22"/>
      <c r="N149" s="22"/>
    </row>
    <row r="150" spans="2:14" hidden="1" outlineLevel="1"/>
    <row r="151" spans="2:14" ht="15.6" hidden="1" outlineLevel="1">
      <c r="C151" s="3" t="s">
        <v>93</v>
      </c>
      <c r="D151" s="2" t="s">
        <v>94</v>
      </c>
      <c r="G151" s="26">
        <v>1596.11</v>
      </c>
      <c r="H151" s="26">
        <v>1748.2</v>
      </c>
      <c r="I151" s="26">
        <v>1801.05</v>
      </c>
      <c r="J151" s="26">
        <v>2066.5</v>
      </c>
      <c r="K151" s="26">
        <v>2218.19</v>
      </c>
      <c r="L151" s="26">
        <v>2041.76</v>
      </c>
      <c r="M151" s="26"/>
      <c r="N151" s="26"/>
    </row>
    <row r="152" spans="2:14" hidden="1" outlineLevel="1">
      <c r="D152" s="2" t="s">
        <v>95</v>
      </c>
      <c r="G152" s="26">
        <v>158.13999999999999</v>
      </c>
      <c r="H152" s="26">
        <v>175.49</v>
      </c>
      <c r="I152" s="26">
        <v>139.9</v>
      </c>
      <c r="J152" s="26">
        <v>130.66</v>
      </c>
      <c r="K152" s="26">
        <v>228.15</v>
      </c>
      <c r="L152" s="26">
        <v>313.56</v>
      </c>
      <c r="M152" s="26"/>
      <c r="N152" s="26"/>
    </row>
    <row r="153" spans="2:14" hidden="1" outlineLevel="1">
      <c r="D153" s="2" t="s">
        <v>29</v>
      </c>
      <c r="G153" s="26">
        <v>3.14</v>
      </c>
      <c r="H153" s="26">
        <v>4.12</v>
      </c>
      <c r="I153" s="26">
        <v>-1.9</v>
      </c>
      <c r="J153" s="26">
        <v>-9.94</v>
      </c>
      <c r="K153" s="26">
        <v>-3.73</v>
      </c>
      <c r="L153" s="26">
        <v>-1.25</v>
      </c>
      <c r="M153" s="26"/>
      <c r="N153" s="26"/>
    </row>
    <row r="154" spans="2:14" hidden="1" outlineLevel="1">
      <c r="D154" s="2" t="s">
        <v>96</v>
      </c>
      <c r="G154" s="26">
        <v>2.81</v>
      </c>
      <c r="H154" s="26">
        <v>7.3</v>
      </c>
      <c r="I154" s="26">
        <v>4.1900000000000004</v>
      </c>
      <c r="J154" s="26">
        <v>7.34</v>
      </c>
      <c r="K154" s="26">
        <v>9.5399999999999991</v>
      </c>
      <c r="L154" s="26">
        <v>16</v>
      </c>
      <c r="M154" s="26"/>
      <c r="N154" s="26"/>
    </row>
    <row r="155" spans="2:14" hidden="1" outlineLevel="1">
      <c r="G155" s="22"/>
      <c r="H155" s="22"/>
      <c r="I155" s="22"/>
      <c r="J155" s="22"/>
      <c r="K155" s="22"/>
      <c r="L155" s="22"/>
      <c r="M155" s="22"/>
      <c r="N155" s="22"/>
    </row>
    <row r="156" spans="2:14" ht="15.6" hidden="1" outlineLevel="1">
      <c r="B156" s="17"/>
      <c r="C156" s="17"/>
      <c r="D156" s="17"/>
      <c r="E156" s="17"/>
      <c r="F156" s="17"/>
      <c r="G156" s="68">
        <f>SUM(G151:G154)</f>
        <v>1760.2</v>
      </c>
      <c r="H156" s="68">
        <f t="shared" ref="H156:L156" si="29">SUM(H151:H154)</f>
        <v>1935.11</v>
      </c>
      <c r="I156" s="68">
        <f t="shared" si="29"/>
        <v>1943.24</v>
      </c>
      <c r="J156" s="68">
        <f t="shared" si="29"/>
        <v>2194.56</v>
      </c>
      <c r="K156" s="68">
        <f t="shared" si="29"/>
        <v>2452.15</v>
      </c>
      <c r="L156" s="68">
        <f t="shared" si="29"/>
        <v>2370.0700000000002</v>
      </c>
      <c r="M156" s="68"/>
      <c r="N156" s="19"/>
    </row>
    <row r="157" spans="2:14" hidden="1" outlineLevel="1" collapsed="1">
      <c r="C157" s="59"/>
      <c r="D157" s="59"/>
      <c r="E157" s="59"/>
      <c r="F157" s="64"/>
      <c r="G157" s="126"/>
      <c r="H157" s="126"/>
      <c r="I157" s="126"/>
      <c r="J157" s="126"/>
      <c r="K157" s="126"/>
      <c r="L157" s="126"/>
      <c r="M157" s="126"/>
      <c r="N157" s="126"/>
    </row>
    <row r="158" spans="2:14" hidden="1" outlineLevel="1">
      <c r="C158" s="59"/>
      <c r="D158" s="59"/>
      <c r="E158" s="59"/>
      <c r="F158" s="27"/>
      <c r="G158" s="28" t="str">
        <f>IF(G148=G156,"OK","ERROR")</f>
        <v>OK</v>
      </c>
      <c r="H158" s="28" t="str">
        <f t="shared" ref="H158:M158" si="30">IF(H148=H156,"OK","ERROR")</f>
        <v>OK</v>
      </c>
      <c r="I158" s="28" t="str">
        <f t="shared" si="30"/>
        <v>OK</v>
      </c>
      <c r="J158" s="28" t="str">
        <f t="shared" si="30"/>
        <v>OK</v>
      </c>
      <c r="K158" s="28" t="str">
        <f t="shared" si="30"/>
        <v>OK</v>
      </c>
      <c r="L158" s="28" t="str">
        <f t="shared" si="30"/>
        <v>OK</v>
      </c>
      <c r="M158" s="28" t="str">
        <f t="shared" si="30"/>
        <v>OK</v>
      </c>
      <c r="N158" s="28"/>
    </row>
    <row r="159" spans="2:14" hidden="1" outlineLevel="1">
      <c r="B159" s="17"/>
      <c r="C159" s="17"/>
      <c r="D159" s="17"/>
      <c r="E159" s="17"/>
      <c r="F159" s="17"/>
      <c r="G159" s="20"/>
      <c r="H159" s="20"/>
      <c r="I159" s="20"/>
      <c r="J159" s="20"/>
      <c r="K159" s="20"/>
      <c r="L159" s="20"/>
      <c r="M159" s="20"/>
      <c r="N159" s="20"/>
    </row>
    <row r="161" spans="2:13" ht="15.6">
      <c r="C161" s="83">
        <v>5</v>
      </c>
    </row>
    <row r="162" spans="2:13" collapsed="1"/>
    <row r="163" spans="2:13" ht="15.6" hidden="1" outlineLevel="1">
      <c r="B163" s="3" t="s">
        <v>228</v>
      </c>
      <c r="E163" s="2" t="s">
        <v>226</v>
      </c>
      <c r="G163" s="2"/>
      <c r="H163" s="11"/>
      <c r="I163" s="11"/>
      <c r="J163" s="2"/>
      <c r="K163" s="11"/>
      <c r="L163" s="11"/>
      <c r="M163" s="2"/>
    </row>
    <row r="164" spans="2:13" hidden="1" outlineLevel="1">
      <c r="G164" s="2"/>
      <c r="H164" s="11"/>
      <c r="I164" s="11"/>
      <c r="J164" s="2"/>
      <c r="K164" s="11"/>
      <c r="L164" s="11"/>
      <c r="M164" s="2"/>
    </row>
    <row r="165" spans="2:13" hidden="1" outlineLevel="1">
      <c r="C165" s="2" t="s">
        <v>47</v>
      </c>
      <c r="G165" s="75">
        <f>G8/G$8</f>
        <v>1</v>
      </c>
      <c r="H165" s="75">
        <f t="shared" ref="G165:L166" si="31">H8/H$8</f>
        <v>1</v>
      </c>
      <c r="I165" s="75">
        <f t="shared" si="31"/>
        <v>1</v>
      </c>
      <c r="J165" s="75">
        <f t="shared" si="31"/>
        <v>1</v>
      </c>
      <c r="K165" s="75">
        <f t="shared" si="31"/>
        <v>1</v>
      </c>
      <c r="L165" s="75">
        <f t="shared" si="31"/>
        <v>1</v>
      </c>
      <c r="M165" s="75"/>
    </row>
    <row r="166" spans="2:13" hidden="1" outlineLevel="1">
      <c r="C166" s="2" t="s">
        <v>48</v>
      </c>
      <c r="G166" s="75">
        <f t="shared" si="31"/>
        <v>3.9386500850504755E-2</v>
      </c>
      <c r="H166" s="75">
        <f t="shared" si="31"/>
        <v>3.4708574308131332E-2</v>
      </c>
      <c r="I166" s="75">
        <f t="shared" si="31"/>
        <v>3.5076330571637684E-2</v>
      </c>
      <c r="J166" s="75">
        <f t="shared" si="31"/>
        <v>3.4020278926754279E-2</v>
      </c>
      <c r="K166" s="75">
        <f t="shared" si="31"/>
        <v>3.6107223281426216E-2</v>
      </c>
      <c r="L166" s="75">
        <f t="shared" si="31"/>
        <v>3.8629162984208869E-2</v>
      </c>
      <c r="M166" s="75"/>
    </row>
    <row r="167" spans="2:13" ht="15.6" hidden="1" outlineLevel="1">
      <c r="C167" s="12" t="s">
        <v>49</v>
      </c>
      <c r="D167" s="13"/>
      <c r="E167" s="13"/>
      <c r="F167" s="13"/>
      <c r="G167" s="76">
        <f>G10/G8</f>
        <v>1.0393865008505048</v>
      </c>
      <c r="H167" s="76">
        <f t="shared" ref="H167:L167" si="32">H10/H8</f>
        <v>1.0347085743081312</v>
      </c>
      <c r="I167" s="76">
        <f t="shared" si="32"/>
        <v>1.0350763305716377</v>
      </c>
      <c r="J167" s="76">
        <f t="shared" si="32"/>
        <v>1.0340202789267543</v>
      </c>
      <c r="K167" s="76">
        <f t="shared" si="32"/>
        <v>1.0361072232814261</v>
      </c>
      <c r="L167" s="76">
        <f t="shared" si="32"/>
        <v>1.0386291629842088</v>
      </c>
      <c r="M167" s="76"/>
    </row>
    <row r="168" spans="2:13" hidden="1" outlineLevel="1">
      <c r="G168" s="75"/>
      <c r="H168" s="75"/>
      <c r="I168" s="75"/>
      <c r="J168" s="75"/>
      <c r="K168" s="75"/>
      <c r="L168" s="75"/>
      <c r="M168" s="75"/>
    </row>
    <row r="169" spans="2:13" ht="15.6" hidden="1" outlineLevel="1">
      <c r="B169" s="3" t="s">
        <v>50</v>
      </c>
      <c r="G169" s="75"/>
      <c r="H169" s="75"/>
      <c r="I169" s="75"/>
      <c r="J169" s="75"/>
      <c r="K169" s="75"/>
      <c r="L169" s="75"/>
      <c r="M169" s="75"/>
    </row>
    <row r="170" spans="2:13" hidden="1" outlineLevel="1">
      <c r="C170" s="2" t="s">
        <v>51</v>
      </c>
      <c r="G170" s="75">
        <f t="shared" ref="G170:L177" si="33">G13/G$8</f>
        <v>-0.41557933699347216</v>
      </c>
      <c r="H170" s="75">
        <f t="shared" si="33"/>
        <v>-0.40728110113031102</v>
      </c>
      <c r="I170" s="75">
        <f t="shared" si="33"/>
        <v>-0.42875526076021503</v>
      </c>
      <c r="J170" s="75">
        <f t="shared" si="33"/>
        <v>-0.41818932924756713</v>
      </c>
      <c r="K170" s="75">
        <f t="shared" si="33"/>
        <v>-0.4377132949081064</v>
      </c>
      <c r="L170" s="75">
        <f t="shared" si="33"/>
        <v>-0.4602793261687666</v>
      </c>
      <c r="M170" s="75"/>
    </row>
    <row r="171" spans="2:13" hidden="1" outlineLevel="1">
      <c r="C171" s="2" t="s">
        <v>52</v>
      </c>
      <c r="G171" s="75">
        <f t="shared" si="33"/>
        <v>-3.4187968003469129E-3</v>
      </c>
      <c r="H171" s="75">
        <f t="shared" si="33"/>
        <v>-2.116476523634574E-3</v>
      </c>
      <c r="I171" s="75">
        <f t="shared" si="33"/>
        <v>-2.17726248593971E-3</v>
      </c>
      <c r="J171" s="75">
        <f t="shared" si="33"/>
        <v>-1.5739961199165418E-3</v>
      </c>
      <c r="K171" s="75">
        <f t="shared" si="33"/>
        <v>0</v>
      </c>
      <c r="L171" s="75">
        <f t="shared" si="33"/>
        <v>0</v>
      </c>
      <c r="M171" s="75"/>
    </row>
    <row r="172" spans="2:13" hidden="1" outlineLevel="1">
      <c r="C172" s="2" t="s">
        <v>53</v>
      </c>
      <c r="G172" s="75">
        <f t="shared" si="33"/>
        <v>-8.592808266028594E-2</v>
      </c>
      <c r="H172" s="75">
        <f t="shared" si="33"/>
        <v>-9.4102343241865463E-2</v>
      </c>
      <c r="I172" s="75">
        <f t="shared" si="33"/>
        <v>-7.7510544499453674E-2</v>
      </c>
      <c r="J172" s="75">
        <f t="shared" si="33"/>
        <v>-0.10275736928249832</v>
      </c>
      <c r="K172" s="75">
        <f t="shared" si="33"/>
        <v>-8.1012574526939898E-2</v>
      </c>
      <c r="L172" s="75">
        <f t="shared" si="33"/>
        <v>-9.1283611552235105E-2</v>
      </c>
      <c r="M172" s="75"/>
    </row>
    <row r="173" spans="2:13" hidden="1" outlineLevel="1">
      <c r="C173" s="2" t="s">
        <v>79</v>
      </c>
      <c r="G173" s="75">
        <f t="shared" si="33"/>
        <v>8.5089193298177428E-3</v>
      </c>
      <c r="H173" s="75">
        <f t="shared" si="33"/>
        <v>-1.4812991837619611E-3</v>
      </c>
      <c r="I173" s="75">
        <f t="shared" si="33"/>
        <v>7.4727784741698547E-3</v>
      </c>
      <c r="J173" s="75">
        <f t="shared" si="33"/>
        <v>2.1669900069548664E-2</v>
      </c>
      <c r="K173" s="75">
        <f t="shared" si="33"/>
        <v>7.8521914502033307E-4</v>
      </c>
      <c r="L173" s="75">
        <f t="shared" si="33"/>
        <v>7.8743162337194892E-3</v>
      </c>
      <c r="M173" s="75"/>
    </row>
    <row r="174" spans="2:13" hidden="1" outlineLevel="1">
      <c r="C174" s="2" t="s">
        <v>54</v>
      </c>
      <c r="G174" s="75">
        <f t="shared" si="33"/>
        <v>-0.10231739959784934</v>
      </c>
      <c r="H174" s="75">
        <f t="shared" si="33"/>
        <v>-0.10991497764574215</v>
      </c>
      <c r="I174" s="75">
        <f t="shared" si="33"/>
        <v>-0.10889069912530347</v>
      </c>
      <c r="J174" s="75">
        <f t="shared" si="33"/>
        <v>-0.10808385581986374</v>
      </c>
      <c r="K174" s="75">
        <f t="shared" si="33"/>
        <v>-9.9180984288270019E-2</v>
      </c>
      <c r="L174" s="75">
        <f t="shared" si="33"/>
        <v>-9.8613256501146163E-2</v>
      </c>
      <c r="M174" s="75"/>
    </row>
    <row r="175" spans="2:13" hidden="1" outlineLevel="1">
      <c r="C175" s="2" t="s">
        <v>55</v>
      </c>
      <c r="G175" s="75"/>
      <c r="H175" s="75"/>
      <c r="I175" s="75"/>
      <c r="J175" s="75"/>
      <c r="K175" s="75"/>
      <c r="L175" s="75"/>
      <c r="M175" s="75"/>
    </row>
    <row r="176" spans="2:13" hidden="1" outlineLevel="1">
      <c r="D176" s="2" t="s">
        <v>284</v>
      </c>
      <c r="G176" s="75">
        <f t="shared" si="33"/>
        <v>-5.4695586409476095E-3</v>
      </c>
      <c r="H176" s="75">
        <f t="shared" si="33"/>
        <v>-5.7658164431240886E-3</v>
      </c>
      <c r="I176" s="75">
        <f t="shared" si="33"/>
        <v>-4.7244872518121825E-3</v>
      </c>
      <c r="J176" s="75">
        <f t="shared" si="33"/>
        <v>-2.5152562580726132E-3</v>
      </c>
      <c r="K176" s="75">
        <f t="shared" si="33"/>
        <v>-1.8927914127332237E-3</v>
      </c>
      <c r="L176" s="75">
        <f t="shared" si="33"/>
        <v>-5.0746364449270548E-3</v>
      </c>
      <c r="M176" s="75"/>
    </row>
    <row r="177" spans="2:13" hidden="1" outlineLevel="1">
      <c r="C177" s="10"/>
      <c r="D177" s="10" t="s">
        <v>285</v>
      </c>
      <c r="E177" s="10"/>
      <c r="F177" s="10"/>
      <c r="G177" s="75">
        <f t="shared" si="33"/>
        <v>-1.3770691528766162E-3</v>
      </c>
      <c r="H177" s="75">
        <f t="shared" si="33"/>
        <v>-1.2164466398298384E-3</v>
      </c>
      <c r="I177" s="75">
        <f t="shared" si="33"/>
        <v>-9.6741689348877875E-4</v>
      </c>
      <c r="J177" s="75">
        <f t="shared" si="33"/>
        <v>-7.0699094821500478E-4</v>
      </c>
      <c r="K177" s="75">
        <f t="shared" si="33"/>
        <v>-1.6521745519199754E-3</v>
      </c>
      <c r="L177" s="75">
        <f t="shared" si="33"/>
        <v>-1.7112045301386225E-3</v>
      </c>
      <c r="M177" s="75"/>
    </row>
    <row r="178" spans="2:13" hidden="1" outlineLevel="1">
      <c r="C178" s="2" t="s">
        <v>56</v>
      </c>
      <c r="G178" s="75">
        <f t="shared" ref="G178:L178" si="34">G21/G$8</f>
        <v>-2.0930934884117115E-2</v>
      </c>
      <c r="H178" s="75">
        <f t="shared" si="34"/>
        <v>-2.0731157089200231E-2</v>
      </c>
      <c r="I178" s="75">
        <f t="shared" si="34"/>
        <v>-2.5328628761235306E-2</v>
      </c>
      <c r="J178" s="75">
        <f t="shared" si="34"/>
        <v>-2.5113866330601937E-2</v>
      </c>
      <c r="K178" s="75">
        <f t="shared" si="34"/>
        <v>-2.322503737826807E-2</v>
      </c>
      <c r="L178" s="75">
        <f t="shared" si="34"/>
        <v>-2.6969901707648555E-2</v>
      </c>
      <c r="M178" s="75"/>
    </row>
    <row r="179" spans="2:13" hidden="1" outlineLevel="1">
      <c r="C179" s="2" t="s">
        <v>57</v>
      </c>
      <c r="G179" s="75"/>
      <c r="H179" s="75"/>
      <c r="I179" s="75"/>
      <c r="J179" s="75"/>
      <c r="K179" s="75"/>
      <c r="L179" s="75"/>
      <c r="M179" s="75"/>
    </row>
    <row r="180" spans="2:13" hidden="1" outlineLevel="1">
      <c r="D180" s="2" t="s">
        <v>58</v>
      </c>
      <c r="G180" s="75">
        <f t="shared" ref="G180:L181" si="35">G23/G$8</f>
        <v>-7.8301933059210099E-2</v>
      </c>
      <c r="H180" s="75">
        <f t="shared" si="35"/>
        <v>-7.1291038960277983E-2</v>
      </c>
      <c r="I180" s="75">
        <f t="shared" si="35"/>
        <v>-7.4679528792142097E-2</v>
      </c>
      <c r="J180" s="75">
        <f t="shared" si="35"/>
        <v>-8.2031866884899579E-2</v>
      </c>
      <c r="K180" s="75">
        <f t="shared" si="35"/>
        <v>-7.1444839962236009E-2</v>
      </c>
      <c r="L180" s="75">
        <f t="shared" si="35"/>
        <v>-5.5531319032531966E-2</v>
      </c>
      <c r="M180" s="75"/>
    </row>
    <row r="181" spans="2:13" hidden="1" outlineLevel="1">
      <c r="D181" s="2" t="s">
        <v>59</v>
      </c>
      <c r="G181" s="75">
        <f t="shared" si="35"/>
        <v>-0.11421672254960417</v>
      </c>
      <c r="H181" s="75">
        <f t="shared" si="35"/>
        <v>-0.10995130697698949</v>
      </c>
      <c r="I181" s="75">
        <f t="shared" si="35"/>
        <v>-0.1095272180789766</v>
      </c>
      <c r="J181" s="75">
        <f t="shared" si="35"/>
        <v>-9.9584276772314406E-2</v>
      </c>
      <c r="K181" s="75">
        <f t="shared" si="35"/>
        <v>-0.10444700367721339</v>
      </c>
      <c r="L181" s="75">
        <f t="shared" si="35"/>
        <v>-0.11447030283896897</v>
      </c>
      <c r="M181" s="75"/>
    </row>
    <row r="182" spans="2:13" hidden="1" outlineLevel="1">
      <c r="G182" s="75"/>
      <c r="H182" s="75"/>
      <c r="I182" s="75"/>
      <c r="J182" s="75"/>
      <c r="K182" s="75"/>
      <c r="L182" s="75"/>
      <c r="M182" s="75"/>
    </row>
    <row r="183" spans="2:13" ht="15.6" hidden="1" outlineLevel="1">
      <c r="C183" s="12" t="s">
        <v>60</v>
      </c>
      <c r="D183" s="13"/>
      <c r="E183" s="13"/>
      <c r="F183" s="13"/>
      <c r="G183" s="76">
        <f>G26/G$8</f>
        <v>-0.81903091500889236</v>
      </c>
      <c r="H183" s="76">
        <f t="shared" ref="H183:L185" si="36">H26/H$8</f>
        <v>-0.82385196383473669</v>
      </c>
      <c r="I183" s="76">
        <f t="shared" si="36"/>
        <v>-0.82508826817439684</v>
      </c>
      <c r="J183" s="76">
        <f t="shared" si="36"/>
        <v>-0.81888690759440053</v>
      </c>
      <c r="K183" s="76">
        <f t="shared" si="36"/>
        <v>-0.81978348156066672</v>
      </c>
      <c r="L183" s="76">
        <f t="shared" si="36"/>
        <v>-0.84605924254264353</v>
      </c>
      <c r="M183" s="76"/>
    </row>
    <row r="184" spans="2:13" hidden="1" outlineLevel="1">
      <c r="G184" s="75"/>
      <c r="H184" s="75"/>
      <c r="I184" s="75"/>
      <c r="J184" s="75"/>
      <c r="K184" s="75"/>
      <c r="L184" s="75"/>
      <c r="M184" s="75"/>
    </row>
    <row r="185" spans="2:13" ht="15.6" hidden="1" outlineLevel="1">
      <c r="B185" s="3" t="s">
        <v>83</v>
      </c>
      <c r="C185" s="12"/>
      <c r="D185" s="13"/>
      <c r="E185" s="13"/>
      <c r="F185" s="13"/>
      <c r="G185" s="76">
        <f>G28/G$8</f>
        <v>0.22035558584161244</v>
      </c>
      <c r="H185" s="76">
        <f t="shared" si="36"/>
        <v>0.21085661047339463</v>
      </c>
      <c r="I185" s="76">
        <f t="shared" si="36"/>
        <v>0.20998806239724094</v>
      </c>
      <c r="J185" s="76">
        <f t="shared" si="36"/>
        <v>0.2151333713323538</v>
      </c>
      <c r="K185" s="76">
        <f t="shared" si="36"/>
        <v>0.21632374172075949</v>
      </c>
      <c r="L185" s="76">
        <f t="shared" si="36"/>
        <v>0.19256992044156532</v>
      </c>
      <c r="M185" s="76"/>
    </row>
    <row r="186" spans="2:13" hidden="1" outlineLevel="1">
      <c r="G186" s="75"/>
      <c r="H186" s="75"/>
      <c r="I186" s="75"/>
      <c r="J186" s="75"/>
      <c r="K186" s="75"/>
      <c r="L186" s="75"/>
      <c r="M186" s="75"/>
    </row>
    <row r="187" spans="2:13" hidden="1" outlineLevel="1">
      <c r="C187" s="2" t="s">
        <v>61</v>
      </c>
      <c r="G187" s="75">
        <f t="shared" ref="G187:L187" si="37">G30/G$8</f>
        <v>3.0974376447084149E-5</v>
      </c>
      <c r="H187" s="75">
        <f t="shared" si="37"/>
        <v>1.1250373547559197E-4</v>
      </c>
      <c r="I187" s="75">
        <f t="shared" si="37"/>
        <v>-1.1489511799154143E-6</v>
      </c>
      <c r="J187" s="75">
        <f t="shared" si="37"/>
        <v>-1.0563030439307024E-4</v>
      </c>
      <c r="K187" s="75">
        <f t="shared" si="37"/>
        <v>-1.6530929368849116E-4</v>
      </c>
      <c r="L187" s="75">
        <f t="shared" si="37"/>
        <v>-1.4137168698053493E-4</v>
      </c>
      <c r="M187" s="75"/>
    </row>
    <row r="188" spans="2:13" hidden="1" outlineLevel="1">
      <c r="G188" s="75"/>
      <c r="H188" s="75"/>
      <c r="I188" s="75"/>
      <c r="J188" s="75"/>
      <c r="K188" s="75"/>
      <c r="L188" s="75"/>
      <c r="M188" s="75"/>
    </row>
    <row r="189" spans="2:13" ht="15.6" hidden="1" outlineLevel="1">
      <c r="B189" s="3" t="s">
        <v>62</v>
      </c>
      <c r="C189" s="12"/>
      <c r="D189" s="13"/>
      <c r="E189" s="13"/>
      <c r="F189" s="13"/>
      <c r="G189" s="76">
        <f>G32/G$8</f>
        <v>0.22038656021805952</v>
      </c>
      <c r="H189" s="76">
        <f t="shared" ref="H189:L189" si="38">H32/H$8</f>
        <v>0.21096911420887024</v>
      </c>
      <c r="I189" s="76">
        <f t="shared" si="38"/>
        <v>0.20998691344606105</v>
      </c>
      <c r="J189" s="76">
        <f t="shared" si="38"/>
        <v>0.21502774102796071</v>
      </c>
      <c r="K189" s="76">
        <f t="shared" si="38"/>
        <v>0.216158432427071</v>
      </c>
      <c r="L189" s="76">
        <f t="shared" si="38"/>
        <v>0.19242854875458479</v>
      </c>
      <c r="M189" s="76"/>
    </row>
    <row r="190" spans="2:13" hidden="1" outlineLevel="1">
      <c r="G190" s="75"/>
      <c r="H190" s="75"/>
      <c r="I190" s="75"/>
      <c r="J190" s="75"/>
      <c r="K190" s="75"/>
      <c r="L190" s="75"/>
      <c r="M190" s="75"/>
    </row>
    <row r="191" spans="2:13" hidden="1" outlineLevel="1">
      <c r="C191" s="2" t="s">
        <v>63</v>
      </c>
      <c r="G191" s="75">
        <f t="shared" ref="G191:L191" si="39">G34/G$8</f>
        <v>-1.876530973085848E-3</v>
      </c>
      <c r="H191" s="75">
        <f t="shared" si="39"/>
        <v>-8.8291994070115627E-3</v>
      </c>
      <c r="I191" s="75">
        <f t="shared" si="39"/>
        <v>-1.1489511799154141E-2</v>
      </c>
      <c r="J191" s="75">
        <f t="shared" si="39"/>
        <v>0</v>
      </c>
      <c r="K191" s="75">
        <f t="shared" si="39"/>
        <v>-7.8062722019565274E-3</v>
      </c>
      <c r="L191" s="75">
        <f t="shared" si="39"/>
        <v>0</v>
      </c>
      <c r="M191" s="75"/>
    </row>
    <row r="192" spans="2:13" hidden="1" outlineLevel="1">
      <c r="G192" s="75"/>
      <c r="H192" s="75"/>
      <c r="I192" s="75"/>
      <c r="J192" s="75"/>
      <c r="K192" s="75"/>
      <c r="L192" s="75"/>
      <c r="M192" s="75"/>
    </row>
    <row r="193" spans="2:13" ht="15.6" hidden="1" outlineLevel="1">
      <c r="B193" s="3" t="s">
        <v>64</v>
      </c>
      <c r="C193" s="12"/>
      <c r="D193" s="13"/>
      <c r="E193" s="13"/>
      <c r="F193" s="13"/>
      <c r="G193" s="76">
        <f>G36/G$8</f>
        <v>0.2185100292449737</v>
      </c>
      <c r="H193" s="76">
        <f t="shared" ref="H193:L193" si="40">H36/H$8</f>
        <v>0.20213991480185869</v>
      </c>
      <c r="I193" s="76">
        <f t="shared" si="40"/>
        <v>0.19849740164690688</v>
      </c>
      <c r="J193" s="76">
        <f t="shared" si="40"/>
        <v>0.21502774102796071</v>
      </c>
      <c r="K193" s="76">
        <f t="shared" si="40"/>
        <v>0.20835216022511446</v>
      </c>
      <c r="L193" s="76">
        <f t="shared" si="40"/>
        <v>0.19242854875458479</v>
      </c>
      <c r="M193" s="76"/>
    </row>
    <row r="194" spans="2:13" hidden="1" outlineLevel="1">
      <c r="G194" s="75"/>
      <c r="H194" s="75"/>
      <c r="I194" s="75"/>
      <c r="J194" s="75"/>
      <c r="K194" s="75"/>
      <c r="L194" s="75"/>
      <c r="M194" s="75"/>
    </row>
    <row r="195" spans="2:13" hidden="1" outlineLevel="1">
      <c r="C195" s="2" t="s">
        <v>65</v>
      </c>
      <c r="G195" s="75"/>
      <c r="H195" s="75"/>
      <c r="I195" s="75"/>
      <c r="J195" s="75"/>
      <c r="K195" s="75"/>
      <c r="L195" s="75"/>
      <c r="M195" s="75"/>
    </row>
    <row r="196" spans="2:13" hidden="1" outlineLevel="1">
      <c r="D196" s="2" t="s">
        <v>66</v>
      </c>
      <c r="G196" s="75">
        <f t="shared" ref="G196:L197" si="41">G39/G$8</f>
        <v>-4.7925103957750945E-2</v>
      </c>
      <c r="H196" s="75">
        <f t="shared" si="41"/>
        <v>-4.769572427209498E-2</v>
      </c>
      <c r="I196" s="75">
        <f t="shared" si="41"/>
        <v>-5.347448581562321E-2</v>
      </c>
      <c r="J196" s="75">
        <f t="shared" si="41"/>
        <v>-5.2833977399298238E-2</v>
      </c>
      <c r="K196" s="75">
        <f t="shared" si="41"/>
        <v>-4.0608227994577854E-2</v>
      </c>
      <c r="L196" s="75">
        <f t="shared" si="41"/>
        <v>-4.1772297914377331E-2</v>
      </c>
      <c r="M196" s="75"/>
    </row>
    <row r="197" spans="2:13" hidden="1" outlineLevel="1">
      <c r="D197" s="2" t="s">
        <v>67</v>
      </c>
      <c r="G197" s="75">
        <f t="shared" si="41"/>
        <v>4.6448658680439941E-3</v>
      </c>
      <c r="H197" s="75">
        <f t="shared" si="41"/>
        <v>1.5043858878126815E-2</v>
      </c>
      <c r="I197" s="75">
        <f t="shared" si="41"/>
        <v>2.1336023411029241E-2</v>
      </c>
      <c r="J197" s="75">
        <f t="shared" si="41"/>
        <v>1.5071666501074608E-2</v>
      </c>
      <c r="K197" s="75">
        <f t="shared" si="41"/>
        <v>-7.7337197897265775E-3</v>
      </c>
      <c r="L197" s="75">
        <f t="shared" si="41"/>
        <v>-3.0980347600887779E-3</v>
      </c>
      <c r="M197" s="75"/>
    </row>
    <row r="198" spans="2:13" ht="15.6" hidden="1" outlineLevel="1">
      <c r="C198" s="12" t="s">
        <v>68</v>
      </c>
      <c r="D198" s="13"/>
      <c r="E198" s="13"/>
      <c r="F198" s="13"/>
      <c r="G198" s="76">
        <f>G196+G197</f>
        <v>-4.3280238089706949E-2</v>
      </c>
      <c r="H198" s="76">
        <f t="shared" ref="H198:L198" si="42">H196+H197</f>
        <v>-3.2651865393968166E-2</v>
      </c>
      <c r="I198" s="76">
        <f t="shared" si="42"/>
        <v>-3.2138462404593969E-2</v>
      </c>
      <c r="J198" s="76">
        <f t="shared" si="42"/>
        <v>-3.7762310898223628E-2</v>
      </c>
      <c r="K198" s="76">
        <f t="shared" si="42"/>
        <v>-4.834194778430443E-2</v>
      </c>
      <c r="L198" s="76">
        <f t="shared" si="42"/>
        <v>-4.4870332674466107E-2</v>
      </c>
      <c r="M198" s="76"/>
    </row>
    <row r="199" spans="2:13" hidden="1" outlineLevel="1">
      <c r="G199" s="75"/>
      <c r="H199" s="75"/>
      <c r="I199" s="75"/>
      <c r="J199" s="75"/>
      <c r="K199" s="75"/>
      <c r="L199" s="75"/>
      <c r="M199" s="75"/>
    </row>
    <row r="200" spans="2:13" ht="15.6" hidden="1" outlineLevel="1">
      <c r="B200" s="3" t="s">
        <v>69</v>
      </c>
      <c r="C200" s="12"/>
      <c r="D200" s="13"/>
      <c r="E200" s="13"/>
      <c r="F200" s="13"/>
      <c r="G200" s="76">
        <f>G45/G8</f>
        <v>0.17522979115526674</v>
      </c>
      <c r="H200" s="76">
        <f t="shared" ref="H200:L200" si="43">H45/H8</f>
        <v>0.1694880494078905</v>
      </c>
      <c r="I200" s="76">
        <f t="shared" si="43"/>
        <v>0.16635893924231293</v>
      </c>
      <c r="J200" s="76">
        <f t="shared" si="43"/>
        <v>0.17726543012973708</v>
      </c>
      <c r="K200" s="76">
        <f t="shared" si="43"/>
        <v>0.16001021244081001</v>
      </c>
      <c r="L200" s="76">
        <f t="shared" si="43"/>
        <v>0.14755821608011868</v>
      </c>
      <c r="M200" s="76"/>
    </row>
    <row r="204" spans="2:13" ht="15.6">
      <c r="C204" s="83">
        <v>6</v>
      </c>
    </row>
    <row r="205" spans="2:13" collapsed="1"/>
    <row r="206" spans="2:13" ht="15.6" hidden="1" outlineLevel="1">
      <c r="B206" s="3" t="s">
        <v>244</v>
      </c>
    </row>
    <row r="207" spans="2:13" hidden="1" outlineLevel="1"/>
    <row r="208" spans="2:13" hidden="1" outlineLevel="1">
      <c r="C208" s="2" t="s">
        <v>47</v>
      </c>
      <c r="G208" s="86" t="s">
        <v>158</v>
      </c>
      <c r="H208" s="75">
        <f t="shared" ref="H208:L210" si="44">(H8-G8)/G8</f>
        <v>0.10127459559079739</v>
      </c>
      <c r="I208" s="75">
        <f t="shared" si="44"/>
        <v>1.9985819841674534E-2</v>
      </c>
      <c r="J208" s="75">
        <f t="shared" si="44"/>
        <v>9.8586904943821968E-2</v>
      </c>
      <c r="K208" s="75">
        <f t="shared" si="44"/>
        <v>0.13878671568191689</v>
      </c>
      <c r="L208" s="75">
        <f t="shared" si="44"/>
        <v>5.888776233666515E-2</v>
      </c>
      <c r="M208" s="75"/>
    </row>
    <row r="209" spans="2:13" hidden="1" outlineLevel="1">
      <c r="C209" s="2" t="s">
        <v>48</v>
      </c>
      <c r="G209" s="86" t="s">
        <v>158</v>
      </c>
      <c r="H209" s="75">
        <f t="shared" si="44"/>
        <v>-2.9523559866308377E-2</v>
      </c>
      <c r="I209" s="75">
        <f t="shared" si="44"/>
        <v>3.0793125569774128E-2</v>
      </c>
      <c r="J209" s="75">
        <f t="shared" si="44"/>
        <v>6.551148088702545E-2</v>
      </c>
      <c r="K209" s="75">
        <f t="shared" si="44"/>
        <v>0.20864459405453595</v>
      </c>
      <c r="L209" s="75">
        <f t="shared" si="44"/>
        <v>0.13284667819717152</v>
      </c>
      <c r="M209" s="75"/>
    </row>
    <row r="210" spans="2:13" ht="15.6" hidden="1" outlineLevel="1">
      <c r="C210" s="12" t="s">
        <v>49</v>
      </c>
      <c r="D210" s="13"/>
      <c r="E210" s="13"/>
      <c r="F210" s="13"/>
      <c r="G210" s="87" t="s">
        <v>158</v>
      </c>
      <c r="H210" s="76">
        <f t="shared" si="44"/>
        <v>9.6318131698933995E-2</v>
      </c>
      <c r="I210" s="76">
        <f t="shared" si="44"/>
        <v>2.034834334176764E-2</v>
      </c>
      <c r="J210" s="76">
        <f t="shared" si="44"/>
        <v>9.7466055713917754E-2</v>
      </c>
      <c r="K210" s="76">
        <f t="shared" si="44"/>
        <v>0.14108510823369005</v>
      </c>
      <c r="L210" s="76">
        <f t="shared" si="44"/>
        <v>6.1465151074647284E-2</v>
      </c>
      <c r="M210" s="76"/>
    </row>
    <row r="211" spans="2:13" hidden="1" outlineLevel="1">
      <c r="G211" s="86" t="s">
        <v>158</v>
      </c>
      <c r="H211" s="75"/>
      <c r="I211" s="75"/>
      <c r="J211" s="75"/>
      <c r="K211" s="75"/>
      <c r="L211" s="75"/>
      <c r="M211" s="75"/>
    </row>
    <row r="212" spans="2:13" ht="15.6" hidden="1" outlineLevel="1">
      <c r="B212" s="3" t="s">
        <v>50</v>
      </c>
      <c r="G212" s="86" t="s">
        <v>158</v>
      </c>
      <c r="H212" s="75"/>
      <c r="I212" s="75"/>
      <c r="J212" s="75"/>
      <c r="K212" s="75"/>
      <c r="L212" s="75"/>
      <c r="M212" s="75"/>
    </row>
    <row r="213" spans="2:13" hidden="1" outlineLevel="1">
      <c r="C213" s="2" t="s">
        <v>51</v>
      </c>
      <c r="G213" s="86" t="s">
        <v>158</v>
      </c>
      <c r="H213" s="75">
        <f>((H13*-1)-(G13*-1))/(G13*-1)</f>
        <v>7.9284483160199287E-2</v>
      </c>
      <c r="I213" s="75">
        <f>((I13*-1)-(H13*-1))/(H13*-1)</f>
        <v>7.3765232278763332E-2</v>
      </c>
      <c r="J213" s="75">
        <f>((J13*-1)-(I13*-1))/(I13*-1)</f>
        <v>7.1514131591147195E-2</v>
      </c>
      <c r="K213" s="75">
        <f>((K13*-1)-(J13*-1))/(J13*-1)</f>
        <v>0.19195314336589489</v>
      </c>
      <c r="L213" s="75">
        <f>((L13*-1)-(K13*-1))/(K13*-1)</f>
        <v>0.11347804923082096</v>
      </c>
      <c r="M213" s="75"/>
    </row>
    <row r="214" spans="2:13" hidden="1" outlineLevel="1">
      <c r="C214" s="2" t="s">
        <v>52</v>
      </c>
      <c r="G214" s="86" t="s">
        <v>158</v>
      </c>
      <c r="H214" s="75">
        <f t="shared" ref="H214:K217" si="45">((H14*-1)-(G14*-1))/(G14*-1)</f>
        <v>-0.31823329558323898</v>
      </c>
      <c r="I214" s="75">
        <f t="shared" si="45"/>
        <v>4.9280177187153967E-2</v>
      </c>
      <c r="J214" s="75">
        <f t="shared" si="45"/>
        <v>-0.20580474934036933</v>
      </c>
      <c r="K214" s="75">
        <f t="shared" si="45"/>
        <v>-1</v>
      </c>
      <c r="L214" s="75"/>
      <c r="M214" s="75"/>
    </row>
    <row r="215" spans="2:13" hidden="1" outlineLevel="1">
      <c r="C215" s="2" t="s">
        <v>53</v>
      </c>
      <c r="G215" s="86" t="s">
        <v>158</v>
      </c>
      <c r="H215" s="75">
        <f t="shared" si="45"/>
        <v>0.20603784920396526</v>
      </c>
      <c r="I215" s="75">
        <f t="shared" si="45"/>
        <v>-0.15985454183167702</v>
      </c>
      <c r="J215" s="75">
        <f t="shared" si="45"/>
        <v>0.45641991046811531</v>
      </c>
      <c r="K215" s="75">
        <f t="shared" si="45"/>
        <v>-0.10219535281365452</v>
      </c>
      <c r="L215" s="75">
        <f>((L15*-1)-(K15*-1))/(K15*-1)</f>
        <v>0.19313698816487554</v>
      </c>
      <c r="M215" s="75"/>
    </row>
    <row r="216" spans="2:13" hidden="1" outlineLevel="1">
      <c r="C216" s="2" t="s">
        <v>79</v>
      </c>
      <c r="G216" s="86" t="s">
        <v>158</v>
      </c>
      <c r="H216" s="75">
        <f t="shared" si="45"/>
        <v>-1.1917184893068407</v>
      </c>
      <c r="I216" s="75">
        <f t="shared" si="45"/>
        <v>-6.1455696202531644</v>
      </c>
      <c r="J216" s="75">
        <f t="shared" si="45"/>
        <v>2.1857318573185727</v>
      </c>
      <c r="K216" s="75">
        <f t="shared" si="45"/>
        <v>-0.95873552123552119</v>
      </c>
      <c r="L216" s="75">
        <f>((L16*-1)-(K16*-1))/(K16*-1)</f>
        <v>9.6187134502923985</v>
      </c>
      <c r="M216" s="75"/>
    </row>
    <row r="217" spans="2:13" hidden="1" outlineLevel="1">
      <c r="C217" s="2" t="s">
        <v>54</v>
      </c>
      <c r="G217" s="86" t="s">
        <v>158</v>
      </c>
      <c r="H217" s="75">
        <f t="shared" si="45"/>
        <v>0.18304973574338729</v>
      </c>
      <c r="I217" s="75">
        <f t="shared" si="45"/>
        <v>1.0480749752108455E-2</v>
      </c>
      <c r="J217" s="75">
        <f t="shared" si="45"/>
        <v>9.0446746998121871E-2</v>
      </c>
      <c r="K217" s="75">
        <f t="shared" si="45"/>
        <v>4.4984808313819603E-2</v>
      </c>
      <c r="L217" s="75">
        <f>((L17*-1)-(K17*-1))/(K17*-1)</f>
        <v>5.2826519746284509E-2</v>
      </c>
      <c r="M217" s="75"/>
    </row>
    <row r="218" spans="2:13" hidden="1" outlineLevel="1">
      <c r="C218" s="2" t="s">
        <v>55</v>
      </c>
      <c r="G218" s="86" t="s">
        <v>158</v>
      </c>
      <c r="H218" s="75"/>
      <c r="I218" s="75"/>
      <c r="J218" s="75"/>
      <c r="K218" s="75"/>
      <c r="L218" s="75"/>
      <c r="M218" s="75"/>
    </row>
    <row r="219" spans="2:13" hidden="1" outlineLevel="1">
      <c r="D219" s="2" t="s">
        <v>284</v>
      </c>
      <c r="G219" s="86" t="s">
        <v>158</v>
      </c>
      <c r="H219" s="75">
        <f>((H19*-1)-(G19*-1))/(G19*-1)</f>
        <v>0.16092496460594619</v>
      </c>
      <c r="I219" s="75">
        <f t="shared" ref="I219:L220" si="46">((I19*-1)-(H19*-1))/(H19*-1)</f>
        <v>-0.16422764227642286</v>
      </c>
      <c r="J219" s="75">
        <f t="shared" si="46"/>
        <v>-0.41512645914396884</v>
      </c>
      <c r="K219" s="75">
        <f t="shared" si="46"/>
        <v>-0.14303534303534307</v>
      </c>
      <c r="L219" s="75">
        <f t="shared" si="46"/>
        <v>1.8389131489568171</v>
      </c>
      <c r="M219" s="75"/>
    </row>
    <row r="220" spans="2:13" hidden="1" outlineLevel="1">
      <c r="C220" s="10"/>
      <c r="D220" s="10" t="s">
        <v>285</v>
      </c>
      <c r="G220" s="86" t="s">
        <v>158</v>
      </c>
      <c r="H220" s="75">
        <f>((H20*-1)-(G20*-1))/(G20*-1)</f>
        <v>-2.7179006560449779E-2</v>
      </c>
      <c r="I220" s="75">
        <f t="shared" si="46"/>
        <v>-0.1888246628131022</v>
      </c>
      <c r="J220" s="75">
        <f t="shared" si="46"/>
        <v>-0.1971496437054632</v>
      </c>
      <c r="K220" s="75">
        <f t="shared" si="46"/>
        <v>1.6612426035502956</v>
      </c>
      <c r="L220" s="75">
        <f t="shared" si="46"/>
        <v>9.6720400222345862E-2</v>
      </c>
      <c r="M220" s="75"/>
    </row>
    <row r="221" spans="2:13" hidden="1" outlineLevel="1">
      <c r="C221" s="2" t="s">
        <v>56</v>
      </c>
      <c r="G221" s="86" t="s">
        <v>158</v>
      </c>
      <c r="H221" s="75">
        <f>((H21*-1)-(G21*-1))/(G21*-1)</f>
        <v>9.0763349364903184E-2</v>
      </c>
      <c r="I221" s="75">
        <f>((I21*-1)-(H21*-1))/(H21*-1)</f>
        <v>0.24618428490672686</v>
      </c>
      <c r="J221" s="75">
        <f>((J21*-1)-(I21*-1))/(I21*-1)</f>
        <v>8.9271943751417587E-2</v>
      </c>
      <c r="K221" s="75">
        <f>((K21*-1)-(J21*-1))/(J21*-1)</f>
        <v>5.3137883646358186E-2</v>
      </c>
      <c r="L221" s="75">
        <f>((L21*-1)-(K21*-1))/(K21*-1)</f>
        <v>0.22962552888607693</v>
      </c>
      <c r="M221" s="75"/>
    </row>
    <row r="222" spans="2:13" hidden="1" outlineLevel="1">
      <c r="C222" s="2" t="s">
        <v>57</v>
      </c>
      <c r="G222" s="86" t="s">
        <v>158</v>
      </c>
      <c r="H222" s="75"/>
      <c r="I222" s="75"/>
      <c r="J222" s="75"/>
      <c r="K222" s="75"/>
      <c r="L222" s="75"/>
      <c r="M222" s="75"/>
    </row>
    <row r="223" spans="2:13" hidden="1" outlineLevel="1">
      <c r="D223" s="2" t="s">
        <v>58</v>
      </c>
      <c r="G223" s="86" t="s">
        <v>158</v>
      </c>
      <c r="H223" s="75">
        <f t="shared" ref="H223:L224" si="47">((H23*-1)-(G23*-1))/(G23*-1)</f>
        <v>2.6701389461192405E-3</v>
      </c>
      <c r="I223" s="75">
        <f t="shared" si="47"/>
        <v>6.8466128581526425E-2</v>
      </c>
      <c r="J223" s="75">
        <f t="shared" si="47"/>
        <v>0.20674482291762822</v>
      </c>
      <c r="K223" s="75">
        <f t="shared" si="47"/>
        <v>-8.1850170839919915E-3</v>
      </c>
      <c r="L223" s="75">
        <f t="shared" si="47"/>
        <v>-0.17696737537599308</v>
      </c>
      <c r="M223" s="75"/>
    </row>
    <row r="224" spans="2:13" hidden="1" outlineLevel="1">
      <c r="D224" s="2" t="s">
        <v>59</v>
      </c>
      <c r="G224" s="86" t="s">
        <v>158</v>
      </c>
      <c r="H224" s="75">
        <f t="shared" si="47"/>
        <v>6.0147572288952435E-2</v>
      </c>
      <c r="I224" s="75">
        <f t="shared" si="47"/>
        <v>1.6051672315661514E-2</v>
      </c>
      <c r="J224" s="75">
        <f t="shared" si="47"/>
        <v>-1.1434206109431837E-3</v>
      </c>
      <c r="K224" s="75">
        <f t="shared" si="47"/>
        <v>0.19439397599218633</v>
      </c>
      <c r="L224" s="75">
        <f t="shared" si="47"/>
        <v>0.16050435684829725</v>
      </c>
      <c r="M224" s="75"/>
    </row>
    <row r="225" spans="2:13" hidden="1" outlineLevel="1">
      <c r="G225" s="86" t="s">
        <v>158</v>
      </c>
      <c r="H225" s="75"/>
      <c r="I225" s="75"/>
      <c r="J225" s="75"/>
      <c r="K225" s="75"/>
      <c r="L225" s="75"/>
      <c r="M225" s="75"/>
    </row>
    <row r="226" spans="2:13" ht="15.6" hidden="1" outlineLevel="1">
      <c r="C226" s="12" t="s">
        <v>60</v>
      </c>
      <c r="D226" s="13"/>
      <c r="E226" s="13"/>
      <c r="F226" s="13"/>
      <c r="G226" s="87" t="s">
        <v>158</v>
      </c>
      <c r="H226" s="76">
        <f>((H26*-1)-(G26*-1))/(G26*-1)</f>
        <v>0.10775701096573789</v>
      </c>
      <c r="I226" s="76">
        <f>((I26*-1)-(H26*-1))/(H26*-1)</f>
        <v>2.1516450283571527E-2</v>
      </c>
      <c r="J226" s="76">
        <f>((J26*-1)-(I26*-1))/(I26*-1)</f>
        <v>9.0329929552458471E-2</v>
      </c>
      <c r="K226" s="76">
        <f>((K26*-1)-(J26*-1))/(J26*-1)</f>
        <v>0.14003353806110169</v>
      </c>
      <c r="L226" s="76">
        <f>((L26*-1)-(K26*-1))/(K26*-1)</f>
        <v>9.282731146850437E-2</v>
      </c>
      <c r="M226" s="76"/>
    </row>
    <row r="227" spans="2:13" hidden="1" outlineLevel="1">
      <c r="G227" s="86" t="s">
        <v>158</v>
      </c>
      <c r="H227" s="75"/>
      <c r="I227" s="75"/>
      <c r="J227" s="75"/>
      <c r="K227" s="75"/>
      <c r="L227" s="75"/>
      <c r="M227" s="75"/>
    </row>
    <row r="228" spans="2:13" ht="15.6" hidden="1" outlineLevel="1">
      <c r="B228" s="3" t="s">
        <v>83</v>
      </c>
      <c r="C228" s="12"/>
      <c r="D228" s="13"/>
      <c r="E228" s="13"/>
      <c r="F228" s="13"/>
      <c r="G228" s="87" t="s">
        <v>158</v>
      </c>
      <c r="H228" s="76">
        <f>(H28-G28)/G28</f>
        <v>5.3801416196651387E-2</v>
      </c>
      <c r="I228" s="76">
        <f t="shared" ref="I228:L228" si="48">(I28-H28)/H28</f>
        <v>1.5784354592192504E-2</v>
      </c>
      <c r="J228" s="76">
        <f t="shared" si="48"/>
        <v>0.12550543047082208</v>
      </c>
      <c r="K228" s="76">
        <f t="shared" si="48"/>
        <v>0.14508782079016777</v>
      </c>
      <c r="L228" s="76">
        <f t="shared" si="48"/>
        <v>-5.7385331227605453E-2</v>
      </c>
      <c r="M228" s="76"/>
    </row>
    <row r="229" spans="2:13" hidden="1" outlineLevel="1">
      <c r="G229" s="86" t="s">
        <v>158</v>
      </c>
      <c r="H229" s="75"/>
      <c r="I229" s="75"/>
      <c r="J229" s="75"/>
      <c r="K229" s="75"/>
      <c r="L229" s="75"/>
      <c r="M229" s="75"/>
    </row>
    <row r="230" spans="2:13" hidden="1" outlineLevel="1">
      <c r="C230" s="2" t="s">
        <v>61</v>
      </c>
      <c r="G230" s="86" t="s">
        <v>158</v>
      </c>
      <c r="H230" s="75">
        <f>(H30-G30)/G30</f>
        <v>3</v>
      </c>
      <c r="I230" s="75">
        <f>(I30-H30)/H30</f>
        <v>-1.0104166666666667</v>
      </c>
      <c r="J230" s="75">
        <f t="shared" ref="J230:L230" si="49">(J30-I30)/I30</f>
        <v>100</v>
      </c>
      <c r="K230" s="75">
        <f t="shared" si="49"/>
        <v>0.78217821782178221</v>
      </c>
      <c r="L230" s="75">
        <f t="shared" si="49"/>
        <v>-9.4444444444444525E-2</v>
      </c>
      <c r="M230" s="75"/>
    </row>
    <row r="231" spans="2:13" hidden="1" outlineLevel="1">
      <c r="G231" s="86" t="s">
        <v>158</v>
      </c>
      <c r="H231" s="75"/>
      <c r="I231" s="75"/>
      <c r="J231" s="75" t="s">
        <v>246</v>
      </c>
      <c r="K231" s="75" t="s">
        <v>246</v>
      </c>
      <c r="L231" s="75"/>
      <c r="M231" s="75"/>
    </row>
    <row r="232" spans="2:13" ht="15.6" hidden="1" outlineLevel="1">
      <c r="B232" s="3" t="s">
        <v>62</v>
      </c>
      <c r="C232" s="12"/>
      <c r="D232" s="13"/>
      <c r="E232" s="13"/>
      <c r="F232" s="13"/>
      <c r="G232" s="87" t="s">
        <v>158</v>
      </c>
      <c r="H232" s="76">
        <f>(H32-G32)/G32</f>
        <v>5.4215491646317199E-2</v>
      </c>
      <c r="I232" s="76">
        <f t="shared" ref="I232:L232" si="50">(I32-H32)/H32</f>
        <v>1.523711122591383E-2</v>
      </c>
      <c r="J232" s="76">
        <f t="shared" si="50"/>
        <v>0.12495896347201733</v>
      </c>
      <c r="K232" s="76">
        <f t="shared" si="50"/>
        <v>0.14477485627571662</v>
      </c>
      <c r="L232" s="76">
        <f t="shared" si="50"/>
        <v>-5.735698990516979E-2</v>
      </c>
      <c r="M232" s="76"/>
    </row>
    <row r="233" spans="2:13" hidden="1" outlineLevel="1">
      <c r="G233" s="86" t="s">
        <v>158</v>
      </c>
      <c r="H233" s="75"/>
      <c r="I233" s="75"/>
      <c r="J233" s="75"/>
      <c r="K233" s="75"/>
      <c r="L233" s="75"/>
      <c r="M233" s="75"/>
    </row>
    <row r="234" spans="2:13" hidden="1" outlineLevel="1">
      <c r="C234" s="2" t="s">
        <v>63</v>
      </c>
      <c r="G234" s="86" t="s">
        <v>158</v>
      </c>
      <c r="H234" s="75">
        <f>(H34-G34)/G34</f>
        <v>4.1815680880330133</v>
      </c>
      <c r="I234" s="75">
        <f t="shared" ref="I234" si="51">(I34-H34)/H34</f>
        <v>0.32731616671091046</v>
      </c>
      <c r="J234" s="90" t="s">
        <v>158</v>
      </c>
      <c r="K234" s="90" t="s">
        <v>158</v>
      </c>
      <c r="L234" s="90" t="s">
        <v>158</v>
      </c>
      <c r="M234" s="75"/>
    </row>
    <row r="235" spans="2:13" hidden="1" outlineLevel="1">
      <c r="G235" s="86" t="s">
        <v>158</v>
      </c>
      <c r="H235" s="75" t="s">
        <v>246</v>
      </c>
      <c r="I235" s="75" t="s">
        <v>246</v>
      </c>
      <c r="J235" s="75"/>
      <c r="K235" s="75"/>
      <c r="L235" s="75"/>
      <c r="M235" s="75"/>
    </row>
    <row r="236" spans="2:13" ht="15.6" hidden="1" outlineLevel="1">
      <c r="B236" s="3" t="s">
        <v>64</v>
      </c>
      <c r="C236" s="12"/>
      <c r="D236" s="13"/>
      <c r="E236" s="13"/>
      <c r="F236" s="13"/>
      <c r="G236" s="87" t="s">
        <v>158</v>
      </c>
      <c r="H236" s="76">
        <f>(H36-G36)/G36</f>
        <v>1.877041385868481E-2</v>
      </c>
      <c r="I236" s="76">
        <f t="shared" ref="I236:L236" si="52">(I36-H36)/H36</f>
        <v>1.605918127164514E-3</v>
      </c>
      <c r="J236" s="76">
        <f t="shared" si="52"/>
        <v>0.19007432103910399</v>
      </c>
      <c r="K236" s="76">
        <f t="shared" si="52"/>
        <v>0.10343284598398794</v>
      </c>
      <c r="L236" s="76">
        <f t="shared" si="52"/>
        <v>-2.2039247491933641E-2</v>
      </c>
      <c r="M236" s="76"/>
    </row>
    <row r="237" spans="2:13" hidden="1" outlineLevel="1">
      <c r="G237" s="86" t="s">
        <v>158</v>
      </c>
      <c r="H237" s="75"/>
      <c r="I237" s="75"/>
      <c r="J237" s="75"/>
      <c r="K237" s="75"/>
      <c r="L237" s="75"/>
      <c r="M237" s="75"/>
    </row>
    <row r="238" spans="2:13" hidden="1" outlineLevel="1">
      <c r="C238" s="2" t="s">
        <v>65</v>
      </c>
      <c r="G238" s="86" t="s">
        <v>158</v>
      </c>
      <c r="H238" s="75"/>
      <c r="I238" s="75"/>
      <c r="J238" s="75"/>
      <c r="K238" s="75"/>
      <c r="L238" s="75"/>
      <c r="M238" s="75"/>
    </row>
    <row r="239" spans="2:13" hidden="1" outlineLevel="1">
      <c r="D239" s="2" t="s">
        <v>66</v>
      </c>
      <c r="G239" s="86" t="s">
        <v>158</v>
      </c>
      <c r="H239" s="75"/>
      <c r="I239" s="75"/>
      <c r="J239" s="75"/>
      <c r="K239" s="75"/>
      <c r="L239" s="75"/>
      <c r="M239" s="75"/>
    </row>
    <row r="240" spans="2:13" hidden="1" outlineLevel="1">
      <c r="D240" s="2" t="s">
        <v>67</v>
      </c>
      <c r="G240" s="86" t="s">
        <v>158</v>
      </c>
      <c r="H240" s="75"/>
      <c r="I240" s="75"/>
      <c r="J240" s="75"/>
      <c r="K240" s="75"/>
      <c r="L240" s="75"/>
      <c r="M240" s="75"/>
    </row>
    <row r="241" spans="2:14" ht="15.6" hidden="1" outlineLevel="1">
      <c r="C241" s="12" t="s">
        <v>68</v>
      </c>
      <c r="D241" s="13"/>
      <c r="E241" s="13"/>
      <c r="F241" s="13"/>
      <c r="G241" s="87" t="s">
        <v>158</v>
      </c>
      <c r="H241" s="76">
        <f>(H41-G41)/G41</f>
        <v>-0.16916654241836876</v>
      </c>
      <c r="I241" s="76">
        <f t="shared" ref="I241:L241" si="53">(I41-H41)/H41</f>
        <v>3.9480295743307111E-3</v>
      </c>
      <c r="J241" s="76">
        <f t="shared" si="53"/>
        <v>0.29082654082654069</v>
      </c>
      <c r="K241" s="76">
        <f t="shared" si="53"/>
        <v>0.45783366106295181</v>
      </c>
      <c r="L241" s="76">
        <f t="shared" si="53"/>
        <v>-1.7154907101333584E-2</v>
      </c>
      <c r="M241" s="76"/>
    </row>
    <row r="242" spans="2:14" hidden="1" outlineLevel="1">
      <c r="G242" s="86" t="s">
        <v>158</v>
      </c>
      <c r="H242" s="75"/>
      <c r="I242" s="75"/>
      <c r="J242" s="75"/>
      <c r="K242" s="75"/>
      <c r="L242" s="75"/>
      <c r="M242" s="75"/>
    </row>
    <row r="243" spans="2:14" ht="15.6" hidden="1" outlineLevel="1">
      <c r="B243" s="3" t="s">
        <v>69</v>
      </c>
      <c r="C243" s="12"/>
      <c r="D243" s="13"/>
      <c r="E243" s="13"/>
      <c r="F243" s="13"/>
      <c r="G243" s="87" t="s">
        <v>158</v>
      </c>
      <c r="H243" s="76">
        <f>(H45-G45)/G45</f>
        <v>6.5189211483789589E-2</v>
      </c>
      <c r="I243" s="76">
        <f t="shared" ref="I243:L243" si="54">(I45-H45)/H45</f>
        <v>1.154710458082867E-3</v>
      </c>
      <c r="J243" s="76">
        <f t="shared" si="54"/>
        <v>0.17061025471020344</v>
      </c>
      <c r="K243" s="76">
        <f t="shared" si="54"/>
        <v>2.7935927313489341E-2</v>
      </c>
      <c r="L243" s="76">
        <f t="shared" si="54"/>
        <v>-2.3514894105492633E-2</v>
      </c>
      <c r="M243" s="76"/>
    </row>
    <row r="244" spans="2:14" hidden="1" outlineLevel="1"/>
    <row r="249" spans="2:14" ht="15.6">
      <c r="C249" s="101">
        <v>7</v>
      </c>
    </row>
    <row r="250" spans="2:14" collapsed="1"/>
    <row r="251" spans="2:14" ht="15.6" hidden="1" outlineLevel="1">
      <c r="I251" s="3" t="s">
        <v>290</v>
      </c>
      <c r="J251" s="2"/>
    </row>
    <row r="252" spans="2:14" ht="15.6" hidden="1" outlineLevel="1">
      <c r="F252" s="22"/>
      <c r="G252" s="8"/>
      <c r="H252" s="8"/>
      <c r="I252" s="3" t="s">
        <v>291</v>
      </c>
      <c r="J252" s="2"/>
      <c r="K252" s="8"/>
      <c r="L252" s="8"/>
      <c r="M252" s="62"/>
      <c r="N252" s="61"/>
    </row>
    <row r="253" spans="2:14" hidden="1" outlineLevel="1">
      <c r="F253" s="22"/>
      <c r="G253" s="8"/>
      <c r="H253" s="8"/>
      <c r="I253" s="8"/>
      <c r="J253" s="8"/>
      <c r="K253" s="8"/>
      <c r="L253" s="8"/>
      <c r="M253" s="62"/>
      <c r="N253" s="61"/>
    </row>
    <row r="254" spans="2:14" hidden="1" outlineLevel="1">
      <c r="F254" s="22"/>
      <c r="G254" s="8"/>
      <c r="H254" s="8"/>
      <c r="I254" s="8"/>
      <c r="J254" s="8"/>
      <c r="K254" s="8"/>
      <c r="L254" s="8"/>
      <c r="M254" s="62"/>
      <c r="N254" s="61"/>
    </row>
    <row r="255" spans="2:14" ht="15.6" hidden="1" outlineLevel="1">
      <c r="B255" s="3" t="s">
        <v>287</v>
      </c>
      <c r="F255" s="22"/>
      <c r="G255" s="11"/>
      <c r="H255" s="11"/>
      <c r="I255" s="11"/>
      <c r="J255" s="11"/>
      <c r="K255" s="11"/>
      <c r="L255" s="11"/>
      <c r="M255" s="62"/>
      <c r="N255" s="61"/>
    </row>
    <row r="256" spans="2:14" ht="15.6" hidden="1" outlineLevel="1">
      <c r="C256" s="3" t="s">
        <v>293</v>
      </c>
      <c r="F256" s="22"/>
      <c r="G256" s="102">
        <v>83.99</v>
      </c>
      <c r="H256" s="102">
        <v>78.349999999999994</v>
      </c>
      <c r="I256" s="102">
        <v>75.66</v>
      </c>
      <c r="J256" s="102">
        <v>137.94</v>
      </c>
      <c r="K256" s="102">
        <v>235.51</v>
      </c>
      <c r="L256" s="102">
        <v>268.32</v>
      </c>
      <c r="M256" s="102"/>
      <c r="N256" s="109"/>
    </row>
    <row r="257" spans="2:15" ht="15.6" hidden="1" outlineLevel="1">
      <c r="C257" s="3" t="s">
        <v>295</v>
      </c>
      <c r="F257" s="22"/>
      <c r="G257" s="102">
        <v>18.579999999999998</v>
      </c>
      <c r="H257" s="102">
        <v>4.8099999999999996</v>
      </c>
      <c r="I257" s="102">
        <v>0</v>
      </c>
      <c r="J257" s="102">
        <v>0</v>
      </c>
      <c r="K257" s="102">
        <v>0</v>
      </c>
      <c r="L257" s="102">
        <v>0</v>
      </c>
      <c r="M257" s="102"/>
      <c r="N257" s="109"/>
      <c r="O257" s="15"/>
    </row>
    <row r="258" spans="2:15" ht="15.6" hidden="1" outlineLevel="1">
      <c r="C258" s="3" t="s">
        <v>294</v>
      </c>
      <c r="F258" s="22"/>
      <c r="G258" s="102">
        <v>138.94999999999999</v>
      </c>
      <c r="H258" s="102">
        <v>166.23</v>
      </c>
      <c r="I258" s="102">
        <v>165.54</v>
      </c>
      <c r="J258" s="102">
        <v>122.84</v>
      </c>
      <c r="K258" s="102">
        <v>87.83</v>
      </c>
      <c r="L258" s="102">
        <v>92.81</v>
      </c>
      <c r="M258" s="102"/>
      <c r="N258" s="109"/>
    </row>
    <row r="259" spans="2:15" hidden="1" outlineLevel="1">
      <c r="F259" s="22"/>
      <c r="G259" s="104">
        <f t="shared" ref="G259:M259" si="55">SUM(G256:G258)</f>
        <v>241.51999999999998</v>
      </c>
      <c r="H259" s="104">
        <f t="shared" si="55"/>
        <v>249.39</v>
      </c>
      <c r="I259" s="104">
        <f t="shared" si="55"/>
        <v>241.2</v>
      </c>
      <c r="J259" s="104">
        <f t="shared" si="55"/>
        <v>260.77999999999997</v>
      </c>
      <c r="K259" s="104">
        <f t="shared" si="55"/>
        <v>323.33999999999997</v>
      </c>
      <c r="L259" s="104">
        <f t="shared" si="55"/>
        <v>361.13</v>
      </c>
      <c r="M259" s="104">
        <f t="shared" si="55"/>
        <v>0</v>
      </c>
      <c r="N259" s="107"/>
    </row>
    <row r="260" spans="2:15" hidden="1" outlineLevel="1">
      <c r="G260" s="105"/>
      <c r="H260" s="106"/>
      <c r="I260" s="106"/>
      <c r="J260" s="106"/>
      <c r="K260" s="106"/>
      <c r="L260" s="106"/>
      <c r="M260" s="107"/>
      <c r="N260" s="110"/>
    </row>
    <row r="261" spans="2:15" hidden="1" outlineLevel="1">
      <c r="G261" s="105"/>
      <c r="H261" s="108"/>
      <c r="I261" s="108"/>
      <c r="J261" s="108"/>
      <c r="K261" s="108"/>
      <c r="L261" s="108"/>
      <c r="M261" s="107"/>
      <c r="N261" s="110"/>
    </row>
    <row r="262" spans="2:15" ht="15.6" hidden="1" outlineLevel="1">
      <c r="B262" s="3" t="s">
        <v>288</v>
      </c>
      <c r="G262" s="102">
        <v>0.01</v>
      </c>
      <c r="H262" s="102">
        <v>0</v>
      </c>
      <c r="I262" s="102">
        <v>0</v>
      </c>
      <c r="J262" s="102">
        <v>0</v>
      </c>
      <c r="K262" s="102">
        <v>0</v>
      </c>
      <c r="L262" s="102">
        <v>0</v>
      </c>
      <c r="M262" s="102"/>
      <c r="N262" s="109"/>
    </row>
    <row r="263" spans="2:15" hidden="1" outlineLevel="1">
      <c r="G263" s="102"/>
      <c r="H263" s="102"/>
      <c r="I263" s="102"/>
      <c r="J263" s="102"/>
      <c r="K263" s="102"/>
      <c r="L263" s="102"/>
      <c r="M263" s="102"/>
      <c r="N263" s="109"/>
    </row>
    <row r="264" spans="2:15" ht="15.6" hidden="1" outlineLevel="1">
      <c r="B264" s="3" t="s">
        <v>292</v>
      </c>
      <c r="F264" s="22"/>
      <c r="G264" s="102">
        <v>63.65</v>
      </c>
      <c r="H264" s="102">
        <v>46.78</v>
      </c>
      <c r="I264" s="102">
        <v>64.09</v>
      </c>
      <c r="J264" s="102">
        <v>64.510000000000005</v>
      </c>
      <c r="K264" s="102">
        <v>69.819999999999993</v>
      </c>
      <c r="L264" s="102">
        <v>84.26</v>
      </c>
      <c r="M264" s="102"/>
      <c r="N264" s="109"/>
    </row>
    <row r="265" spans="2:15" hidden="1" outlineLevel="1">
      <c r="F265" s="22"/>
      <c r="G265" s="103"/>
      <c r="H265" s="103"/>
      <c r="I265" s="103"/>
      <c r="J265" s="103"/>
      <c r="K265" s="103"/>
      <c r="L265" s="103"/>
      <c r="M265" s="103"/>
      <c r="N265" s="111"/>
    </row>
    <row r="266" spans="2:15" ht="15.6" hidden="1" outlineLevel="1">
      <c r="B266" s="12" t="s">
        <v>197</v>
      </c>
      <c r="C266" s="13"/>
      <c r="D266" s="13"/>
      <c r="E266" s="13"/>
      <c r="F266" s="49"/>
      <c r="G266" s="104">
        <f>G259+G262+G264</f>
        <v>305.17999999999995</v>
      </c>
      <c r="H266" s="104">
        <f t="shared" ref="H266:M266" si="56">H259+H262+H264</f>
        <v>296.16999999999996</v>
      </c>
      <c r="I266" s="104">
        <f t="shared" si="56"/>
        <v>305.28999999999996</v>
      </c>
      <c r="J266" s="104">
        <f t="shared" si="56"/>
        <v>325.28999999999996</v>
      </c>
      <c r="K266" s="104">
        <f t="shared" si="56"/>
        <v>393.15999999999997</v>
      </c>
      <c r="L266" s="104">
        <f t="shared" si="56"/>
        <v>445.39</v>
      </c>
      <c r="M266" s="104">
        <f t="shared" si="56"/>
        <v>0</v>
      </c>
      <c r="N266" s="107"/>
    </row>
    <row r="267" spans="2:15" hidden="1" outlineLevel="1">
      <c r="N267" s="39"/>
    </row>
    <row r="268" spans="2:15" hidden="1" outlineLevel="1">
      <c r="N268" s="39"/>
    </row>
    <row r="269" spans="2:15" hidden="1" outlineLevel="1">
      <c r="G269" s="35" t="str">
        <f>IF(G266=G9,"OK","ERROR")</f>
        <v>OK</v>
      </c>
      <c r="H269" s="35" t="str">
        <f t="shared" ref="H269:M269" si="57">IF(H266=H9,"OK","ERROR")</f>
        <v>OK</v>
      </c>
      <c r="I269" s="35" t="str">
        <f t="shared" si="57"/>
        <v>OK</v>
      </c>
      <c r="J269" s="35" t="str">
        <f t="shared" si="57"/>
        <v>OK</v>
      </c>
      <c r="K269" s="35" t="str">
        <f t="shared" si="57"/>
        <v>OK</v>
      </c>
      <c r="L269" s="35" t="str">
        <f t="shared" si="57"/>
        <v>OK</v>
      </c>
      <c r="M269" s="35" t="str">
        <f t="shared" si="57"/>
        <v>OK</v>
      </c>
      <c r="N269" s="60"/>
    </row>
    <row r="270" spans="2:15" hidden="1" outlineLevel="1">
      <c r="N270" s="39"/>
    </row>
    <row r="271" spans="2:15">
      <c r="N271" s="39"/>
    </row>
    <row r="272" spans="2:15">
      <c r="N272" s="3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B2288-FCFB-49B8-814E-5311635578F8}">
  <sheetPr codeName="Sheet8">
    <tabColor rgb="FFFF0000"/>
  </sheetPr>
  <dimension ref="B1:T103"/>
  <sheetViews>
    <sheetView showGridLines="0" zoomScaleNormal="100" workbookViewId="0">
      <pane ySplit="3" topLeftCell="A4" activePane="bottomLeft" state="frozen"/>
      <selection activeCell="H19" sqref="H19"/>
      <selection pane="bottomLeft" activeCell="F86" sqref="F86"/>
    </sheetView>
  </sheetViews>
  <sheetFormatPr defaultColWidth="11.77734375" defaultRowHeight="15"/>
  <cols>
    <col min="1" max="1" width="2.6640625" style="2" customWidth="1"/>
    <col min="2" max="22" width="15.5546875" style="2" customWidth="1"/>
    <col min="23" max="16384" width="11.77734375" style="2"/>
  </cols>
  <sheetData>
    <row r="1" spans="2:20" ht="15.6">
      <c r="G1" s="39"/>
      <c r="H1" s="39"/>
      <c r="I1" s="39"/>
      <c r="J1" s="40"/>
      <c r="K1" s="39"/>
      <c r="L1" s="39"/>
      <c r="M1" s="10"/>
      <c r="N1" s="10"/>
      <c r="O1" s="10"/>
      <c r="P1" s="10"/>
      <c r="Q1" s="10"/>
      <c r="R1" s="10"/>
      <c r="S1" s="10"/>
      <c r="T1" s="10"/>
    </row>
    <row r="2" spans="2:20" ht="15.6">
      <c r="G2" s="41"/>
      <c r="I2" s="41"/>
      <c r="J2" s="42" t="s">
        <v>172</v>
      </c>
      <c r="K2" s="41"/>
      <c r="L2" s="41"/>
      <c r="N2" s="5"/>
      <c r="O2" s="10"/>
      <c r="P2" s="10"/>
      <c r="Q2" s="10"/>
      <c r="R2" s="10"/>
      <c r="S2" s="10"/>
      <c r="T2" s="10"/>
    </row>
    <row r="3" spans="2:20" ht="15.6">
      <c r="B3" s="43" t="s">
        <v>78</v>
      </c>
      <c r="C3" s="36"/>
      <c r="D3" s="43" t="s">
        <v>280</v>
      </c>
      <c r="E3" s="36"/>
      <c r="F3" s="36"/>
      <c r="G3" s="38">
        <v>43190</v>
      </c>
      <c r="H3" s="38">
        <v>43555</v>
      </c>
      <c r="I3" s="38">
        <v>43921</v>
      </c>
      <c r="J3" s="38">
        <v>44286</v>
      </c>
      <c r="K3" s="38">
        <v>44651</v>
      </c>
      <c r="L3" s="38">
        <v>45016</v>
      </c>
      <c r="M3" s="38"/>
      <c r="N3" s="36"/>
      <c r="O3" s="10"/>
      <c r="P3" s="10"/>
      <c r="Q3" s="10"/>
      <c r="R3" s="10"/>
      <c r="S3" s="10"/>
      <c r="T3" s="10"/>
    </row>
    <row r="4" spans="2:20" ht="15.6">
      <c r="L4"/>
    </row>
    <row r="5" spans="2:20" ht="15.6">
      <c r="B5" s="3" t="s">
        <v>281</v>
      </c>
      <c r="O5" s="114" t="s">
        <v>304</v>
      </c>
    </row>
    <row r="6" spans="2:20">
      <c r="G6" s="112"/>
      <c r="H6" s="112"/>
      <c r="I6" s="112"/>
      <c r="J6" s="112"/>
      <c r="K6" s="112"/>
      <c r="L6" s="112"/>
      <c r="O6" s="2" t="s">
        <v>305</v>
      </c>
    </row>
    <row r="7" spans="2:20">
      <c r="C7" s="2" t="s">
        <v>282</v>
      </c>
      <c r="G7" s="112">
        <f>'P&amp;L'!G36</f>
        <v>1693.0899999999995</v>
      </c>
      <c r="H7" s="112">
        <f>'P&amp;L'!H36</f>
        <v>1724.8700000000001</v>
      </c>
      <c r="I7" s="112">
        <f>'P&amp;L'!I36</f>
        <v>1727.6400000000024</v>
      </c>
      <c r="J7" s="112">
        <f>'P&amp;L'!J36</f>
        <v>2056.0200000000004</v>
      </c>
      <c r="K7" s="112">
        <f>'P&amp;L'!K36</f>
        <v>2268.6799999999994</v>
      </c>
      <c r="L7" s="112">
        <f>'P&amp;L'!L36</f>
        <v>2218.6799999999994</v>
      </c>
      <c r="M7" s="11"/>
    </row>
    <row r="8" spans="2:20">
      <c r="G8" s="112"/>
      <c r="H8" s="112"/>
      <c r="I8" s="112"/>
      <c r="J8" s="112"/>
      <c r="K8" s="112"/>
      <c r="L8" s="112"/>
      <c r="M8" s="11"/>
    </row>
    <row r="9" spans="2:20" ht="15.6">
      <c r="C9" s="3" t="s">
        <v>302</v>
      </c>
      <c r="G9" s="112"/>
      <c r="H9" s="112"/>
      <c r="I9" s="112"/>
      <c r="J9" s="112"/>
      <c r="K9" s="112"/>
      <c r="L9" s="112"/>
      <c r="M9" s="11"/>
    </row>
    <row r="10" spans="2:20">
      <c r="G10" s="112"/>
      <c r="H10" s="112"/>
      <c r="I10" s="112"/>
      <c r="J10" s="112"/>
      <c r="K10" s="112"/>
      <c r="L10" s="112"/>
      <c r="M10" s="11"/>
    </row>
    <row r="11" spans="2:20">
      <c r="D11" s="2" t="s">
        <v>283</v>
      </c>
      <c r="G11" s="112">
        <f>'P&amp;L'!G21*-1</f>
        <v>162.18</v>
      </c>
      <c r="H11" s="112">
        <f>'P&amp;L'!H21*-1</f>
        <v>176.9</v>
      </c>
      <c r="I11" s="112">
        <f>'P&amp;L'!I21*-1</f>
        <v>220.45</v>
      </c>
      <c r="J11" s="112">
        <f>'P&amp;L'!J21*-1</f>
        <v>240.13</v>
      </c>
      <c r="K11" s="112">
        <f>'P&amp;L'!K21*-1</f>
        <v>252.89</v>
      </c>
      <c r="L11" s="112">
        <f>'P&amp;L'!L21*-1</f>
        <v>310.95999999999998</v>
      </c>
      <c r="M11" s="11"/>
    </row>
    <row r="12" spans="2:20">
      <c r="D12" s="2" t="s">
        <v>284</v>
      </c>
      <c r="G12" s="112">
        <f>'P&amp;L'!G19*-1</f>
        <v>42.38</v>
      </c>
      <c r="H12" s="112">
        <f>'P&amp;L'!H19*-1</f>
        <v>49.2</v>
      </c>
      <c r="I12" s="112">
        <f>'P&amp;L'!I19*-1</f>
        <v>41.12</v>
      </c>
      <c r="J12" s="112">
        <f>'P&amp;L'!J19*-1</f>
        <v>24.05</v>
      </c>
      <c r="K12" s="112">
        <f>'P&amp;L'!K19*-1</f>
        <v>20.61</v>
      </c>
      <c r="L12" s="112">
        <f>'P&amp;L'!L19*-1</f>
        <v>58.51</v>
      </c>
      <c r="M12" s="11"/>
    </row>
    <row r="13" spans="2:20">
      <c r="D13" s="2" t="s">
        <v>286</v>
      </c>
      <c r="G13" s="112">
        <f>'P&amp;L'!G20*-1</f>
        <v>10.67</v>
      </c>
      <c r="H13" s="112">
        <f>'P&amp;L'!H20*-1</f>
        <v>10.38</v>
      </c>
      <c r="I13" s="112">
        <f>'P&amp;L'!I20*-1</f>
        <v>8.42</v>
      </c>
      <c r="J13" s="112">
        <f>'P&amp;L'!J20*-1</f>
        <v>6.76</v>
      </c>
      <c r="K13" s="112">
        <f>'P&amp;L'!K20*-1</f>
        <v>17.989999999999998</v>
      </c>
      <c r="L13" s="112">
        <f>'P&amp;L'!L20*-1</f>
        <v>19.73</v>
      </c>
      <c r="M13" s="11"/>
    </row>
    <row r="14" spans="2:20">
      <c r="D14" s="2" t="s">
        <v>287</v>
      </c>
      <c r="G14" s="112">
        <f>'P&amp;L'!G259*-1</f>
        <v>-241.51999999999998</v>
      </c>
      <c r="H14" s="112">
        <f>'P&amp;L'!H259*-1</f>
        <v>-249.39</v>
      </c>
      <c r="I14" s="112">
        <f>'P&amp;L'!I259*-1</f>
        <v>-241.2</v>
      </c>
      <c r="J14" s="112">
        <f>'P&amp;L'!J259*-1</f>
        <v>-260.77999999999997</v>
      </c>
      <c r="K14" s="112">
        <f>'P&amp;L'!K259*-1</f>
        <v>-323.33999999999997</v>
      </c>
      <c r="L14" s="112">
        <f>'P&amp;L'!L259*-1</f>
        <v>-361.13</v>
      </c>
      <c r="M14" s="11"/>
    </row>
    <row r="15" spans="2:20">
      <c r="D15" s="2" t="s">
        <v>296</v>
      </c>
      <c r="G15" s="112">
        <f>'P&amp;L'!G264*-1</f>
        <v>-63.65</v>
      </c>
      <c r="H15" s="112">
        <f>'P&amp;L'!H264*-1</f>
        <v>-46.78</v>
      </c>
      <c r="I15" s="112">
        <f>'P&amp;L'!I264*-1</f>
        <v>-64.09</v>
      </c>
      <c r="J15" s="112">
        <f>'P&amp;L'!J264*-1</f>
        <v>-64.510000000000005</v>
      </c>
      <c r="K15" s="112">
        <f>'P&amp;L'!K264*-1</f>
        <v>-69.819999999999993</v>
      </c>
      <c r="L15" s="112">
        <f>'P&amp;L'!L264*-1</f>
        <v>-84.26</v>
      </c>
      <c r="M15" s="11"/>
    </row>
    <row r="16" spans="2:20">
      <c r="D16" s="2" t="s">
        <v>297</v>
      </c>
      <c r="G16" s="112">
        <f>'P&amp;L'!G262*-1</f>
        <v>-0.01</v>
      </c>
      <c r="H16" s="112">
        <f>'P&amp;L'!H262*-1</f>
        <v>0</v>
      </c>
      <c r="I16" s="112">
        <f>'P&amp;L'!I262*-1</f>
        <v>0</v>
      </c>
      <c r="J16" s="112">
        <f>'P&amp;L'!J262*-1</f>
        <v>0</v>
      </c>
      <c r="K16" s="112">
        <f>'P&amp;L'!K262*-1</f>
        <v>0</v>
      </c>
      <c r="L16" s="112">
        <f>'P&amp;L'!L262*-1</f>
        <v>0</v>
      </c>
      <c r="M16" s="11"/>
    </row>
    <row r="17" spans="3:14">
      <c r="D17" s="2" t="s">
        <v>300</v>
      </c>
      <c r="G17" s="112">
        <f>G20-SUM(G7:G16)</f>
        <v>75.030000000000427</v>
      </c>
      <c r="H17" s="112">
        <f t="shared" ref="H17:L17" si="0">H20-SUM(H7:H16)</f>
        <v>202.75999999999954</v>
      </c>
      <c r="I17" s="112">
        <f t="shared" si="0"/>
        <v>288.20999999999754</v>
      </c>
      <c r="J17" s="112">
        <f t="shared" si="0"/>
        <v>45.9599999999989</v>
      </c>
      <c r="K17" s="112">
        <f t="shared" si="0"/>
        <v>119.70000000000118</v>
      </c>
      <c r="L17" s="112">
        <f t="shared" si="0"/>
        <v>-19.539999999999509</v>
      </c>
      <c r="M17" s="11"/>
    </row>
    <row r="18" spans="3:14">
      <c r="M18" s="11"/>
    </row>
    <row r="19" spans="3:14">
      <c r="M19" s="11"/>
    </row>
    <row r="20" spans="3:14" ht="15.6">
      <c r="D20" s="3" t="s">
        <v>298</v>
      </c>
      <c r="G20" s="113">
        <v>1678.17</v>
      </c>
      <c r="H20" s="113">
        <v>1867.94</v>
      </c>
      <c r="I20" s="113">
        <v>1980.55</v>
      </c>
      <c r="J20" s="113">
        <v>2047.63</v>
      </c>
      <c r="K20" s="113">
        <v>2286.71</v>
      </c>
      <c r="L20" s="113">
        <v>2142.9499999999998</v>
      </c>
      <c r="M20" s="11"/>
    </row>
    <row r="21" spans="3:14" ht="15.6">
      <c r="D21" s="3" t="s">
        <v>299</v>
      </c>
      <c r="G21" s="112"/>
      <c r="H21" s="112"/>
      <c r="I21" s="112"/>
      <c r="J21" s="112"/>
      <c r="K21" s="112"/>
      <c r="L21" s="112"/>
      <c r="M21" s="11"/>
    </row>
    <row r="22" spans="3:14">
      <c r="G22" s="135" t="str">
        <f>IF(G20=SUM(G7:G17),"OK","ERROR")</f>
        <v>OK</v>
      </c>
      <c r="H22" s="135" t="str">
        <f t="shared" ref="H22:L22" si="1">IF(H20=SUM(H7:H17),"OK","ERROR")</f>
        <v>OK</v>
      </c>
      <c r="I22" s="135" t="str">
        <f t="shared" si="1"/>
        <v>OK</v>
      </c>
      <c r="J22" s="135" t="str">
        <f t="shared" si="1"/>
        <v>OK</v>
      </c>
      <c r="K22" s="135" t="str">
        <f t="shared" si="1"/>
        <v>OK</v>
      </c>
      <c r="L22" s="135" t="str">
        <f t="shared" si="1"/>
        <v>OK</v>
      </c>
      <c r="M22" s="11"/>
      <c r="N22" s="2" t="s">
        <v>418</v>
      </c>
    </row>
    <row r="23" spans="3:14" ht="15.6">
      <c r="C23" s="3" t="s">
        <v>301</v>
      </c>
      <c r="G23" s="112"/>
      <c r="H23" s="112"/>
      <c r="I23" s="112"/>
      <c r="J23" s="112"/>
      <c r="K23" s="112"/>
      <c r="L23" s="112"/>
      <c r="M23" s="11"/>
    </row>
    <row r="24" spans="3:14">
      <c r="G24" s="112"/>
      <c r="H24" s="112"/>
      <c r="I24" s="112"/>
      <c r="J24" s="112"/>
      <c r="K24" s="112"/>
      <c r="L24" s="112"/>
      <c r="M24" s="11"/>
    </row>
    <row r="25" spans="3:14">
      <c r="D25" s="2" t="s">
        <v>303</v>
      </c>
      <c r="G25" s="115">
        <v>-149.47</v>
      </c>
      <c r="H25" s="112">
        <f>(BS!H25-BS!G25)*-1</f>
        <v>-44.349999999999909</v>
      </c>
      <c r="I25" s="112">
        <f>(BS!I25-BS!H25)*-1</f>
        <v>-79.039999999999964</v>
      </c>
      <c r="J25" s="112">
        <f>(BS!J25-BS!I25)*-1</f>
        <v>-354.71000000000004</v>
      </c>
      <c r="K25" s="112">
        <f>(BS!K25-BS!J25)*-1</f>
        <v>-177.08999999999992</v>
      </c>
      <c r="L25" s="112">
        <f>(BS!L25-BS!K25)*-1</f>
        <v>-112.83000000000015</v>
      </c>
      <c r="M25" s="11"/>
    </row>
    <row r="26" spans="3:14">
      <c r="D26" s="2" t="s">
        <v>306</v>
      </c>
      <c r="G26" s="115">
        <v>-59.89</v>
      </c>
      <c r="H26" s="112">
        <f>-1*(BS!H28-BS!G28)</f>
        <v>-127.4799999999999</v>
      </c>
      <c r="I26" s="112">
        <f>-1*(BS!I28-BS!H28)</f>
        <v>19.669999999999959</v>
      </c>
      <c r="J26" s="112">
        <f>-1*(BS!J28-BS!I28)</f>
        <v>252.30999999999995</v>
      </c>
      <c r="K26" s="112">
        <f>-1*(BS!K28-BS!J28)</f>
        <v>-84.569999999999936</v>
      </c>
      <c r="L26" s="112">
        <f>-1*(BS!L28-BS!K28)</f>
        <v>-202.60000000000002</v>
      </c>
      <c r="M26" s="11"/>
    </row>
    <row r="27" spans="3:14">
      <c r="D27" s="2" t="s">
        <v>307</v>
      </c>
      <c r="G27" s="115">
        <v>85.75</v>
      </c>
      <c r="H27" s="112">
        <f>((BS!H65+BS!H64)-(BS!G64+BS!G65))</f>
        <v>45.1099999999999</v>
      </c>
      <c r="I27" s="112">
        <f>((BS!I65+BS!I64)-(BS!H64+BS!H65))</f>
        <v>26.720000000000255</v>
      </c>
      <c r="J27" s="112">
        <f>((BS!J65+BS!J64)-(BS!I64+BS!I65))</f>
        <v>433.11000000000013</v>
      </c>
      <c r="K27" s="112">
        <f>((BS!K65+BS!K64)-(BS!J64+BS!J65))</f>
        <v>102.68999999999983</v>
      </c>
      <c r="L27" s="112">
        <f>((BS!L65+BS!L64)-(BS!K64+BS!K65))</f>
        <v>168.65999999999963</v>
      </c>
      <c r="M27" s="11"/>
    </row>
    <row r="28" spans="3:14">
      <c r="D28" s="2" t="s">
        <v>308</v>
      </c>
      <c r="G28" s="112">
        <f>G31-SUM(G25:G27)-G20</f>
        <v>-138.13999999999987</v>
      </c>
      <c r="H28" s="112">
        <f t="shared" ref="H28:L28" si="2">H31-SUM(H25:H27)-H20</f>
        <v>108.63999999999987</v>
      </c>
      <c r="I28" s="112">
        <f t="shared" si="2"/>
        <v>-25.340000000000373</v>
      </c>
      <c r="J28" s="112">
        <f t="shared" si="2"/>
        <v>57.649999999999636</v>
      </c>
      <c r="K28" s="112">
        <f t="shared" si="2"/>
        <v>62.1899999999996</v>
      </c>
      <c r="L28" s="112">
        <f t="shared" si="2"/>
        <v>-13.299999999999272</v>
      </c>
      <c r="M28" s="11"/>
    </row>
    <row r="29" spans="3:14">
      <c r="G29" s="112"/>
      <c r="H29" s="112"/>
      <c r="I29" s="112"/>
      <c r="J29" s="112"/>
      <c r="K29" s="112"/>
      <c r="L29" s="112"/>
      <c r="M29" s="11"/>
    </row>
    <row r="30" spans="3:14">
      <c r="G30" s="112"/>
      <c r="H30" s="112"/>
      <c r="I30" s="112"/>
      <c r="J30" s="112"/>
      <c r="K30" s="112"/>
      <c r="L30" s="112"/>
      <c r="M30" s="11"/>
    </row>
    <row r="31" spans="3:14" ht="15.6">
      <c r="D31" s="3" t="s">
        <v>309</v>
      </c>
      <c r="G31" s="113">
        <v>1416.42</v>
      </c>
      <c r="H31" s="113">
        <v>1849.86</v>
      </c>
      <c r="I31" s="113">
        <v>1922.56</v>
      </c>
      <c r="J31" s="113">
        <v>2435.9899999999998</v>
      </c>
      <c r="K31" s="113">
        <v>2189.9299999999998</v>
      </c>
      <c r="L31" s="113">
        <v>1982.88</v>
      </c>
      <c r="M31" s="11"/>
    </row>
    <row r="32" spans="3:14" ht="15.6">
      <c r="D32" s="3" t="s">
        <v>310</v>
      </c>
      <c r="G32" s="112"/>
      <c r="H32" s="112"/>
      <c r="I32" s="112"/>
      <c r="J32" s="112"/>
      <c r="K32" s="112"/>
      <c r="L32" s="112"/>
      <c r="M32" s="11"/>
    </row>
    <row r="33" spans="2:14" ht="15.6">
      <c r="D33" s="3"/>
      <c r="G33" s="135" t="str">
        <f>IF(G31=SUM(G20,G25,G26,G28,G27),"OK","ERROR")</f>
        <v>OK</v>
      </c>
      <c r="H33" s="135" t="str">
        <f t="shared" ref="H33:L33" si="3">IF(H31=SUM(H20,H25,H26,H28,H27),"OK","ERROR")</f>
        <v>OK</v>
      </c>
      <c r="I33" s="135" t="str">
        <f t="shared" si="3"/>
        <v>OK</v>
      </c>
      <c r="J33" s="135" t="str">
        <f t="shared" si="3"/>
        <v>OK</v>
      </c>
      <c r="K33" s="135" t="str">
        <f t="shared" si="3"/>
        <v>OK</v>
      </c>
      <c r="L33" s="135" t="str">
        <f t="shared" si="3"/>
        <v>OK</v>
      </c>
      <c r="M33" s="11"/>
      <c r="N33" s="2" t="s">
        <v>418</v>
      </c>
    </row>
    <row r="34" spans="2:14" ht="15.6">
      <c r="D34" s="3"/>
      <c r="G34" s="112"/>
      <c r="H34" s="112"/>
      <c r="I34" s="112"/>
      <c r="J34" s="112"/>
      <c r="K34" s="112"/>
      <c r="L34" s="112"/>
      <c r="M34" s="11"/>
    </row>
    <row r="35" spans="2:14" ht="15.6">
      <c r="D35" s="3"/>
      <c r="G35" s="112"/>
      <c r="H35" s="112"/>
      <c r="I35" s="112"/>
      <c r="J35" s="112"/>
      <c r="K35" s="112"/>
      <c r="L35" s="112"/>
      <c r="M35" s="11"/>
    </row>
    <row r="36" spans="2:14">
      <c r="G36" s="112"/>
      <c r="H36" s="112"/>
      <c r="I36" s="112"/>
      <c r="J36" s="112"/>
      <c r="K36" s="112"/>
      <c r="L36" s="112"/>
      <c r="M36" s="11"/>
    </row>
    <row r="37" spans="2:14">
      <c r="D37" s="2" t="s">
        <v>311</v>
      </c>
      <c r="G37" s="115">
        <v>-324.92</v>
      </c>
      <c r="H37" s="115">
        <v>-350.73</v>
      </c>
      <c r="I37" s="115">
        <v>-308.94</v>
      </c>
      <c r="J37" s="115">
        <v>-321.32</v>
      </c>
      <c r="K37" s="115">
        <v>-387.6</v>
      </c>
      <c r="L37" s="115">
        <v>-494.45</v>
      </c>
      <c r="M37" s="11"/>
    </row>
    <row r="38" spans="2:14">
      <c r="D38" s="2" t="s">
        <v>312</v>
      </c>
      <c r="G38" s="112"/>
      <c r="H38" s="112"/>
      <c r="I38" s="112"/>
      <c r="J38" s="112"/>
      <c r="K38" s="112"/>
      <c r="L38" s="112"/>
      <c r="M38" s="11"/>
    </row>
    <row r="39" spans="2:14">
      <c r="G39" s="112"/>
      <c r="H39" s="112"/>
      <c r="I39" s="112"/>
      <c r="J39" s="112"/>
      <c r="K39" s="112"/>
      <c r="L39" s="112"/>
      <c r="M39" s="11"/>
    </row>
    <row r="40" spans="2:14">
      <c r="G40" s="112"/>
      <c r="H40" s="112"/>
      <c r="I40" s="112"/>
      <c r="J40" s="112"/>
      <c r="K40" s="112"/>
      <c r="L40" s="112"/>
      <c r="M40" s="11"/>
    </row>
    <row r="41" spans="2:14" ht="15.6">
      <c r="D41" s="12" t="s">
        <v>313</v>
      </c>
      <c r="E41" s="13"/>
      <c r="F41" s="13"/>
      <c r="G41" s="14">
        <f>G31+G37</f>
        <v>1091.5</v>
      </c>
      <c r="H41" s="14">
        <f t="shared" ref="H41:L41" si="4">H31+H37</f>
        <v>1499.1299999999999</v>
      </c>
      <c r="I41" s="14">
        <f t="shared" si="4"/>
        <v>1613.62</v>
      </c>
      <c r="J41" s="14">
        <f t="shared" si="4"/>
        <v>2114.6699999999996</v>
      </c>
      <c r="K41" s="14">
        <f t="shared" si="4"/>
        <v>1802.33</v>
      </c>
      <c r="L41" s="14">
        <f t="shared" si="4"/>
        <v>1488.43</v>
      </c>
      <c r="M41" s="11"/>
    </row>
    <row r="42" spans="2:14">
      <c r="G42" s="11"/>
      <c r="H42" s="11"/>
      <c r="I42" s="11"/>
      <c r="J42" s="11"/>
      <c r="K42" s="11"/>
      <c r="L42" s="11"/>
      <c r="M42" s="11"/>
    </row>
    <row r="43" spans="2:14" ht="15.6">
      <c r="B43" s="3" t="s">
        <v>314</v>
      </c>
      <c r="G43" s="11"/>
      <c r="H43" s="11"/>
      <c r="I43" s="11"/>
      <c r="J43" s="11"/>
      <c r="K43" s="11"/>
      <c r="L43" s="11"/>
      <c r="M43" s="11"/>
    </row>
    <row r="44" spans="2:14" ht="15.6">
      <c r="D44" s="3" t="s">
        <v>801</v>
      </c>
      <c r="G44" s="11">
        <f>-(BS!G110+BS!G118+BS!G143+BS!G151+BS!G177+BS!G185)</f>
        <v>-230.88000000000005</v>
      </c>
      <c r="H44" s="11">
        <f>-(BS!H110+BS!H118+BS!H143+BS!H151+BS!H177+BS!H185)</f>
        <v>-193.32000000000045</v>
      </c>
      <c r="I44" s="11">
        <f>-(BS!I110+BS!I118+BS!I143+BS!I151+BS!I177+BS!I185)</f>
        <v>-504.16999999999996</v>
      </c>
      <c r="J44" s="11">
        <f>-(BS!J110+BS!J118+BS!J143+BS!J151+BS!J177+BS!J185)</f>
        <v>-230.32999999999981</v>
      </c>
      <c r="K44" s="11">
        <f>-(BS!K110+BS!K118+BS!K143+BS!K151+BS!K177+BS!K185)</f>
        <v>-402.73</v>
      </c>
      <c r="L44" s="11">
        <f>-(BS!L110+BS!L118+BS!L143+BS!L151+BS!L177+BS!L185)</f>
        <v>-1427.6099999999997</v>
      </c>
      <c r="N44" s="2" t="s">
        <v>321</v>
      </c>
    </row>
    <row r="45" spans="2:14">
      <c r="D45" s="2" t="s">
        <v>319</v>
      </c>
      <c r="G45" s="11"/>
      <c r="H45" s="11"/>
      <c r="I45" s="11"/>
      <c r="J45" s="11"/>
      <c r="K45" s="11"/>
      <c r="L45" s="11"/>
    </row>
    <row r="46" spans="2:14">
      <c r="G46" s="11"/>
      <c r="H46" s="11"/>
      <c r="I46" s="11"/>
      <c r="J46" s="11"/>
      <c r="K46" s="11"/>
      <c r="L46" s="11"/>
    </row>
    <row r="47" spans="2:14">
      <c r="D47" s="2" t="s">
        <v>802</v>
      </c>
      <c r="G47" s="11">
        <f>BS!G119+BS!G152+BS!G186</f>
        <v>28.830000000000048</v>
      </c>
      <c r="H47" s="11">
        <f>BS!H119+BS!H152+BS!H186</f>
        <v>24.730000000000018</v>
      </c>
      <c r="I47" s="11">
        <f>BS!I119+BS!I152+BS!I186</f>
        <v>13.53000000000006</v>
      </c>
      <c r="J47" s="11">
        <f>BS!J119+BS!J152+BS!J186</f>
        <v>80.819999999999823</v>
      </c>
      <c r="K47" s="11">
        <f>BS!K119+BS!K152+BS!K186</f>
        <v>55.590000000000096</v>
      </c>
      <c r="L47" s="11">
        <f>BS!L119+BS!L152+BS!L186</f>
        <v>39.880000000000003</v>
      </c>
      <c r="N47" s="2" t="s">
        <v>803</v>
      </c>
    </row>
    <row r="49" spans="2:14">
      <c r="G49" s="52" t="str">
        <f>IF(G44+G47=BS!G202*-1,"OK","ERROR")</f>
        <v>OK</v>
      </c>
      <c r="H49" s="52" t="str">
        <f>IF(H44+H47=BS!H202*-1,"OK","ERROR")</f>
        <v>OK</v>
      </c>
      <c r="I49" s="52" t="str">
        <f>IF(I44+I47=BS!I202*-1,"OK","ERROR")</f>
        <v>OK</v>
      </c>
      <c r="J49" s="52" t="str">
        <f>IF(J44+J47=BS!J202*-1,"OK","ERROR")</f>
        <v>OK</v>
      </c>
      <c r="K49" s="52" t="str">
        <f>IF(K44+K47=BS!K202*-1,"OK","ERROR")</f>
        <v>OK</v>
      </c>
      <c r="L49" s="52" t="str">
        <f>IF(L44+L47=BS!L202*-1,"OK","ERROR")</f>
        <v>OK</v>
      </c>
      <c r="N49" s="2" t="s">
        <v>320</v>
      </c>
    </row>
    <row r="51" spans="2:14">
      <c r="D51" s="2" t="s">
        <v>322</v>
      </c>
      <c r="G51" s="2">
        <f>G14*-1</f>
        <v>241.51999999999998</v>
      </c>
      <c r="H51" s="2">
        <f t="shared" ref="H51:L51" si="5">H14*-1</f>
        <v>249.39</v>
      </c>
      <c r="I51" s="2">
        <f t="shared" si="5"/>
        <v>241.2</v>
      </c>
      <c r="J51" s="2">
        <f t="shared" si="5"/>
        <v>260.77999999999997</v>
      </c>
      <c r="K51" s="2">
        <f t="shared" si="5"/>
        <v>323.33999999999997</v>
      </c>
      <c r="L51" s="2">
        <f t="shared" si="5"/>
        <v>361.13</v>
      </c>
    </row>
    <row r="53" spans="2:14">
      <c r="D53" s="2" t="s">
        <v>324</v>
      </c>
      <c r="G53" s="11">
        <f>G57-SUM(G44,G47,G51)</f>
        <v>-579.46</v>
      </c>
      <c r="H53" s="11">
        <f t="shared" ref="H53:L53" si="6">H57-SUM(H44,H47,H51)</f>
        <v>256.11000000000047</v>
      </c>
      <c r="I53" s="11">
        <f t="shared" si="6"/>
        <v>-267.40000000000015</v>
      </c>
      <c r="J53" s="11">
        <f t="shared" si="6"/>
        <v>-1517.05</v>
      </c>
      <c r="K53" s="11">
        <f t="shared" si="6"/>
        <v>-1251.6500000000001</v>
      </c>
      <c r="L53" s="11">
        <f t="shared" si="6"/>
        <v>440.05999999999949</v>
      </c>
    </row>
    <row r="54" spans="2:14">
      <c r="D54" s="2" t="s">
        <v>325</v>
      </c>
    </row>
    <row r="57" spans="2:14" ht="15.6">
      <c r="D57" s="12" t="s">
        <v>323</v>
      </c>
      <c r="E57" s="13"/>
      <c r="F57" s="13"/>
      <c r="G57" s="44">
        <v>-539.99</v>
      </c>
      <c r="H57" s="44">
        <v>336.91</v>
      </c>
      <c r="I57" s="44">
        <v>-516.84</v>
      </c>
      <c r="J57" s="44">
        <v>-1405.78</v>
      </c>
      <c r="K57" s="44">
        <v>-1275.45</v>
      </c>
      <c r="L57" s="44">
        <v>-586.54</v>
      </c>
    </row>
    <row r="59" spans="2:14" ht="15.6">
      <c r="B59" s="3" t="s">
        <v>326</v>
      </c>
      <c r="G59" s="11"/>
      <c r="H59" s="11"/>
      <c r="I59" s="11"/>
      <c r="J59" s="11"/>
      <c r="K59" s="11"/>
      <c r="L59" s="11"/>
    </row>
    <row r="60" spans="2:14">
      <c r="D60" s="2" t="s">
        <v>327</v>
      </c>
      <c r="G60" s="112">
        <f>(G12+G13)*-1</f>
        <v>-53.050000000000004</v>
      </c>
      <c r="H60" s="112">
        <f t="shared" ref="H60:L60" si="7">(H12+H13)*-1</f>
        <v>-59.580000000000005</v>
      </c>
      <c r="I60" s="112">
        <f t="shared" si="7"/>
        <v>-49.54</v>
      </c>
      <c r="J60" s="112">
        <f t="shared" si="7"/>
        <v>-30.810000000000002</v>
      </c>
      <c r="K60" s="112">
        <f t="shared" si="7"/>
        <v>-38.599999999999994</v>
      </c>
      <c r="L60" s="112">
        <f t="shared" si="7"/>
        <v>-78.239999999999995</v>
      </c>
    </row>
    <row r="61" spans="2:14">
      <c r="D61" s="2" t="s">
        <v>328</v>
      </c>
      <c r="G61" s="112"/>
      <c r="H61" s="112"/>
      <c r="I61" s="112"/>
      <c r="J61" s="112"/>
      <c r="K61" s="112"/>
      <c r="L61" s="112"/>
    </row>
    <row r="62" spans="2:14">
      <c r="G62" s="112"/>
      <c r="H62" s="112"/>
      <c r="I62" s="112"/>
      <c r="J62" s="112"/>
      <c r="K62" s="112"/>
      <c r="L62" s="112"/>
    </row>
    <row r="63" spans="2:14">
      <c r="D63" s="2" t="s">
        <v>329</v>
      </c>
      <c r="G63" s="115">
        <v>0</v>
      </c>
      <c r="H63" s="115">
        <v>0.48</v>
      </c>
      <c r="I63" s="115">
        <v>0.08</v>
      </c>
      <c r="J63" s="115">
        <v>0.03</v>
      </c>
      <c r="K63" s="115">
        <v>0.05</v>
      </c>
      <c r="L63" s="115">
        <v>0.39</v>
      </c>
    </row>
    <row r="64" spans="2:14" ht="15.6">
      <c r="B64" s="3" t="s">
        <v>344</v>
      </c>
      <c r="C64" s="3" t="s">
        <v>343</v>
      </c>
      <c r="D64" s="2" t="s">
        <v>330</v>
      </c>
      <c r="G64" s="112">
        <f t="shared" ref="G64:L64" si="8">G94</f>
        <v>-57.27</v>
      </c>
      <c r="H64" s="112">
        <f t="shared" si="8"/>
        <v>-240.14999999999998</v>
      </c>
      <c r="I64" s="112">
        <f t="shared" si="8"/>
        <v>-357.98</v>
      </c>
      <c r="J64" s="112">
        <f t="shared" si="8"/>
        <v>36.88000000000001</v>
      </c>
      <c r="K64" s="112">
        <f t="shared" si="8"/>
        <v>540.79999999999995</v>
      </c>
      <c r="L64" s="112">
        <f t="shared" si="8"/>
        <v>48.78</v>
      </c>
    </row>
    <row r="65" spans="2:12">
      <c r="D65" s="2" t="s">
        <v>331</v>
      </c>
      <c r="G65" s="115">
        <v>-396.34</v>
      </c>
      <c r="H65" s="115">
        <v>-1324.71</v>
      </c>
      <c r="I65" s="115">
        <v>-512.45000000000005</v>
      </c>
      <c r="J65" s="115">
        <v>-592.09</v>
      </c>
      <c r="K65" s="115">
        <v>-972.32</v>
      </c>
      <c r="L65" s="115">
        <v>-921.31</v>
      </c>
    </row>
    <row r="66" spans="2:12">
      <c r="D66" s="2" t="s">
        <v>340</v>
      </c>
      <c r="G66" s="115">
        <v>-80.69</v>
      </c>
      <c r="H66" s="115">
        <v>-272.3</v>
      </c>
      <c r="I66" s="115">
        <v>-105.33</v>
      </c>
      <c r="J66" s="115">
        <v>0</v>
      </c>
      <c r="K66" s="115">
        <v>0</v>
      </c>
      <c r="L66" s="115">
        <v>0</v>
      </c>
    </row>
    <row r="67" spans="2:12">
      <c r="D67" s="2" t="s">
        <v>337</v>
      </c>
      <c r="G67" s="112">
        <f>G70-SUM(G60:G66)</f>
        <v>10.239999999999895</v>
      </c>
      <c r="H67" s="112">
        <f t="shared" ref="H67:L67" si="9">H70-SUM(H60:H66)</f>
        <v>8.0599999999999454</v>
      </c>
      <c r="I67" s="112">
        <f t="shared" si="9"/>
        <v>-17.75</v>
      </c>
      <c r="J67" s="112">
        <f t="shared" si="9"/>
        <v>-27.419999999999959</v>
      </c>
      <c r="K67" s="112">
        <f t="shared" si="9"/>
        <v>-20.419999999999902</v>
      </c>
      <c r="L67" s="112">
        <f t="shared" si="9"/>
        <v>-84.860000000000127</v>
      </c>
    </row>
    <row r="68" spans="2:12">
      <c r="D68" s="2" t="s">
        <v>338</v>
      </c>
      <c r="G68" s="112"/>
      <c r="H68" s="112"/>
      <c r="I68" s="112"/>
      <c r="J68" s="112"/>
      <c r="K68" s="112"/>
      <c r="L68" s="112"/>
    </row>
    <row r="69" spans="2:12">
      <c r="G69" s="11"/>
      <c r="H69" s="11"/>
      <c r="I69" s="11"/>
      <c r="J69" s="11"/>
      <c r="K69" s="11"/>
      <c r="L69" s="11"/>
    </row>
    <row r="70" spans="2:12" ht="15.6">
      <c r="D70" s="12" t="s">
        <v>341</v>
      </c>
      <c r="E70" s="13"/>
      <c r="F70" s="13"/>
      <c r="G70" s="44">
        <v>-577.11</v>
      </c>
      <c r="H70" s="44">
        <v>-1888.2</v>
      </c>
      <c r="I70" s="44">
        <v>-1042.97</v>
      </c>
      <c r="J70" s="44">
        <v>-613.41</v>
      </c>
      <c r="K70" s="44">
        <v>-490.49</v>
      </c>
      <c r="L70" s="44">
        <v>-1035.24</v>
      </c>
    </row>
    <row r="71" spans="2:12">
      <c r="G71" s="11"/>
      <c r="H71" s="11"/>
      <c r="I71" s="11"/>
      <c r="J71" s="11"/>
      <c r="K71" s="11"/>
      <c r="L71" s="11"/>
    </row>
    <row r="72" spans="2:12">
      <c r="G72" s="11"/>
      <c r="H72" s="11"/>
      <c r="I72" s="11"/>
      <c r="J72" s="11"/>
      <c r="K72" s="11"/>
      <c r="L72" s="11"/>
    </row>
    <row r="74" spans="2:12" ht="15.6">
      <c r="B74" s="12" t="s">
        <v>342</v>
      </c>
      <c r="C74" s="13"/>
      <c r="D74" s="13"/>
      <c r="E74" s="13"/>
      <c r="F74" s="13"/>
      <c r="G74" s="116">
        <f>G70+G57+G41</f>
        <v>-25.599999999999909</v>
      </c>
      <c r="H74" s="116">
        <f t="shared" ref="H74:L74" si="10">H70+H57+H41</f>
        <v>-52.160000000000082</v>
      </c>
      <c r="I74" s="116">
        <f t="shared" si="10"/>
        <v>53.809999999999945</v>
      </c>
      <c r="J74" s="116">
        <f t="shared" si="10"/>
        <v>95.479999999999563</v>
      </c>
      <c r="K74" s="116">
        <f t="shared" si="10"/>
        <v>36.389999999999873</v>
      </c>
      <c r="L74" s="116">
        <f t="shared" si="10"/>
        <v>-133.34999999999991</v>
      </c>
    </row>
    <row r="76" spans="2:12" ht="15.6">
      <c r="B76" s="3"/>
      <c r="C76" s="2" t="s">
        <v>345</v>
      </c>
      <c r="G76" s="37"/>
    </row>
    <row r="78" spans="2:12" ht="15.6">
      <c r="B78" s="3" t="s">
        <v>346</v>
      </c>
      <c r="H78" s="112">
        <f>BS!H29-BS!G29</f>
        <v>-46.110000000000014</v>
      </c>
      <c r="I78" s="112">
        <f>BS!I29-BS!H29</f>
        <v>56.25</v>
      </c>
      <c r="J78" s="112">
        <f>BS!J29-BS!I29</f>
        <v>77.289999999999992</v>
      </c>
      <c r="K78" s="112">
        <f>BS!K29-BS!J29</f>
        <v>14.680000000000007</v>
      </c>
      <c r="L78" s="112">
        <f>BS!L29-BS!K29</f>
        <v>-109.09</v>
      </c>
    </row>
    <row r="79" spans="2:12">
      <c r="B79" s="2" t="s">
        <v>347</v>
      </c>
      <c r="H79" s="112">
        <f>H74-H78</f>
        <v>-6.0500000000000682</v>
      </c>
      <c r="I79" s="112">
        <f t="shared" ref="I79:L79" si="11">I74-I78</f>
        <v>-2.4400000000000546</v>
      </c>
      <c r="J79" s="112">
        <f t="shared" si="11"/>
        <v>18.189999999999571</v>
      </c>
      <c r="K79" s="112">
        <f t="shared" si="11"/>
        <v>21.709999999999866</v>
      </c>
      <c r="L79" s="112">
        <f t="shared" si="11"/>
        <v>-24.259999999999906</v>
      </c>
    </row>
    <row r="81" spans="2:12" ht="15.6">
      <c r="H81" s="361">
        <f>SUM(H78:H79)</f>
        <v>-52.160000000000082</v>
      </c>
      <c r="I81" s="361">
        <f t="shared" ref="I81:L81" si="12">SUM(I78:I79)</f>
        <v>53.809999999999945</v>
      </c>
      <c r="J81" s="361">
        <f t="shared" si="12"/>
        <v>95.479999999999563</v>
      </c>
      <c r="K81" s="361">
        <f t="shared" si="12"/>
        <v>36.389999999999873</v>
      </c>
      <c r="L81" s="361">
        <f t="shared" si="12"/>
        <v>-133.34999999999991</v>
      </c>
    </row>
    <row r="82" spans="2:12" ht="15.6">
      <c r="B82" s="3"/>
    </row>
    <row r="88" spans="2:12" ht="15.6">
      <c r="D88" s="3" t="s">
        <v>332</v>
      </c>
      <c r="G88" s="11"/>
      <c r="H88" s="11"/>
      <c r="I88" s="11"/>
      <c r="J88" s="11"/>
      <c r="K88" s="11"/>
      <c r="L88" s="11"/>
    </row>
    <row r="89" spans="2:12">
      <c r="G89" s="11"/>
      <c r="H89" s="11"/>
      <c r="I89" s="11"/>
      <c r="J89" s="11"/>
      <c r="K89" s="11"/>
      <c r="L89" s="11"/>
    </row>
    <row r="90" spans="2:12">
      <c r="G90" s="11"/>
      <c r="H90" s="11"/>
      <c r="I90" s="11"/>
      <c r="J90" s="11"/>
      <c r="K90" s="11"/>
      <c r="L90" s="11"/>
    </row>
    <row r="91" spans="2:12" ht="15.6">
      <c r="C91" s="3" t="s">
        <v>335</v>
      </c>
      <c r="D91" s="2" t="s">
        <v>333</v>
      </c>
      <c r="G91" s="15">
        <v>4.3</v>
      </c>
      <c r="H91" s="15">
        <v>31.81</v>
      </c>
      <c r="I91" s="15">
        <v>0</v>
      </c>
      <c r="J91" s="15">
        <v>64.650000000000006</v>
      </c>
      <c r="K91" s="15">
        <v>540.79999999999995</v>
      </c>
      <c r="L91" s="15">
        <v>50.04</v>
      </c>
    </row>
    <row r="92" spans="2:12">
      <c r="D92" s="2" t="s">
        <v>334</v>
      </c>
      <c r="G92" s="15">
        <v>-61.57</v>
      </c>
      <c r="H92" s="15">
        <v>-271.95999999999998</v>
      </c>
      <c r="I92" s="15">
        <v>-357.98</v>
      </c>
      <c r="J92" s="15">
        <v>-27.77</v>
      </c>
      <c r="K92" s="15">
        <v>0</v>
      </c>
      <c r="L92" s="15">
        <v>-1.26</v>
      </c>
    </row>
    <row r="94" spans="2:12" ht="15.6">
      <c r="D94" s="12" t="s">
        <v>336</v>
      </c>
      <c r="E94" s="13"/>
      <c r="F94" s="13"/>
      <c r="G94" s="14">
        <f>G91+G92</f>
        <v>-57.27</v>
      </c>
      <c r="H94" s="14">
        <f t="shared" ref="H94:L94" si="13">H91+H92</f>
        <v>-240.14999999999998</v>
      </c>
      <c r="I94" s="14">
        <f t="shared" si="13"/>
        <v>-357.98</v>
      </c>
      <c r="J94" s="14">
        <f t="shared" si="13"/>
        <v>36.88000000000001</v>
      </c>
      <c r="K94" s="14">
        <f t="shared" si="13"/>
        <v>540.79999999999995</v>
      </c>
      <c r="L94" s="14">
        <f t="shared" si="13"/>
        <v>48.78</v>
      </c>
    </row>
    <row r="98" spans="3:12" ht="15.6">
      <c r="C98" s="3" t="s">
        <v>571</v>
      </c>
      <c r="D98" s="3" t="s">
        <v>570</v>
      </c>
    </row>
    <row r="99" spans="3:12">
      <c r="D99" s="2" t="s">
        <v>117</v>
      </c>
      <c r="G99" s="2">
        <f>(BS!G110+BS!G118)</f>
        <v>229.03000000000003</v>
      </c>
      <c r="H99" s="2">
        <f>(BS!H110+BS!H118)</f>
        <v>164.47000000000045</v>
      </c>
      <c r="I99" s="2">
        <f>(BS!I110+BS!I118)</f>
        <v>483.26</v>
      </c>
      <c r="J99" s="2">
        <f>(BS!J110+BS!J118)</f>
        <v>221.13999999999979</v>
      </c>
      <c r="K99" s="2">
        <f>(BS!K110+BS!K118)</f>
        <v>398.39</v>
      </c>
      <c r="L99" s="2">
        <f>(BS!L110+BS!L118)</f>
        <v>546.18999999999983</v>
      </c>
    </row>
    <row r="100" spans="3:12">
      <c r="D100" s="2" t="s">
        <v>177</v>
      </c>
      <c r="G100" s="2">
        <f>BS!G143+BS!G151</f>
        <v>0.27999999999999825</v>
      </c>
      <c r="H100" s="2">
        <f>BS!H143+BS!H151</f>
        <v>-0.94000000000000394</v>
      </c>
      <c r="I100" s="2">
        <f>BS!I143+BS!I151</f>
        <v>0.54000000000000115</v>
      </c>
      <c r="J100" s="2">
        <f>BS!J143+BS!J151</f>
        <v>5.0000000000002931E-2</v>
      </c>
      <c r="K100" s="2">
        <f>BS!K143+BS!K151</f>
        <v>-0.32999999999999785</v>
      </c>
      <c r="L100" s="2">
        <f>BS!L143+BS!L151</f>
        <v>-0.89999999999999947</v>
      </c>
    </row>
    <row r="101" spans="3:12">
      <c r="D101" s="2" t="s">
        <v>178</v>
      </c>
      <c r="G101" s="2">
        <f>BS!G177+BS!G185</f>
        <v>1.5700000000000029</v>
      </c>
      <c r="H101" s="2">
        <f>BS!H177+BS!H185</f>
        <v>29.789999999999992</v>
      </c>
      <c r="I101" s="2">
        <f>BS!I177+BS!I185</f>
        <v>20.369999999999997</v>
      </c>
      <c r="J101" s="2">
        <f>BS!J177+BS!J185</f>
        <v>9.14</v>
      </c>
      <c r="K101" s="2">
        <f>BS!K177+BS!K185</f>
        <v>4.6700000000000106</v>
      </c>
      <c r="L101" s="2">
        <f>BS!L177+BS!L185</f>
        <v>882.31999999999994</v>
      </c>
    </row>
    <row r="103" spans="3:12" ht="15.6">
      <c r="D103" s="12" t="s">
        <v>572</v>
      </c>
      <c r="E103" s="13"/>
      <c r="F103" s="13"/>
      <c r="G103" s="13">
        <f>SUM(G99:G101)</f>
        <v>230.88000000000002</v>
      </c>
      <c r="H103" s="13">
        <f t="shared" ref="H103:L103" si="14">SUM(H99:H101)</f>
        <v>193.32000000000045</v>
      </c>
      <c r="I103" s="13">
        <f t="shared" si="14"/>
        <v>504.17</v>
      </c>
      <c r="J103" s="13">
        <f t="shared" si="14"/>
        <v>230.32999999999981</v>
      </c>
      <c r="K103" s="13">
        <f t="shared" si="14"/>
        <v>402.73</v>
      </c>
      <c r="L103" s="13">
        <f t="shared" si="14"/>
        <v>1427.6099999999997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4C83-D3D9-4D35-AAFB-EEDA269B5C3B}">
  <sheetPr codeName="Sheet9"/>
  <dimension ref="C3:L25"/>
  <sheetViews>
    <sheetView showGridLines="0" zoomScaleNormal="100" workbookViewId="0">
      <selection activeCell="K26" sqref="K26"/>
    </sheetView>
  </sheetViews>
  <sheetFormatPr defaultColWidth="11.77734375" defaultRowHeight="15"/>
  <cols>
    <col min="1" max="1" width="2.6640625" style="2" customWidth="1"/>
    <col min="2" max="16384" width="11.77734375" style="2"/>
  </cols>
  <sheetData>
    <row r="3" spans="3:12" ht="15.6">
      <c r="C3" s="2">
        <v>1</v>
      </c>
      <c r="D3" s="2" t="s">
        <v>105</v>
      </c>
      <c r="F3" s="367"/>
      <c r="J3" s="23"/>
    </row>
    <row r="4" spans="3:12" ht="15.6">
      <c r="J4" s="23"/>
      <c r="L4"/>
    </row>
    <row r="5" spans="3:12">
      <c r="C5" s="2">
        <v>2</v>
      </c>
      <c r="D5" s="2" t="s">
        <v>89</v>
      </c>
      <c r="J5" s="23"/>
    </row>
    <row r="7" spans="3:12">
      <c r="C7" s="2">
        <v>3</v>
      </c>
      <c r="D7" s="2" t="s">
        <v>97</v>
      </c>
    </row>
    <row r="9" spans="3:12">
      <c r="C9" s="2">
        <v>4</v>
      </c>
      <c r="D9" s="2" t="s">
        <v>453</v>
      </c>
    </row>
    <row r="11" spans="3:12">
      <c r="C11" s="2">
        <v>5</v>
      </c>
      <c r="D11" s="2" t="s">
        <v>185</v>
      </c>
    </row>
    <row r="13" spans="3:12">
      <c r="C13" s="2">
        <v>6</v>
      </c>
      <c r="D13" s="2" t="s">
        <v>220</v>
      </c>
    </row>
    <row r="15" spans="3:12">
      <c r="C15" s="2">
        <v>7</v>
      </c>
      <c r="D15" s="2" t="s">
        <v>187</v>
      </c>
    </row>
    <row r="17" spans="3:4">
      <c r="C17" s="2">
        <v>8</v>
      </c>
      <c r="D17" s="2" t="s">
        <v>188</v>
      </c>
    </row>
    <row r="19" spans="3:4">
      <c r="C19" s="2">
        <v>9</v>
      </c>
      <c r="D19" s="2" t="s">
        <v>278</v>
      </c>
    </row>
    <row r="20" spans="3:4">
      <c r="D20" s="2" t="s">
        <v>388</v>
      </c>
    </row>
    <row r="23" spans="3:4">
      <c r="C23" s="2">
        <v>10</v>
      </c>
      <c r="D23" s="2" t="s">
        <v>339</v>
      </c>
    </row>
    <row r="25" spans="3:4">
      <c r="C25" s="2">
        <v>11</v>
      </c>
      <c r="D25" s="2" t="s">
        <v>658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B4E16-5551-47A3-AC55-ED8E0E7B82E4}">
  <sheetPr codeName="Sheet10"/>
  <dimension ref="D3:L20"/>
  <sheetViews>
    <sheetView showGridLines="0" workbookViewId="0">
      <selection activeCell="F17" sqref="F17"/>
    </sheetView>
  </sheetViews>
  <sheetFormatPr defaultColWidth="11.77734375" defaultRowHeight="15"/>
  <cols>
    <col min="1" max="1" width="2.6640625" style="2" customWidth="1"/>
    <col min="2" max="16384" width="11.77734375" style="2"/>
  </cols>
  <sheetData>
    <row r="3" spans="4:12" ht="15.6">
      <c r="D3" s="3" t="s">
        <v>812</v>
      </c>
      <c r="F3"/>
    </row>
    <row r="4" spans="4:12" ht="15.6">
      <c r="D4" s="3" t="s">
        <v>813</v>
      </c>
      <c r="L4"/>
    </row>
    <row r="6" spans="4:12" ht="15.6">
      <c r="D6" s="2" t="s">
        <v>814</v>
      </c>
      <c r="E6" s="358" t="s">
        <v>820</v>
      </c>
    </row>
    <row r="7" spans="4:12" ht="15.6">
      <c r="D7" s="2" t="s">
        <v>815</v>
      </c>
      <c r="E7" s="358" t="s">
        <v>821</v>
      </c>
      <c r="K7" s="358"/>
    </row>
    <row r="8" spans="4:12" ht="15.6">
      <c r="D8" s="2" t="s">
        <v>816</v>
      </c>
      <c r="E8" s="358" t="s">
        <v>822</v>
      </c>
    </row>
    <row r="9" spans="4:12" ht="15.6">
      <c r="D9" s="2" t="s">
        <v>817</v>
      </c>
      <c r="E9" s="358" t="s">
        <v>823</v>
      </c>
    </row>
    <row r="10" spans="4:12" ht="15.6">
      <c r="D10" s="2" t="s">
        <v>818</v>
      </c>
      <c r="E10" s="358" t="s">
        <v>824</v>
      </c>
    </row>
    <row r="11" spans="4:12" ht="15.6">
      <c r="D11" s="2" t="s">
        <v>819</v>
      </c>
      <c r="E11" s="358" t="s">
        <v>825</v>
      </c>
    </row>
    <row r="13" spans="4:12" ht="15.6">
      <c r="F13" s="358"/>
    </row>
    <row r="16" spans="4:12" ht="15.6">
      <c r="E16" s="358"/>
    </row>
    <row r="20" spans="7:7" ht="15.6">
      <c r="G20" s="358"/>
    </row>
  </sheetData>
  <hyperlinks>
    <hyperlink ref="E7" r:id="rId1" display="https://www.dabur.com/sites/default/files/2021-07/3227-Dabur-AR-2018-19.pdf" xr:uid="{32B4A809-1171-4162-824D-6DC85C0F43E7}"/>
    <hyperlink ref="E8" r:id="rId2" display="https://www.dabur.com/sites/default/files/2021-07/3244-Dabur-IR-2019-20.pdf" xr:uid="{E1243748-0D28-42D1-9063-BE20A359F3FF}"/>
    <hyperlink ref="E9" r:id="rId3" display="https://www.dabur.com/sites/default/files/2022-10/142394-Dabur-IR-2020-211.pdf" xr:uid="{54728E11-8BC4-4F00-848D-B96962E1B861}"/>
    <hyperlink ref="E10" r:id="rId4" display="https://www.dabur.com/sites/default/files/2022-10/3258-Dabur-AR-2021-22.pdf" xr:uid="{E3A0DC3D-51D3-4373-A186-1EC82479E7F8}"/>
    <hyperlink ref="E11" r:id="rId5" display="https://www.dabur.com/sites/default/files/2023-07/Annual Report.pdf" xr:uid="{9A733080-6840-406C-8CDA-2C3221ADFC64}"/>
    <hyperlink ref="E6" r:id="rId6" xr:uid="{25F9115B-F7E8-41F4-AA3E-1FAAD42250F9}"/>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796CE-4A1E-4F61-941F-564E0F646549}">
  <sheetPr codeName="Sheet11">
    <tabColor rgb="FF002060"/>
  </sheetPr>
  <dimension ref="B2:M37"/>
  <sheetViews>
    <sheetView showGridLines="0" topLeftCell="A2" zoomScaleNormal="100" workbookViewId="0">
      <selection activeCell="L15" sqref="L15"/>
    </sheetView>
  </sheetViews>
  <sheetFormatPr defaultColWidth="11.77734375" defaultRowHeight="15"/>
  <cols>
    <col min="1" max="1" width="2.6640625" style="2" customWidth="1"/>
    <col min="2" max="16384" width="11.77734375" style="2"/>
  </cols>
  <sheetData>
    <row r="2" spans="2:13" ht="42.6">
      <c r="C2" s="384" t="s">
        <v>848</v>
      </c>
    </row>
    <row r="4" spans="2:13">
      <c r="B4" s="2" t="s">
        <v>856</v>
      </c>
    </row>
    <row r="7" spans="2:13">
      <c r="B7" s="385"/>
      <c r="C7" s="385"/>
      <c r="D7" s="385"/>
      <c r="E7" s="385"/>
      <c r="F7" s="385"/>
      <c r="G7" s="385"/>
      <c r="H7" s="385"/>
      <c r="I7" s="385"/>
    </row>
    <row r="8" spans="2:13">
      <c r="B8" s="385"/>
      <c r="C8" s="385"/>
      <c r="D8" s="385"/>
      <c r="E8" s="385"/>
      <c r="F8" s="385"/>
      <c r="G8" s="385"/>
      <c r="H8" s="385"/>
      <c r="I8" s="385"/>
    </row>
    <row r="9" spans="2:13" ht="15.6">
      <c r="B9" s="385"/>
      <c r="C9" s="385"/>
      <c r="D9" s="385"/>
      <c r="E9" s="385"/>
      <c r="F9" s="385"/>
      <c r="G9" s="385"/>
      <c r="H9" s="385"/>
      <c r="I9" s="385"/>
      <c r="K9" s="3" t="s">
        <v>643</v>
      </c>
      <c r="M9" s="206" t="s">
        <v>640</v>
      </c>
    </row>
    <row r="10" spans="2:13">
      <c r="B10" s="385"/>
      <c r="C10" s="385"/>
      <c r="D10" s="385"/>
      <c r="E10" s="385"/>
      <c r="F10" s="385"/>
      <c r="G10" s="385"/>
      <c r="H10" s="385"/>
      <c r="I10" s="385"/>
    </row>
    <row r="11" spans="2:13">
      <c r="B11" s="385"/>
      <c r="C11" s="385"/>
      <c r="D11" s="385"/>
      <c r="E11" s="385"/>
      <c r="F11" s="385"/>
      <c r="G11" s="385"/>
      <c r="H11" s="385"/>
      <c r="I11" s="385"/>
      <c r="K11" s="2" t="s">
        <v>637</v>
      </c>
      <c r="M11" s="2">
        <v>1</v>
      </c>
    </row>
    <row r="12" spans="2:13">
      <c r="B12" s="385"/>
      <c r="C12" s="385"/>
      <c r="D12" s="385"/>
      <c r="E12" s="385"/>
      <c r="F12" s="385"/>
      <c r="G12" s="385"/>
      <c r="H12" s="385"/>
      <c r="I12" s="385"/>
      <c r="K12" s="2" t="s">
        <v>638</v>
      </c>
      <c r="M12" s="2">
        <v>2</v>
      </c>
    </row>
    <row r="13" spans="2:13">
      <c r="K13" s="2" t="s">
        <v>644</v>
      </c>
      <c r="M13" s="2">
        <v>3</v>
      </c>
    </row>
    <row r="15" spans="2:13" ht="15.6">
      <c r="K15" s="3" t="s">
        <v>639</v>
      </c>
      <c r="L15" s="215">
        <v>3</v>
      </c>
    </row>
    <row r="17" spans="10:12" ht="21">
      <c r="L17" s="386" t="s">
        <v>857</v>
      </c>
    </row>
    <row r="21" spans="10:12">
      <c r="K21" s="2" t="s">
        <v>866</v>
      </c>
    </row>
    <row r="22" spans="10:12">
      <c r="J22" s="37">
        <v>1</v>
      </c>
      <c r="K22" s="37" t="s">
        <v>867</v>
      </c>
    </row>
    <row r="23" spans="10:12">
      <c r="J23" s="2">
        <v>2</v>
      </c>
      <c r="K23" s="2" t="s">
        <v>869</v>
      </c>
    </row>
    <row r="24" spans="10:12">
      <c r="J24" s="392">
        <v>3</v>
      </c>
      <c r="K24" s="392" t="s">
        <v>868</v>
      </c>
    </row>
    <row r="35" spans="2:2">
      <c r="B35" s="37"/>
    </row>
    <row r="37" spans="2:2">
      <c r="B37" s="392"/>
    </row>
  </sheetData>
  <dataValidations count="1">
    <dataValidation type="list" allowBlank="1" showInputMessage="1" showErrorMessage="1" sqref="L15" xr:uid="{D5E0C9BB-091F-44E8-BA98-4F8AAF7470D1}">
      <formula1>$M$11:$M$13</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9205C-3F11-48E8-91C6-D330D79D07D0}">
  <sheetPr codeName="Sheet12"/>
  <dimension ref="A2:X88"/>
  <sheetViews>
    <sheetView showGridLines="0" topLeftCell="A4" zoomScaleNormal="100" workbookViewId="0">
      <pane ySplit="2" topLeftCell="A6" activePane="bottomLeft" state="frozen"/>
      <selection activeCell="H19" sqref="H19"/>
      <selection pane="bottomLeft" activeCell="I18" sqref="I18"/>
    </sheetView>
  </sheetViews>
  <sheetFormatPr defaultColWidth="11.77734375" defaultRowHeight="15"/>
  <cols>
    <col min="1" max="1" width="2.6640625" style="2" customWidth="1"/>
    <col min="2" max="2" width="15.5546875" style="2" customWidth="1"/>
    <col min="3" max="3" width="19" style="2" customWidth="1"/>
    <col min="4" max="7" width="15.5546875" style="2" customWidth="1"/>
    <col min="8" max="10" width="20.21875" style="2" customWidth="1"/>
    <col min="11" max="11" width="92" style="2" customWidth="1"/>
    <col min="12" max="20" width="15.5546875" style="2" customWidth="1"/>
    <col min="21" max="16384" width="11.77734375" style="2"/>
  </cols>
  <sheetData>
    <row r="2" spans="2:24" ht="15.6">
      <c r="C2" s="3"/>
    </row>
    <row r="3" spans="2:24" ht="15.6">
      <c r="F3"/>
    </row>
    <row r="4" spans="2:24" ht="15.6">
      <c r="N4"/>
    </row>
    <row r="5" spans="2:24">
      <c r="B5" s="140"/>
      <c r="C5" s="140" t="s">
        <v>431</v>
      </c>
      <c r="D5" s="140" t="s">
        <v>447</v>
      </c>
      <c r="E5" s="140" t="s">
        <v>432</v>
      </c>
      <c r="F5" s="140" t="s">
        <v>435</v>
      </c>
      <c r="G5" s="140" t="s">
        <v>436</v>
      </c>
      <c r="H5" s="140" t="s">
        <v>433</v>
      </c>
      <c r="I5" s="140" t="s">
        <v>463</v>
      </c>
      <c r="J5" s="140" t="s">
        <v>464</v>
      </c>
      <c r="K5" s="140" t="s">
        <v>437</v>
      </c>
      <c r="L5" s="140"/>
      <c r="M5" s="140"/>
      <c r="N5" s="139"/>
      <c r="O5" s="139"/>
      <c r="P5" s="139"/>
      <c r="Q5" s="139"/>
      <c r="R5" s="139"/>
      <c r="S5" s="139"/>
      <c r="T5" s="139"/>
    </row>
    <row r="6" spans="2:24" ht="15.6">
      <c r="B6" s="3" t="s">
        <v>430</v>
      </c>
      <c r="C6" s="136">
        <v>12757.7</v>
      </c>
      <c r="D6" s="136">
        <v>12663.5</v>
      </c>
      <c r="E6" s="136">
        <v>12888.1</v>
      </c>
      <c r="F6" s="136">
        <v>12827</v>
      </c>
      <c r="G6" s="136">
        <v>12878.4</v>
      </c>
      <c r="H6" s="136">
        <v>12726</v>
      </c>
      <c r="I6" s="136"/>
      <c r="J6" s="136"/>
      <c r="K6" s="128" t="s">
        <v>438</v>
      </c>
      <c r="L6" s="128"/>
      <c r="M6" s="128"/>
      <c r="N6" s="128"/>
      <c r="O6" s="128"/>
      <c r="P6" s="128"/>
      <c r="Q6" s="128"/>
      <c r="R6" s="128"/>
      <c r="S6" s="128"/>
      <c r="T6" s="128"/>
      <c r="U6" s="128"/>
      <c r="V6" s="128"/>
      <c r="W6" s="128"/>
      <c r="X6" s="128"/>
    </row>
    <row r="7" spans="2:24" ht="15.6">
      <c r="B7" s="137" t="s">
        <v>434</v>
      </c>
      <c r="C7" s="138">
        <f>(C6-'P&amp;L(OUTPUT)'!$L$7)/'P&amp;L(OUTPUT)'!$L$7</f>
        <v>0.10648930735679191</v>
      </c>
      <c r="D7" s="138">
        <f>(D6-'P&amp;L(OUTPUT)'!$L$7)/'P&amp;L(OUTPUT)'!$L$7</f>
        <v>9.8319238084665223E-2</v>
      </c>
      <c r="E7" s="138">
        <f>(E6-'P&amp;L(OUTPUT)'!$L$7)/'P&amp;L(OUTPUT)'!$L$7</f>
        <v>0.11779904231523466</v>
      </c>
      <c r="F7" s="138">
        <f>(F6-'P&amp;L(OUTPUT)'!$L$7)/'P&amp;L(OUTPUT)'!$L$7</f>
        <v>0.11249977233087224</v>
      </c>
      <c r="G7" s="138">
        <f>(G6-'P&amp;L(OUTPUT)'!$L$7)/'P&amp;L(OUTPUT)'!$L$7</f>
        <v>0.11695775068105596</v>
      </c>
      <c r="H7" s="138">
        <f>MEDIAN(A7:F7)</f>
        <v>0.10949453984383208</v>
      </c>
      <c r="I7" s="138">
        <f>AVERAGE(C7:H7)</f>
        <v>0.110259941768742</v>
      </c>
      <c r="J7" s="138">
        <f>MEDIAN(C7:H7)</f>
        <v>0.11099715608735217</v>
      </c>
      <c r="K7" s="128"/>
      <c r="L7" s="128"/>
      <c r="M7" s="128"/>
      <c r="N7" s="128"/>
      <c r="O7" s="128"/>
      <c r="P7" s="128"/>
      <c r="Q7" s="128"/>
      <c r="R7" s="128"/>
      <c r="S7" s="128"/>
      <c r="T7" s="128"/>
      <c r="U7" s="128"/>
      <c r="V7" s="128"/>
      <c r="W7" s="128"/>
      <c r="X7" s="128"/>
    </row>
    <row r="8" spans="2:24">
      <c r="C8" s="128"/>
      <c r="D8" s="128"/>
      <c r="E8" s="128"/>
      <c r="F8" s="128"/>
      <c r="G8" s="128"/>
      <c r="H8" s="128"/>
      <c r="I8" s="128"/>
      <c r="J8" s="128"/>
      <c r="K8" s="128"/>
      <c r="L8" s="128"/>
      <c r="M8" s="128"/>
      <c r="N8" s="128"/>
      <c r="O8" s="128"/>
      <c r="P8" s="128"/>
      <c r="Q8" s="128"/>
      <c r="R8" s="128"/>
      <c r="S8" s="128"/>
      <c r="T8" s="128"/>
      <c r="U8" s="128"/>
      <c r="V8" s="128"/>
      <c r="W8" s="128"/>
      <c r="X8" s="128"/>
    </row>
    <row r="9" spans="2:24">
      <c r="B9" s="2" t="s">
        <v>439</v>
      </c>
      <c r="C9" s="136">
        <v>2615.3000000000002</v>
      </c>
      <c r="D9" s="136">
        <v>2486.4</v>
      </c>
      <c r="E9" s="136">
        <v>2543.6</v>
      </c>
      <c r="F9" s="136">
        <v>2519</v>
      </c>
      <c r="G9" s="136">
        <v>2484.6999999999998</v>
      </c>
      <c r="H9" s="136" t="s">
        <v>440</v>
      </c>
      <c r="I9" s="136"/>
      <c r="J9" s="136"/>
      <c r="K9" s="128" t="s">
        <v>441</v>
      </c>
      <c r="L9" s="128"/>
      <c r="M9" s="128"/>
      <c r="N9" s="128"/>
      <c r="O9" s="128"/>
      <c r="P9" s="128"/>
      <c r="Q9" s="128"/>
      <c r="R9" s="128"/>
      <c r="S9" s="128"/>
      <c r="T9" s="128"/>
      <c r="U9" s="128"/>
      <c r="V9" s="128"/>
      <c r="W9" s="128"/>
      <c r="X9" s="128"/>
    </row>
    <row r="10" spans="2:24" ht="15.6">
      <c r="B10" s="137" t="s">
        <v>366</v>
      </c>
      <c r="C10" s="138">
        <f>C9/C6</f>
        <v>0.20499776605500991</v>
      </c>
      <c r="D10" s="138">
        <f>D9/D6</f>
        <v>0.19634382279780471</v>
      </c>
      <c r="E10" s="138">
        <f>E9/E6</f>
        <v>0.1973603556769423</v>
      </c>
      <c r="F10" s="138">
        <f>F9/F6</f>
        <v>0.19638263038902315</v>
      </c>
      <c r="G10" s="138">
        <f>G9/G6</f>
        <v>0.19293545782084731</v>
      </c>
      <c r="H10" s="138" t="s">
        <v>158</v>
      </c>
      <c r="I10" s="138">
        <f>AVERAGE(C10:H10)</f>
        <v>0.19760400654792548</v>
      </c>
      <c r="J10" s="138">
        <f>MEDIAN(C10:H10)</f>
        <v>0.19638263038902315</v>
      </c>
      <c r="K10" s="128"/>
      <c r="L10" s="128"/>
      <c r="M10" s="128"/>
      <c r="N10" s="128"/>
      <c r="O10" s="128"/>
      <c r="P10" s="128"/>
      <c r="Q10" s="128"/>
      <c r="R10" s="128"/>
      <c r="S10" s="128"/>
      <c r="T10" s="128"/>
      <c r="U10" s="128"/>
      <c r="V10" s="128"/>
      <c r="W10" s="128"/>
      <c r="X10" s="128"/>
    </row>
    <row r="11" spans="2:24">
      <c r="C11" s="128"/>
      <c r="D11" s="128"/>
      <c r="E11" s="128"/>
      <c r="F11" s="128"/>
      <c r="G11" s="128"/>
      <c r="H11" s="128"/>
      <c r="I11" s="128"/>
      <c r="J11" s="128"/>
      <c r="K11" s="128"/>
      <c r="L11" s="128"/>
      <c r="M11" s="128"/>
      <c r="N11" s="128"/>
      <c r="O11" s="128"/>
      <c r="P11" s="128"/>
      <c r="Q11" s="128"/>
      <c r="R11" s="128"/>
      <c r="S11" s="128"/>
      <c r="T11" s="128"/>
      <c r="U11" s="128"/>
      <c r="V11" s="128"/>
      <c r="W11" s="128"/>
      <c r="X11" s="128"/>
    </row>
    <row r="12" spans="2:24">
      <c r="B12" s="2" t="s">
        <v>442</v>
      </c>
      <c r="C12" s="136" t="s">
        <v>440</v>
      </c>
      <c r="D12" s="136">
        <v>398.1</v>
      </c>
      <c r="E12" s="136">
        <v>370</v>
      </c>
      <c r="F12" s="136">
        <v>366</v>
      </c>
      <c r="G12" s="136">
        <v>382.6</v>
      </c>
      <c r="H12" s="136" t="s">
        <v>440</v>
      </c>
      <c r="I12" s="136"/>
      <c r="J12" s="136"/>
      <c r="K12" s="128" t="s">
        <v>443</v>
      </c>
      <c r="L12" s="128"/>
      <c r="M12" s="128"/>
      <c r="N12" s="128"/>
      <c r="O12" s="128"/>
      <c r="P12" s="128"/>
      <c r="Q12" s="128"/>
      <c r="R12" s="128"/>
      <c r="S12" s="128"/>
      <c r="T12" s="128"/>
      <c r="U12" s="128"/>
      <c r="V12" s="128"/>
      <c r="W12" s="128"/>
      <c r="X12" s="128"/>
    </row>
    <row r="13" spans="2:24" ht="15.6">
      <c r="B13" s="137" t="s">
        <v>450</v>
      </c>
      <c r="C13" s="138" t="str">
        <f t="shared" ref="C13:H13" si="0">IFERROR(C12/C6,"-")</f>
        <v>-</v>
      </c>
      <c r="D13" s="138">
        <f t="shared" si="0"/>
        <v>3.143680657006357E-2</v>
      </c>
      <c r="E13" s="138">
        <f t="shared" si="0"/>
        <v>2.8708653719322474E-2</v>
      </c>
      <c r="F13" s="138">
        <f t="shared" si="0"/>
        <v>2.8533562017619085E-2</v>
      </c>
      <c r="G13" s="138">
        <f t="shared" si="0"/>
        <v>2.9708659460802585E-2</v>
      </c>
      <c r="H13" s="138" t="str">
        <f t="shared" si="0"/>
        <v>-</v>
      </c>
      <c r="I13" s="138">
        <f>AVERAGE(C13:H13)</f>
        <v>2.9596920441951929E-2</v>
      </c>
      <c r="J13" s="138">
        <f>MEDIAN(C13:H13)</f>
        <v>2.920865659006253E-2</v>
      </c>
      <c r="K13" s="128" t="s">
        <v>444</v>
      </c>
      <c r="L13" s="128"/>
      <c r="M13" s="128"/>
      <c r="N13" s="128"/>
      <c r="O13" s="128"/>
      <c r="P13" s="128"/>
      <c r="Q13" s="128"/>
      <c r="R13" s="128"/>
      <c r="S13" s="128"/>
      <c r="T13" s="128"/>
      <c r="U13" s="128"/>
      <c r="V13" s="128"/>
      <c r="W13" s="128"/>
      <c r="X13" s="128"/>
    </row>
    <row r="14" spans="2:24">
      <c r="C14" s="128"/>
      <c r="D14" s="128"/>
      <c r="E14" s="128"/>
      <c r="F14" s="128"/>
      <c r="G14" s="128"/>
      <c r="H14" s="128"/>
      <c r="I14" s="128"/>
      <c r="J14" s="128"/>
      <c r="K14" s="128"/>
      <c r="L14" s="128"/>
      <c r="M14" s="128"/>
      <c r="N14" s="128"/>
      <c r="O14" s="128"/>
      <c r="P14" s="128"/>
      <c r="Q14" s="128"/>
      <c r="R14" s="128"/>
      <c r="S14" s="128"/>
      <c r="T14" s="128"/>
      <c r="U14" s="128"/>
      <c r="V14" s="128"/>
      <c r="W14" s="128"/>
      <c r="X14" s="128"/>
    </row>
    <row r="15" spans="2:24">
      <c r="B15" s="2" t="s">
        <v>445</v>
      </c>
      <c r="C15" s="136" t="s">
        <v>440</v>
      </c>
      <c r="D15" s="128">
        <f>D9-D12</f>
        <v>2088.3000000000002</v>
      </c>
      <c r="E15" s="128">
        <f t="shared" ref="E15:G15" si="1">E9-E12</f>
        <v>2173.6</v>
      </c>
      <c r="F15" s="128">
        <f t="shared" si="1"/>
        <v>2153</v>
      </c>
      <c r="G15" s="128">
        <f t="shared" si="1"/>
        <v>2102.1</v>
      </c>
      <c r="H15" s="136" t="s">
        <v>440</v>
      </c>
      <c r="I15" s="136"/>
      <c r="J15" s="136"/>
      <c r="K15" s="128" t="s">
        <v>446</v>
      </c>
      <c r="L15" s="128"/>
      <c r="M15" s="128"/>
      <c r="N15" s="128"/>
      <c r="O15" s="128"/>
      <c r="P15" s="128"/>
      <c r="Q15" s="128"/>
      <c r="R15" s="128"/>
      <c r="S15" s="128"/>
      <c r="T15" s="128"/>
      <c r="U15" s="128"/>
      <c r="V15" s="128"/>
      <c r="W15" s="128"/>
      <c r="X15" s="128"/>
    </row>
    <row r="16" spans="2:24" ht="15.6">
      <c r="B16" s="137" t="s">
        <v>366</v>
      </c>
      <c r="C16" s="138" t="str">
        <f t="shared" ref="C16:H16" si="2">IFERROR(C15/C6,"-")</f>
        <v>-</v>
      </c>
      <c r="D16" s="138">
        <f t="shared" si="2"/>
        <v>0.16490701622774115</v>
      </c>
      <c r="E16" s="138">
        <f t="shared" si="2"/>
        <v>0.1686517019576198</v>
      </c>
      <c r="F16" s="138">
        <f t="shared" si="2"/>
        <v>0.16784906837140406</v>
      </c>
      <c r="G16" s="138">
        <f t="shared" si="2"/>
        <v>0.16322679836004472</v>
      </c>
      <c r="H16" s="138" t="str">
        <f t="shared" si="2"/>
        <v>-</v>
      </c>
      <c r="I16" s="138">
        <f>AVERAGE(C16:H16)</f>
        <v>0.16615864622920243</v>
      </c>
      <c r="J16" s="138">
        <f>MEDIAN(C16:H16)</f>
        <v>0.16637804229957259</v>
      </c>
      <c r="K16" s="128"/>
      <c r="L16" s="128"/>
      <c r="M16" s="128"/>
      <c r="N16" s="128"/>
      <c r="O16" s="128"/>
      <c r="P16" s="128"/>
      <c r="Q16" s="128"/>
      <c r="R16" s="128"/>
      <c r="S16" s="128"/>
      <c r="T16" s="128"/>
      <c r="U16" s="128"/>
      <c r="V16" s="128"/>
      <c r="W16" s="128"/>
      <c r="X16" s="128"/>
    </row>
    <row r="17" spans="1:24">
      <c r="C17" s="128"/>
      <c r="D17" s="128"/>
      <c r="E17" s="128"/>
      <c r="F17" s="128"/>
      <c r="G17" s="128"/>
      <c r="H17" s="128"/>
      <c r="I17" s="128"/>
      <c r="J17" s="128"/>
      <c r="K17" s="128"/>
      <c r="L17" s="128"/>
      <c r="M17" s="128"/>
      <c r="N17" s="128"/>
      <c r="O17" s="128"/>
      <c r="P17" s="128"/>
      <c r="Q17" s="128"/>
      <c r="R17" s="128"/>
      <c r="S17" s="128"/>
      <c r="T17" s="128"/>
      <c r="U17" s="128"/>
      <c r="V17" s="128"/>
      <c r="W17" s="128"/>
      <c r="X17" s="128"/>
    </row>
    <row r="18" spans="1:24">
      <c r="B18" s="2" t="s">
        <v>284</v>
      </c>
      <c r="C18" s="136" t="s">
        <v>440</v>
      </c>
      <c r="D18" s="136">
        <v>103.7</v>
      </c>
      <c r="E18" s="136">
        <v>108.7</v>
      </c>
      <c r="F18" s="136">
        <v>84</v>
      </c>
      <c r="G18" s="136">
        <v>84.6</v>
      </c>
      <c r="H18" s="136" t="s">
        <v>440</v>
      </c>
      <c r="I18" s="136"/>
      <c r="J18" s="136"/>
      <c r="K18" s="128"/>
      <c r="L18" s="128"/>
      <c r="M18" s="128"/>
      <c r="N18" s="128"/>
      <c r="O18" s="128"/>
      <c r="P18" s="128"/>
      <c r="Q18" s="128"/>
      <c r="R18" s="128"/>
      <c r="S18" s="128"/>
      <c r="T18" s="128"/>
      <c r="U18" s="128"/>
      <c r="V18" s="128"/>
      <c r="W18" s="128"/>
      <c r="X18" s="128"/>
    </row>
    <row r="19" spans="1:24" ht="15.6">
      <c r="B19" s="137" t="s">
        <v>450</v>
      </c>
      <c r="C19" s="138" t="s">
        <v>158</v>
      </c>
      <c r="D19" s="138">
        <f>IFERROR(D18/D6,"-")</f>
        <v>8.1888893275950565E-3</v>
      </c>
      <c r="E19" s="138">
        <f>IFERROR(E18/E6,"-")</f>
        <v>8.4341369170009544E-3</v>
      </c>
      <c r="F19" s="138">
        <f>IFERROR(F18/F6,"-")</f>
        <v>6.5486863646994622E-3</v>
      </c>
      <c r="G19" s="138">
        <f>IFERROR(G18/G6,"-")</f>
        <v>6.5691390234811778E-3</v>
      </c>
      <c r="H19" s="138" t="s">
        <v>158</v>
      </c>
      <c r="I19" s="138">
        <f>AVERAGE(C19:H19)</f>
        <v>7.4352129081941623E-3</v>
      </c>
      <c r="J19" s="138">
        <f>MEDIAN(C19:H19)</f>
        <v>7.3790141755381167E-3</v>
      </c>
      <c r="K19" s="128"/>
      <c r="L19" s="128"/>
      <c r="M19" s="128"/>
      <c r="N19" s="128"/>
      <c r="O19" s="128"/>
      <c r="P19" s="128"/>
      <c r="Q19" s="128"/>
      <c r="R19" s="128"/>
      <c r="S19" s="128"/>
      <c r="T19" s="128"/>
      <c r="U19" s="128"/>
      <c r="V19" s="128"/>
      <c r="W19" s="128"/>
      <c r="X19" s="128"/>
    </row>
    <row r="20" spans="1:24">
      <c r="C20" s="128"/>
      <c r="D20" s="128"/>
      <c r="E20" s="128"/>
      <c r="F20" s="128"/>
      <c r="G20" s="128"/>
      <c r="H20" s="128"/>
      <c r="I20" s="128"/>
      <c r="J20" s="128"/>
      <c r="N20" s="128"/>
      <c r="O20" s="128"/>
      <c r="P20" s="128"/>
      <c r="Q20" s="128"/>
      <c r="R20" s="128"/>
      <c r="S20" s="128"/>
      <c r="T20" s="128"/>
      <c r="U20" s="128"/>
      <c r="V20" s="128"/>
      <c r="W20" s="128"/>
      <c r="X20" s="128"/>
    </row>
    <row r="21" spans="1:24">
      <c r="B21" s="2" t="s">
        <v>48</v>
      </c>
      <c r="C21" s="136" t="s">
        <v>440</v>
      </c>
      <c r="D21" s="136">
        <v>469</v>
      </c>
      <c r="E21" s="136">
        <v>469.9</v>
      </c>
      <c r="F21" s="136">
        <v>490</v>
      </c>
      <c r="G21" s="136">
        <v>518.9</v>
      </c>
      <c r="H21" s="136" t="s">
        <v>440</v>
      </c>
      <c r="I21" s="136"/>
      <c r="J21" s="136"/>
      <c r="N21" s="128"/>
      <c r="O21" s="128"/>
      <c r="P21" s="128"/>
      <c r="Q21" s="128"/>
      <c r="R21" s="128"/>
      <c r="S21" s="128"/>
      <c r="T21" s="128"/>
      <c r="U21" s="128"/>
      <c r="V21" s="128"/>
      <c r="W21" s="128"/>
      <c r="X21" s="128"/>
    </row>
    <row r="22" spans="1:24" ht="15.6">
      <c r="B22" s="137" t="s">
        <v>450</v>
      </c>
      <c r="C22" s="138" t="s">
        <v>158</v>
      </c>
      <c r="D22" s="138">
        <f>D21/D6</f>
        <v>3.7035574683144473E-2</v>
      </c>
      <c r="E22" s="138">
        <f>E21/E6</f>
        <v>3.6459990223539539E-2</v>
      </c>
      <c r="F22" s="138">
        <f>F21/F6</f>
        <v>3.8200670460746863E-2</v>
      </c>
      <c r="G22" s="138">
        <f>G21/G6</f>
        <v>4.0292272331966701E-2</v>
      </c>
      <c r="H22" s="138" t="s">
        <v>158</v>
      </c>
      <c r="I22" s="138">
        <f>AVERAGE(C22:H22)</f>
        <v>3.7997126924849398E-2</v>
      </c>
      <c r="J22" s="138">
        <f>MEDIAN(C22:H22)</f>
        <v>3.7618122571945668E-2</v>
      </c>
      <c r="N22" s="128"/>
      <c r="O22" s="128"/>
      <c r="P22" s="128"/>
      <c r="Q22" s="128"/>
      <c r="R22" s="128"/>
      <c r="S22" s="128"/>
      <c r="T22" s="128"/>
      <c r="U22" s="128"/>
      <c r="V22" s="128"/>
      <c r="W22" s="128"/>
      <c r="X22" s="128"/>
    </row>
    <row r="23" spans="1:24">
      <c r="C23" s="128"/>
      <c r="E23" s="128"/>
      <c r="F23" s="128"/>
      <c r="G23" s="128"/>
      <c r="H23" s="128"/>
      <c r="I23" s="128"/>
      <c r="J23" s="128"/>
      <c r="N23" s="128"/>
      <c r="O23" s="128"/>
      <c r="P23" s="128"/>
      <c r="Q23" s="128"/>
      <c r="R23" s="128"/>
      <c r="S23" s="128"/>
      <c r="T23" s="128"/>
      <c r="U23" s="128"/>
      <c r="V23" s="128"/>
      <c r="W23" s="128"/>
      <c r="X23" s="128"/>
    </row>
    <row r="24" spans="1:24">
      <c r="B24" s="2" t="s">
        <v>451</v>
      </c>
      <c r="C24" s="136">
        <v>11.6</v>
      </c>
      <c r="D24" s="136">
        <v>10.9</v>
      </c>
      <c r="E24" s="136">
        <v>11.2</v>
      </c>
      <c r="F24" s="136">
        <v>11.2</v>
      </c>
      <c r="G24" s="136">
        <v>11.1</v>
      </c>
      <c r="H24" s="136">
        <v>11</v>
      </c>
      <c r="I24" s="136"/>
      <c r="J24" s="136"/>
      <c r="N24" s="128"/>
      <c r="O24" s="128"/>
      <c r="P24" s="128"/>
      <c r="Q24" s="128"/>
      <c r="R24" s="128"/>
      <c r="S24" s="128"/>
      <c r="T24" s="128"/>
      <c r="U24" s="128"/>
      <c r="V24" s="128"/>
      <c r="W24" s="128"/>
      <c r="X24" s="128"/>
    </row>
    <row r="25" spans="1:24" ht="15.6">
      <c r="B25" s="137"/>
      <c r="C25" s="138"/>
      <c r="D25" s="138"/>
      <c r="E25" s="138"/>
      <c r="F25" s="138"/>
      <c r="G25" s="138"/>
      <c r="H25" s="138"/>
      <c r="I25" s="138"/>
      <c r="J25" s="138"/>
      <c r="N25" s="128"/>
      <c r="O25" s="128"/>
      <c r="P25" s="128"/>
      <c r="Q25" s="128"/>
      <c r="R25" s="128"/>
      <c r="S25" s="128"/>
      <c r="T25" s="128"/>
      <c r="U25" s="128"/>
      <c r="V25" s="128"/>
      <c r="W25" s="128"/>
      <c r="X25" s="128"/>
    </row>
    <row r="26" spans="1:24">
      <c r="B26" s="2" t="s">
        <v>461</v>
      </c>
      <c r="C26" s="136">
        <v>650</v>
      </c>
      <c r="D26" s="136">
        <v>600</v>
      </c>
      <c r="E26" s="136">
        <v>669</v>
      </c>
      <c r="F26" s="136">
        <v>635</v>
      </c>
      <c r="G26" s="136">
        <v>600</v>
      </c>
      <c r="H26" s="136">
        <v>607</v>
      </c>
      <c r="I26" s="136"/>
      <c r="J26" s="136"/>
      <c r="N26" s="128"/>
      <c r="O26" s="128"/>
      <c r="P26" s="128"/>
      <c r="Q26" s="128"/>
      <c r="R26" s="128"/>
      <c r="S26" s="128"/>
      <c r="T26" s="128"/>
      <c r="U26" s="128"/>
      <c r="V26" s="128"/>
      <c r="W26" s="128"/>
      <c r="X26" s="128"/>
    </row>
    <row r="27" spans="1:24">
      <c r="C27" s="136"/>
      <c r="D27" s="136"/>
      <c r="E27" s="136"/>
      <c r="F27" s="136"/>
      <c r="G27" s="136"/>
      <c r="H27" s="136"/>
      <c r="I27" s="136"/>
      <c r="J27" s="136"/>
      <c r="N27" s="128"/>
      <c r="O27" s="128"/>
      <c r="P27" s="128"/>
      <c r="Q27" s="128"/>
      <c r="R27" s="128"/>
      <c r="S27" s="128"/>
      <c r="T27" s="128"/>
      <c r="U27" s="128"/>
      <c r="V27" s="128"/>
      <c r="W27" s="128"/>
      <c r="X27" s="128"/>
    </row>
    <row r="28" spans="1:24" ht="15.6">
      <c r="B28" s="2" t="s">
        <v>462</v>
      </c>
      <c r="C28" s="144">
        <f>C26/C24</f>
        <v>56.03448275862069</v>
      </c>
      <c r="D28" s="144">
        <f t="shared" ref="D28:H28" si="3">D26/D24</f>
        <v>55.045871559633028</v>
      </c>
      <c r="E28" s="144">
        <f t="shared" si="3"/>
        <v>59.732142857142861</v>
      </c>
      <c r="F28" s="144">
        <f t="shared" si="3"/>
        <v>56.696428571428577</v>
      </c>
      <c r="G28" s="144">
        <f t="shared" si="3"/>
        <v>54.054054054054056</v>
      </c>
      <c r="H28" s="144">
        <f t="shared" si="3"/>
        <v>55.18181818181818</v>
      </c>
      <c r="I28" s="144">
        <f>AVERAGE(C28:H28)</f>
        <v>56.124132997116227</v>
      </c>
      <c r="J28" s="144">
        <f>MEDIAN(C28:H28)</f>
        <v>55.608150470219435</v>
      </c>
      <c r="N28" s="128"/>
      <c r="O28" s="128"/>
      <c r="P28" s="128"/>
      <c r="Q28" s="128"/>
      <c r="R28" s="128"/>
      <c r="S28" s="128"/>
      <c r="T28" s="128"/>
      <c r="U28" s="128"/>
      <c r="V28" s="128"/>
      <c r="W28" s="128"/>
      <c r="X28" s="128"/>
    </row>
    <row r="29" spans="1:24">
      <c r="C29" s="128"/>
      <c r="D29" s="128"/>
      <c r="E29" s="128"/>
      <c r="F29" s="128"/>
      <c r="G29" s="128"/>
      <c r="H29" s="128"/>
      <c r="I29" s="128"/>
      <c r="J29" s="128"/>
      <c r="N29" s="128"/>
      <c r="O29" s="128"/>
      <c r="P29" s="128"/>
      <c r="Q29" s="128"/>
      <c r="R29" s="128"/>
      <c r="S29" s="128"/>
      <c r="T29" s="128"/>
      <c r="U29" s="128"/>
      <c r="V29" s="128"/>
      <c r="W29" s="128"/>
      <c r="X29" s="128"/>
    </row>
    <row r="30" spans="1:24">
      <c r="C30" s="136"/>
      <c r="D30" s="128"/>
      <c r="E30" s="128"/>
      <c r="F30" s="128"/>
      <c r="G30" s="128"/>
      <c r="H30" s="136"/>
      <c r="I30" s="136"/>
      <c r="J30" s="136"/>
      <c r="N30" s="128"/>
      <c r="O30" s="128"/>
      <c r="P30" s="128"/>
      <c r="Q30" s="128"/>
      <c r="R30" s="128"/>
      <c r="S30" s="128"/>
      <c r="T30" s="128"/>
      <c r="U30" s="128"/>
      <c r="V30" s="128"/>
      <c r="W30" s="128"/>
      <c r="X30" s="128"/>
    </row>
    <row r="31" spans="1:24" ht="15.6">
      <c r="B31" s="137"/>
      <c r="C31" s="138"/>
      <c r="D31" s="138"/>
      <c r="E31" s="138"/>
      <c r="F31" s="138"/>
      <c r="G31" s="138"/>
      <c r="H31" s="138"/>
      <c r="I31" s="138"/>
      <c r="J31" s="138"/>
      <c r="N31" s="128"/>
      <c r="O31" s="128"/>
      <c r="P31" s="128"/>
      <c r="Q31" s="128"/>
      <c r="R31" s="128"/>
      <c r="S31" s="128"/>
      <c r="T31" s="128"/>
      <c r="U31" s="128"/>
      <c r="V31" s="128"/>
      <c r="W31" s="128"/>
      <c r="X31" s="128"/>
    </row>
    <row r="32" spans="1:24" ht="15.6">
      <c r="A32" s="3"/>
      <c r="B32" s="128"/>
      <c r="C32" s="128"/>
      <c r="E32" s="128"/>
      <c r="F32" s="128"/>
      <c r="G32" s="128"/>
      <c r="H32" s="128"/>
      <c r="I32" s="128"/>
      <c r="J32" s="128"/>
      <c r="N32" s="128"/>
      <c r="O32" s="128"/>
      <c r="P32" s="128"/>
      <c r="Q32" s="128"/>
      <c r="R32" s="128"/>
      <c r="S32" s="128"/>
      <c r="T32" s="128"/>
      <c r="U32" s="128"/>
      <c r="V32" s="128"/>
      <c r="W32" s="128"/>
      <c r="X32" s="128"/>
    </row>
    <row r="33" spans="1:24">
      <c r="B33" s="141"/>
      <c r="D33" s="136"/>
      <c r="E33" s="136"/>
      <c r="F33" s="136"/>
      <c r="G33" s="136"/>
      <c r="H33" s="136"/>
      <c r="I33" s="136"/>
      <c r="J33" s="136"/>
      <c r="N33" s="128"/>
      <c r="O33" s="128"/>
      <c r="P33" s="128"/>
      <c r="Q33" s="128"/>
      <c r="R33" s="128"/>
      <c r="S33" s="128"/>
      <c r="T33" s="128"/>
      <c r="U33" s="128"/>
      <c r="V33" s="128"/>
      <c r="W33" s="128"/>
      <c r="X33" s="128"/>
    </row>
    <row r="34" spans="1:24">
      <c r="B34" s="141"/>
      <c r="D34" s="128"/>
      <c r="E34" s="128"/>
      <c r="F34" s="128"/>
      <c r="G34" s="128"/>
      <c r="H34" s="128"/>
      <c r="I34" s="128"/>
      <c r="J34" s="128"/>
      <c r="K34" s="128"/>
      <c r="L34" s="128"/>
      <c r="M34" s="128"/>
      <c r="N34" s="128"/>
      <c r="O34" s="128"/>
      <c r="P34" s="128"/>
      <c r="Q34" s="128"/>
      <c r="R34" s="128"/>
      <c r="S34" s="128"/>
      <c r="T34" s="128"/>
      <c r="U34" s="128"/>
      <c r="V34" s="128"/>
      <c r="W34" s="128"/>
      <c r="X34" s="128"/>
    </row>
    <row r="35" spans="1:24">
      <c r="B35" s="128"/>
      <c r="C35" s="128"/>
      <c r="E35" s="128"/>
      <c r="F35" s="128"/>
      <c r="G35" s="128"/>
      <c r="H35" s="128"/>
      <c r="I35" s="128"/>
      <c r="J35" s="128"/>
      <c r="K35" s="128"/>
      <c r="L35" s="128"/>
      <c r="M35" s="128"/>
      <c r="N35" s="128"/>
      <c r="O35" s="128"/>
      <c r="P35" s="128"/>
      <c r="Q35" s="128"/>
      <c r="R35" s="128"/>
      <c r="S35" s="128"/>
      <c r="T35" s="128"/>
      <c r="U35" s="128"/>
      <c r="V35" s="128"/>
      <c r="W35" s="128"/>
      <c r="X35" s="128"/>
    </row>
    <row r="36" spans="1:24" ht="15.6">
      <c r="B36" s="3" t="s">
        <v>460</v>
      </c>
      <c r="C36" s="128"/>
      <c r="E36" s="128"/>
      <c r="F36" s="128"/>
      <c r="G36" s="128"/>
      <c r="H36" s="128"/>
      <c r="I36" s="128"/>
      <c r="J36" s="128"/>
      <c r="K36" s="128"/>
      <c r="L36" s="128"/>
      <c r="M36" s="128"/>
      <c r="N36" s="128"/>
      <c r="O36" s="128"/>
      <c r="P36" s="128"/>
      <c r="Q36" s="128"/>
      <c r="R36" s="128"/>
      <c r="S36" s="128"/>
      <c r="T36" s="128"/>
      <c r="U36" s="128"/>
      <c r="V36" s="128"/>
      <c r="W36" s="128"/>
      <c r="X36" s="128"/>
    </row>
    <row r="37" spans="1:24">
      <c r="B37" s="131"/>
      <c r="C37" s="128"/>
      <c r="E37" s="128"/>
      <c r="F37" s="128"/>
      <c r="G37" s="128"/>
      <c r="H37" s="128"/>
      <c r="I37" s="128"/>
      <c r="J37" s="128"/>
      <c r="K37" s="128"/>
      <c r="L37" s="128"/>
      <c r="M37" s="128"/>
      <c r="N37" s="128"/>
      <c r="O37" s="128"/>
      <c r="P37" s="128"/>
      <c r="Q37" s="128"/>
      <c r="R37" s="128"/>
      <c r="S37" s="128"/>
      <c r="T37" s="128"/>
      <c r="U37" s="128"/>
      <c r="V37" s="128"/>
      <c r="W37" s="128"/>
      <c r="X37" s="128"/>
    </row>
    <row r="38" spans="1:24">
      <c r="B38" s="131"/>
      <c r="C38" s="128"/>
      <c r="N38" s="128"/>
      <c r="O38" s="128"/>
      <c r="P38" s="128"/>
      <c r="Q38" s="128"/>
      <c r="R38" s="128"/>
      <c r="S38" s="128"/>
      <c r="T38" s="128"/>
      <c r="U38" s="128"/>
      <c r="V38" s="128"/>
      <c r="W38" s="128"/>
      <c r="X38" s="128"/>
    </row>
    <row r="39" spans="1:24">
      <c r="B39" s="128"/>
      <c r="C39" s="128"/>
      <c r="N39" s="128"/>
      <c r="O39" s="128"/>
      <c r="P39" s="128"/>
      <c r="Q39" s="128"/>
      <c r="R39" s="128"/>
      <c r="S39" s="128"/>
      <c r="T39" s="128"/>
      <c r="U39" s="128"/>
      <c r="V39" s="128"/>
      <c r="W39" s="128"/>
      <c r="X39" s="128"/>
    </row>
    <row r="40" spans="1:24">
      <c r="B40" s="128"/>
      <c r="C40" s="128"/>
      <c r="N40" s="128"/>
      <c r="O40" s="128"/>
      <c r="P40" s="128"/>
      <c r="Q40" s="128"/>
      <c r="R40" s="128"/>
      <c r="S40" s="128"/>
      <c r="T40" s="128"/>
      <c r="U40" s="128"/>
      <c r="V40" s="128"/>
      <c r="W40" s="128"/>
      <c r="X40" s="128"/>
    </row>
    <row r="41" spans="1:24">
      <c r="B41" s="128"/>
      <c r="C41" s="128"/>
      <c r="N41" s="128"/>
      <c r="O41" s="128"/>
      <c r="P41" s="128"/>
      <c r="Q41" s="128"/>
      <c r="R41" s="128"/>
      <c r="S41" s="128"/>
      <c r="T41" s="128"/>
      <c r="U41" s="128"/>
      <c r="V41" s="128"/>
      <c r="W41" s="128"/>
      <c r="X41" s="128"/>
    </row>
    <row r="42" spans="1:24">
      <c r="B42" s="128"/>
      <c r="C42" s="128"/>
      <c r="N42" s="128"/>
      <c r="O42" s="128"/>
      <c r="P42" s="128"/>
      <c r="Q42" s="128"/>
      <c r="R42" s="128"/>
      <c r="S42" s="128"/>
      <c r="T42" s="128"/>
      <c r="U42" s="128"/>
      <c r="V42" s="128"/>
      <c r="W42" s="128"/>
      <c r="X42" s="128"/>
    </row>
    <row r="43" spans="1:24">
      <c r="B43" s="128"/>
      <c r="C43" s="128"/>
      <c r="N43" s="128"/>
      <c r="O43" s="128"/>
      <c r="P43" s="128"/>
      <c r="Q43" s="128"/>
      <c r="R43" s="128"/>
      <c r="S43" s="128"/>
      <c r="T43" s="128"/>
      <c r="U43" s="128"/>
      <c r="V43" s="128"/>
      <c r="W43" s="128"/>
      <c r="X43" s="128"/>
    </row>
    <row r="44" spans="1:24">
      <c r="B44" s="128"/>
      <c r="C44" s="128"/>
      <c r="N44" s="128"/>
      <c r="O44" s="128"/>
      <c r="P44" s="128"/>
      <c r="Q44" s="128"/>
      <c r="R44" s="128"/>
      <c r="S44" s="128"/>
      <c r="T44" s="128"/>
      <c r="U44" s="128"/>
      <c r="V44" s="128"/>
      <c r="W44" s="128"/>
      <c r="X44" s="128"/>
    </row>
    <row r="45" spans="1:24">
      <c r="A45" s="128"/>
      <c r="B45" s="128"/>
      <c r="C45" s="128"/>
      <c r="N45" s="128"/>
      <c r="O45" s="128"/>
      <c r="P45" s="128"/>
      <c r="Q45" s="128"/>
      <c r="R45" s="128"/>
      <c r="S45" s="128"/>
      <c r="T45" s="128"/>
      <c r="U45" s="128"/>
      <c r="V45" s="128"/>
      <c r="W45" s="128"/>
      <c r="X45" s="128"/>
    </row>
    <row r="46" spans="1:24">
      <c r="N46" s="128"/>
      <c r="O46" s="128"/>
      <c r="P46" s="128"/>
      <c r="Q46" s="128"/>
      <c r="R46" s="128"/>
      <c r="S46" s="128"/>
      <c r="T46" s="128"/>
      <c r="U46" s="128"/>
      <c r="V46" s="128"/>
      <c r="W46" s="128"/>
      <c r="X46" s="128"/>
    </row>
    <row r="47" spans="1:24">
      <c r="N47" s="128"/>
      <c r="O47" s="128"/>
      <c r="P47" s="128"/>
      <c r="Q47" s="128"/>
      <c r="R47" s="128"/>
      <c r="S47" s="128"/>
      <c r="T47" s="128"/>
      <c r="U47" s="128"/>
      <c r="V47" s="128"/>
      <c r="W47" s="128"/>
      <c r="X47" s="128"/>
    </row>
    <row r="48" spans="1:24">
      <c r="N48" s="128"/>
      <c r="O48" s="128"/>
      <c r="P48" s="128"/>
      <c r="Q48" s="128"/>
      <c r="R48" s="128"/>
      <c r="S48" s="128"/>
      <c r="T48" s="128"/>
      <c r="U48" s="128"/>
      <c r="V48" s="128"/>
      <c r="W48" s="128"/>
      <c r="X48" s="128"/>
    </row>
    <row r="49" spans="3:24">
      <c r="N49" s="128"/>
      <c r="O49" s="128"/>
      <c r="P49" s="128"/>
      <c r="Q49" s="128"/>
      <c r="R49" s="128"/>
      <c r="S49" s="128"/>
      <c r="T49" s="128"/>
      <c r="U49" s="128"/>
      <c r="V49" s="128"/>
      <c r="W49" s="128"/>
      <c r="X49" s="128"/>
    </row>
    <row r="50" spans="3:24">
      <c r="N50" s="128"/>
      <c r="O50" s="128"/>
      <c r="P50" s="128"/>
      <c r="Q50" s="128"/>
      <c r="R50" s="128"/>
      <c r="S50" s="128"/>
      <c r="T50" s="128"/>
      <c r="U50" s="128"/>
      <c r="V50" s="128"/>
      <c r="W50" s="128"/>
      <c r="X50" s="128"/>
    </row>
    <row r="51" spans="3:24">
      <c r="C51" s="128"/>
      <c r="D51" s="128"/>
      <c r="E51" s="128"/>
      <c r="F51" s="128"/>
      <c r="G51" s="128"/>
      <c r="H51" s="128"/>
      <c r="I51" s="128"/>
      <c r="J51" s="128"/>
      <c r="K51" s="128"/>
      <c r="L51" s="128"/>
      <c r="M51" s="128"/>
      <c r="N51" s="128"/>
      <c r="O51" s="128"/>
      <c r="P51" s="128"/>
      <c r="Q51" s="128"/>
      <c r="R51" s="128"/>
      <c r="S51" s="128"/>
      <c r="T51" s="128"/>
      <c r="U51" s="128"/>
      <c r="V51" s="128"/>
      <c r="W51" s="128"/>
      <c r="X51" s="128"/>
    </row>
    <row r="52" spans="3:24">
      <c r="C52" s="128"/>
      <c r="D52" s="128"/>
      <c r="E52" s="128"/>
      <c r="F52" s="128"/>
      <c r="G52" s="128"/>
      <c r="H52" s="128"/>
      <c r="I52" s="128"/>
      <c r="J52" s="128"/>
      <c r="K52" s="128"/>
      <c r="L52" s="128"/>
      <c r="M52" s="128"/>
      <c r="N52" s="128"/>
      <c r="O52" s="128"/>
      <c r="P52" s="128"/>
      <c r="Q52" s="128"/>
      <c r="R52" s="128"/>
      <c r="S52" s="128"/>
      <c r="T52" s="128"/>
      <c r="U52" s="128"/>
      <c r="V52" s="128"/>
      <c r="W52" s="128"/>
      <c r="X52" s="128"/>
    </row>
    <row r="53" spans="3:24">
      <c r="C53" s="128"/>
      <c r="D53" s="128"/>
      <c r="E53" s="128"/>
      <c r="F53" s="128"/>
      <c r="G53" s="128"/>
      <c r="H53" s="128"/>
      <c r="I53" s="128"/>
      <c r="J53" s="128"/>
      <c r="K53" s="128"/>
      <c r="L53" s="128"/>
      <c r="M53" s="128"/>
      <c r="N53" s="128"/>
      <c r="O53" s="128"/>
      <c r="P53" s="128"/>
      <c r="Q53" s="128"/>
      <c r="R53" s="128"/>
      <c r="S53" s="128"/>
      <c r="T53" s="128"/>
      <c r="U53" s="128"/>
      <c r="V53" s="128"/>
      <c r="W53" s="128"/>
      <c r="X53" s="128"/>
    </row>
    <row r="54" spans="3:24">
      <c r="C54" s="128"/>
      <c r="D54" s="128"/>
      <c r="E54" s="128"/>
      <c r="F54" s="128"/>
      <c r="G54" s="128"/>
      <c r="H54" s="128"/>
      <c r="I54" s="128"/>
      <c r="J54" s="128"/>
      <c r="K54" s="128"/>
      <c r="L54" s="128"/>
      <c r="M54" s="128"/>
      <c r="N54" s="128"/>
      <c r="O54" s="128"/>
      <c r="P54" s="128"/>
      <c r="Q54" s="128"/>
      <c r="R54" s="128"/>
      <c r="S54" s="128"/>
      <c r="T54" s="128"/>
      <c r="U54" s="128"/>
      <c r="V54" s="128"/>
      <c r="W54" s="128"/>
      <c r="X54" s="128"/>
    </row>
    <row r="55" spans="3:24">
      <c r="C55" s="128"/>
      <c r="D55" s="128"/>
      <c r="E55" s="128"/>
      <c r="F55" s="128"/>
      <c r="G55" s="128"/>
      <c r="H55" s="128"/>
      <c r="I55" s="128"/>
      <c r="J55" s="128"/>
      <c r="K55" s="128"/>
      <c r="L55" s="128"/>
      <c r="M55" s="128"/>
      <c r="N55" s="128"/>
      <c r="O55" s="128"/>
      <c r="P55" s="128"/>
      <c r="Q55" s="128"/>
      <c r="R55" s="128"/>
      <c r="S55" s="128"/>
      <c r="T55" s="128"/>
      <c r="U55" s="128"/>
      <c r="V55" s="128"/>
      <c r="W55" s="128"/>
      <c r="X55" s="128"/>
    </row>
    <row r="56" spans="3:24">
      <c r="C56" s="128"/>
      <c r="D56" s="128"/>
      <c r="E56" s="128"/>
      <c r="F56" s="128"/>
      <c r="G56" s="128"/>
      <c r="H56" s="128"/>
      <c r="I56" s="128"/>
      <c r="J56" s="128"/>
      <c r="K56" s="128"/>
      <c r="L56" s="128"/>
      <c r="M56" s="128"/>
      <c r="N56" s="128"/>
      <c r="O56" s="128"/>
      <c r="P56" s="128"/>
      <c r="Q56" s="128"/>
      <c r="R56" s="128"/>
      <c r="S56" s="128"/>
      <c r="T56" s="128"/>
      <c r="U56" s="128"/>
      <c r="V56" s="128"/>
      <c r="W56" s="128"/>
      <c r="X56" s="128"/>
    </row>
    <row r="57" spans="3:24">
      <c r="C57" s="128"/>
      <c r="D57" s="128"/>
      <c r="E57" s="128"/>
      <c r="F57" s="128"/>
      <c r="G57" s="128"/>
      <c r="H57" s="128"/>
      <c r="I57" s="128"/>
      <c r="J57" s="128"/>
      <c r="K57" s="128"/>
      <c r="L57" s="128"/>
      <c r="M57" s="128"/>
      <c r="N57" s="128"/>
      <c r="O57" s="128"/>
      <c r="P57" s="128"/>
      <c r="Q57" s="128"/>
      <c r="R57" s="128"/>
      <c r="S57" s="128"/>
      <c r="T57" s="128"/>
      <c r="U57" s="128"/>
      <c r="V57" s="128"/>
      <c r="W57" s="128"/>
      <c r="X57" s="128"/>
    </row>
    <row r="58" spans="3:24">
      <c r="C58" s="128"/>
      <c r="D58" s="128"/>
      <c r="E58" s="128"/>
      <c r="F58" s="128"/>
      <c r="G58" s="128"/>
      <c r="H58" s="128"/>
      <c r="I58" s="128"/>
      <c r="J58" s="128"/>
      <c r="K58" s="128"/>
      <c r="L58" s="128"/>
      <c r="M58" s="128"/>
      <c r="N58" s="128"/>
      <c r="O58" s="128"/>
      <c r="P58" s="128"/>
      <c r="Q58" s="128"/>
      <c r="R58" s="128"/>
      <c r="S58" s="128"/>
      <c r="T58" s="128"/>
      <c r="U58" s="128"/>
      <c r="V58" s="128"/>
      <c r="W58" s="128"/>
      <c r="X58" s="128"/>
    </row>
    <row r="59" spans="3:24">
      <c r="C59" s="128"/>
      <c r="D59" s="128"/>
      <c r="E59" s="128"/>
      <c r="F59" s="128"/>
      <c r="G59" s="128"/>
      <c r="H59" s="128"/>
      <c r="I59" s="128"/>
      <c r="J59" s="128"/>
      <c r="K59" s="128"/>
      <c r="L59" s="128"/>
      <c r="M59" s="128"/>
      <c r="N59" s="128"/>
      <c r="O59" s="128"/>
      <c r="P59" s="128"/>
      <c r="Q59" s="128"/>
      <c r="R59" s="128"/>
      <c r="S59" s="128"/>
      <c r="T59" s="128"/>
      <c r="U59" s="128"/>
      <c r="V59" s="128"/>
      <c r="W59" s="128"/>
      <c r="X59" s="128"/>
    </row>
    <row r="60" spans="3:24">
      <c r="C60" s="128"/>
      <c r="D60" s="128"/>
      <c r="E60" s="128"/>
      <c r="F60" s="128"/>
      <c r="G60" s="128"/>
      <c r="H60" s="128"/>
      <c r="I60" s="128"/>
      <c r="J60" s="128"/>
      <c r="K60" s="128"/>
      <c r="L60" s="128"/>
      <c r="M60" s="128"/>
      <c r="N60" s="128"/>
      <c r="O60" s="128"/>
      <c r="P60" s="128"/>
      <c r="Q60" s="128"/>
      <c r="R60" s="128"/>
      <c r="S60" s="128"/>
      <c r="T60" s="128"/>
      <c r="U60" s="128"/>
      <c r="V60" s="128"/>
      <c r="W60" s="128"/>
      <c r="X60" s="128"/>
    </row>
    <row r="61" spans="3:24">
      <c r="C61" s="128"/>
      <c r="D61" s="128"/>
      <c r="E61" s="128"/>
      <c r="F61" s="128"/>
      <c r="G61" s="128"/>
      <c r="H61" s="128"/>
      <c r="I61" s="128"/>
      <c r="J61" s="128"/>
      <c r="K61" s="128"/>
      <c r="L61" s="128"/>
      <c r="M61" s="128"/>
      <c r="N61" s="128"/>
      <c r="O61" s="128"/>
      <c r="P61" s="128"/>
      <c r="Q61" s="128"/>
      <c r="R61" s="128"/>
      <c r="S61" s="128"/>
      <c r="T61" s="128"/>
      <c r="U61" s="128"/>
      <c r="V61" s="128"/>
      <c r="W61" s="128"/>
      <c r="X61" s="128"/>
    </row>
    <row r="62" spans="3:24">
      <c r="C62" s="128"/>
      <c r="D62" s="128"/>
      <c r="E62" s="128"/>
      <c r="F62" s="128"/>
      <c r="G62" s="128"/>
      <c r="H62" s="128"/>
      <c r="I62" s="128"/>
      <c r="J62" s="128"/>
      <c r="K62" s="128"/>
      <c r="L62" s="128"/>
      <c r="M62" s="128"/>
      <c r="N62" s="128"/>
      <c r="O62" s="128"/>
      <c r="P62" s="128"/>
      <c r="Q62" s="128"/>
      <c r="R62" s="128"/>
      <c r="S62" s="128"/>
      <c r="T62" s="128"/>
      <c r="U62" s="128"/>
      <c r="V62" s="128"/>
      <c r="W62" s="128"/>
      <c r="X62" s="128"/>
    </row>
    <row r="63" spans="3:24">
      <c r="C63" s="128"/>
      <c r="D63" s="128"/>
      <c r="E63" s="128"/>
      <c r="F63" s="128"/>
      <c r="G63" s="128"/>
      <c r="H63" s="128"/>
      <c r="I63" s="128"/>
      <c r="J63" s="128"/>
      <c r="K63" s="128"/>
      <c r="L63" s="128"/>
      <c r="M63" s="128"/>
      <c r="N63" s="128"/>
      <c r="O63" s="128"/>
      <c r="P63" s="128"/>
      <c r="Q63" s="128"/>
      <c r="R63" s="128"/>
      <c r="S63" s="128"/>
      <c r="T63" s="128"/>
      <c r="U63" s="128"/>
      <c r="V63" s="128"/>
      <c r="W63" s="128"/>
      <c r="X63" s="128"/>
    </row>
    <row r="64" spans="3:24">
      <c r="C64" s="128"/>
      <c r="D64" s="128"/>
      <c r="E64" s="128"/>
      <c r="F64" s="128"/>
      <c r="G64" s="128"/>
      <c r="H64" s="128"/>
      <c r="I64" s="128"/>
      <c r="J64" s="128"/>
      <c r="K64" s="128"/>
      <c r="L64" s="128"/>
      <c r="M64" s="128"/>
      <c r="N64" s="128"/>
      <c r="O64" s="128"/>
      <c r="P64" s="128"/>
      <c r="Q64" s="128"/>
      <c r="R64" s="128"/>
      <c r="S64" s="128"/>
      <c r="T64" s="128"/>
      <c r="U64" s="128"/>
      <c r="V64" s="128"/>
      <c r="W64" s="128"/>
      <c r="X64" s="128"/>
    </row>
    <row r="65" spans="3:24">
      <c r="C65" s="128"/>
      <c r="D65" s="128"/>
      <c r="E65" s="128"/>
      <c r="F65" s="128"/>
      <c r="G65" s="128"/>
      <c r="H65" s="128"/>
      <c r="I65" s="128"/>
      <c r="J65" s="128"/>
      <c r="K65" s="128"/>
      <c r="L65" s="128"/>
      <c r="M65" s="128"/>
      <c r="N65" s="128"/>
      <c r="O65" s="128"/>
      <c r="P65" s="128"/>
      <c r="Q65" s="128"/>
      <c r="R65" s="128"/>
      <c r="S65" s="128"/>
      <c r="T65" s="128"/>
      <c r="U65" s="128"/>
      <c r="V65" s="128"/>
      <c r="W65" s="128"/>
      <c r="X65" s="128"/>
    </row>
    <row r="66" spans="3:24">
      <c r="C66" s="128"/>
      <c r="D66" s="128"/>
      <c r="E66" s="128"/>
      <c r="F66" s="128"/>
      <c r="G66" s="128"/>
      <c r="H66" s="128"/>
      <c r="I66" s="128"/>
      <c r="J66" s="128"/>
      <c r="K66" s="128"/>
      <c r="L66" s="128"/>
      <c r="M66" s="128"/>
      <c r="N66" s="128"/>
      <c r="O66" s="128"/>
      <c r="P66" s="128"/>
      <c r="Q66" s="128"/>
      <c r="R66" s="128"/>
      <c r="S66" s="128"/>
      <c r="T66" s="128"/>
      <c r="U66" s="128"/>
      <c r="V66" s="128"/>
      <c r="W66" s="128"/>
      <c r="X66" s="128"/>
    </row>
    <row r="67" spans="3:24">
      <c r="C67" s="128"/>
      <c r="D67" s="128"/>
      <c r="E67" s="128"/>
      <c r="F67" s="128"/>
      <c r="G67" s="128"/>
      <c r="H67" s="128"/>
      <c r="I67" s="128"/>
      <c r="J67" s="128"/>
      <c r="K67" s="128"/>
      <c r="L67" s="128"/>
      <c r="M67" s="128"/>
      <c r="N67" s="128"/>
      <c r="O67" s="128"/>
      <c r="P67" s="128"/>
      <c r="Q67" s="128"/>
      <c r="R67" s="128"/>
      <c r="S67" s="128"/>
      <c r="T67" s="128"/>
      <c r="U67" s="128"/>
      <c r="V67" s="128"/>
      <c r="W67" s="128"/>
      <c r="X67" s="128"/>
    </row>
    <row r="68" spans="3:24">
      <c r="C68" s="128"/>
      <c r="D68" s="128"/>
      <c r="E68" s="128"/>
      <c r="F68" s="128"/>
      <c r="G68" s="128"/>
      <c r="H68" s="128"/>
      <c r="I68" s="128"/>
      <c r="J68" s="128"/>
      <c r="K68" s="128"/>
      <c r="L68" s="128"/>
      <c r="M68" s="128"/>
      <c r="N68" s="128"/>
      <c r="O68" s="128"/>
      <c r="P68" s="128"/>
      <c r="Q68" s="128"/>
      <c r="R68" s="128"/>
      <c r="S68" s="128"/>
      <c r="T68" s="128"/>
      <c r="U68" s="128"/>
      <c r="V68" s="128"/>
      <c r="W68" s="128"/>
      <c r="X68" s="128"/>
    </row>
    <row r="69" spans="3:24">
      <c r="C69" s="128"/>
      <c r="D69" s="128"/>
      <c r="E69" s="128"/>
      <c r="F69" s="128"/>
      <c r="G69" s="128"/>
      <c r="H69" s="128"/>
      <c r="I69" s="128"/>
      <c r="J69" s="128"/>
      <c r="K69" s="128"/>
      <c r="L69" s="128"/>
      <c r="M69" s="128"/>
      <c r="N69" s="128"/>
      <c r="O69" s="128"/>
      <c r="P69" s="128"/>
      <c r="Q69" s="128"/>
      <c r="R69" s="128"/>
      <c r="S69" s="128"/>
      <c r="T69" s="128"/>
      <c r="U69" s="128"/>
      <c r="V69" s="128"/>
      <c r="W69" s="128"/>
      <c r="X69" s="128"/>
    </row>
    <row r="70" spans="3:24">
      <c r="C70" s="128"/>
      <c r="D70" s="128"/>
      <c r="E70" s="128"/>
      <c r="F70" s="128"/>
      <c r="G70" s="128"/>
      <c r="H70" s="128"/>
      <c r="I70" s="128"/>
      <c r="J70" s="128"/>
      <c r="K70" s="128"/>
      <c r="L70" s="128"/>
      <c r="M70" s="128"/>
      <c r="N70" s="128"/>
      <c r="O70" s="128"/>
      <c r="P70" s="128"/>
      <c r="Q70" s="128"/>
      <c r="R70" s="128"/>
      <c r="S70" s="128"/>
      <c r="T70" s="128"/>
      <c r="U70" s="128"/>
      <c r="V70" s="128"/>
      <c r="W70" s="128"/>
      <c r="X70" s="128"/>
    </row>
    <row r="71" spans="3:24">
      <c r="C71" s="128"/>
      <c r="D71" s="128"/>
      <c r="E71" s="128"/>
      <c r="F71" s="128"/>
      <c r="G71" s="128"/>
      <c r="H71" s="128"/>
      <c r="I71" s="128"/>
      <c r="J71" s="128"/>
      <c r="K71" s="128"/>
      <c r="L71" s="128"/>
      <c r="M71" s="128"/>
      <c r="N71" s="128"/>
      <c r="O71" s="128"/>
      <c r="P71" s="128"/>
      <c r="Q71" s="128"/>
      <c r="R71" s="128"/>
      <c r="S71" s="128"/>
      <c r="T71" s="128"/>
      <c r="U71" s="128"/>
      <c r="V71" s="128"/>
      <c r="W71" s="128"/>
      <c r="X71" s="128"/>
    </row>
    <row r="72" spans="3:24">
      <c r="C72" s="128"/>
      <c r="D72" s="128"/>
      <c r="E72" s="128"/>
      <c r="F72" s="128"/>
      <c r="G72" s="128"/>
      <c r="H72" s="128"/>
      <c r="I72" s="128"/>
      <c r="J72" s="128"/>
      <c r="K72" s="128"/>
      <c r="L72" s="128"/>
      <c r="M72" s="128"/>
      <c r="N72" s="128"/>
      <c r="O72" s="128"/>
      <c r="P72" s="128"/>
      <c r="Q72" s="128"/>
      <c r="R72" s="128"/>
      <c r="S72" s="128"/>
      <c r="T72" s="128"/>
      <c r="U72" s="128"/>
      <c r="V72" s="128"/>
      <c r="W72" s="128"/>
      <c r="X72" s="128"/>
    </row>
    <row r="73" spans="3:24">
      <c r="C73" s="128"/>
      <c r="D73" s="128"/>
      <c r="E73" s="128"/>
      <c r="F73" s="128"/>
      <c r="G73" s="128"/>
      <c r="H73" s="128"/>
      <c r="I73" s="128"/>
      <c r="J73" s="128"/>
      <c r="K73" s="128"/>
      <c r="L73" s="128"/>
      <c r="M73" s="128"/>
      <c r="N73" s="128"/>
      <c r="O73" s="128"/>
      <c r="P73" s="128"/>
      <c r="Q73" s="128"/>
      <c r="R73" s="128"/>
      <c r="S73" s="128"/>
      <c r="T73" s="128"/>
      <c r="U73" s="128"/>
      <c r="V73" s="128"/>
      <c r="W73" s="128"/>
      <c r="X73" s="128"/>
    </row>
    <row r="74" spans="3:24">
      <c r="C74" s="128"/>
      <c r="D74" s="128"/>
      <c r="E74" s="128"/>
      <c r="F74" s="128"/>
      <c r="G74" s="128"/>
      <c r="H74" s="128"/>
      <c r="I74" s="128"/>
      <c r="J74" s="128"/>
      <c r="K74" s="128"/>
      <c r="L74" s="128"/>
      <c r="M74" s="128"/>
      <c r="N74" s="128"/>
      <c r="O74" s="128"/>
      <c r="P74" s="128"/>
      <c r="Q74" s="128"/>
      <c r="R74" s="128"/>
      <c r="S74" s="128"/>
      <c r="T74" s="128"/>
      <c r="U74" s="128"/>
      <c r="V74" s="128"/>
      <c r="W74" s="128"/>
      <c r="X74" s="128"/>
    </row>
    <row r="75" spans="3:24">
      <c r="C75" s="128"/>
      <c r="D75" s="128"/>
      <c r="E75" s="128"/>
      <c r="F75" s="128"/>
      <c r="G75" s="128"/>
      <c r="H75" s="128"/>
      <c r="I75" s="128"/>
      <c r="J75" s="128"/>
      <c r="K75" s="128"/>
      <c r="L75" s="128"/>
      <c r="M75" s="128"/>
      <c r="N75" s="128"/>
      <c r="O75" s="128"/>
      <c r="P75" s="128"/>
      <c r="Q75" s="128"/>
      <c r="R75" s="128"/>
      <c r="S75" s="128"/>
      <c r="T75" s="128"/>
      <c r="U75" s="128"/>
      <c r="V75" s="128"/>
      <c r="W75" s="128"/>
      <c r="X75" s="128"/>
    </row>
    <row r="76" spans="3:24">
      <c r="C76" s="128"/>
      <c r="D76" s="128"/>
      <c r="E76" s="128"/>
      <c r="F76" s="128"/>
      <c r="G76" s="128"/>
      <c r="H76" s="128"/>
      <c r="I76" s="128"/>
      <c r="J76" s="128"/>
      <c r="K76" s="128"/>
      <c r="L76" s="128"/>
      <c r="M76" s="128"/>
      <c r="N76" s="128"/>
      <c r="O76" s="128"/>
      <c r="P76" s="128"/>
      <c r="Q76" s="128"/>
      <c r="R76" s="128"/>
      <c r="S76" s="128"/>
      <c r="T76" s="128"/>
      <c r="U76" s="128"/>
      <c r="V76" s="128"/>
      <c r="W76" s="128"/>
      <c r="X76" s="128"/>
    </row>
    <row r="77" spans="3:24">
      <c r="C77" s="128"/>
      <c r="D77" s="128"/>
      <c r="E77" s="128"/>
      <c r="F77" s="128"/>
      <c r="G77" s="128"/>
      <c r="H77" s="128"/>
      <c r="I77" s="128"/>
      <c r="J77" s="128"/>
      <c r="K77" s="128"/>
      <c r="L77" s="128"/>
      <c r="M77" s="128"/>
      <c r="N77" s="128"/>
      <c r="O77" s="128"/>
      <c r="P77" s="128"/>
      <c r="Q77" s="128"/>
      <c r="R77" s="128"/>
      <c r="S77" s="128"/>
      <c r="T77" s="128"/>
      <c r="U77" s="128"/>
      <c r="V77" s="128"/>
      <c r="W77" s="128"/>
      <c r="X77" s="128"/>
    </row>
    <row r="78" spans="3:24">
      <c r="C78" s="128"/>
      <c r="D78" s="128"/>
      <c r="E78" s="128"/>
      <c r="F78" s="128"/>
      <c r="G78" s="128"/>
      <c r="H78" s="128"/>
      <c r="I78" s="128"/>
      <c r="J78" s="128"/>
      <c r="K78" s="128"/>
      <c r="L78" s="128"/>
      <c r="M78" s="128"/>
      <c r="N78" s="128"/>
      <c r="O78" s="128"/>
      <c r="P78" s="128"/>
      <c r="Q78" s="128"/>
      <c r="R78" s="128"/>
      <c r="S78" s="128"/>
      <c r="T78" s="128"/>
      <c r="U78" s="128"/>
      <c r="V78" s="128"/>
      <c r="W78" s="128"/>
      <c r="X78" s="128"/>
    </row>
    <row r="79" spans="3:24">
      <c r="C79" s="128"/>
      <c r="D79" s="128"/>
      <c r="E79" s="128"/>
      <c r="F79" s="128"/>
      <c r="G79" s="128"/>
      <c r="H79" s="128"/>
      <c r="I79" s="128"/>
      <c r="J79" s="128"/>
      <c r="K79" s="128"/>
      <c r="L79" s="128"/>
      <c r="M79" s="128"/>
      <c r="N79" s="128"/>
      <c r="O79" s="128"/>
      <c r="P79" s="128"/>
      <c r="Q79" s="128"/>
      <c r="R79" s="128"/>
      <c r="S79" s="128"/>
      <c r="T79" s="128"/>
      <c r="U79" s="128"/>
      <c r="V79" s="128"/>
      <c r="W79" s="128"/>
      <c r="X79" s="128"/>
    </row>
    <row r="80" spans="3:24">
      <c r="C80" s="128"/>
      <c r="D80" s="128"/>
      <c r="E80" s="128"/>
      <c r="F80" s="128"/>
      <c r="G80" s="128"/>
      <c r="H80" s="128"/>
      <c r="I80" s="128"/>
      <c r="J80" s="128"/>
      <c r="K80" s="128"/>
      <c r="L80" s="128"/>
      <c r="M80" s="128"/>
      <c r="N80" s="128"/>
      <c r="O80" s="128"/>
      <c r="P80" s="128"/>
      <c r="Q80" s="128"/>
      <c r="R80" s="128"/>
      <c r="S80" s="128"/>
      <c r="T80" s="128"/>
      <c r="U80" s="128"/>
      <c r="V80" s="128"/>
      <c r="W80" s="128"/>
      <c r="X80" s="128"/>
    </row>
    <row r="81" spans="3:24">
      <c r="C81" s="128"/>
      <c r="D81" s="128"/>
      <c r="E81" s="128"/>
      <c r="F81" s="128"/>
      <c r="G81" s="128"/>
      <c r="H81" s="128"/>
      <c r="I81" s="128"/>
      <c r="J81" s="128"/>
      <c r="K81" s="128"/>
      <c r="L81" s="128"/>
      <c r="M81" s="128"/>
      <c r="N81" s="128"/>
      <c r="O81" s="128"/>
      <c r="P81" s="128"/>
      <c r="Q81" s="128"/>
      <c r="R81" s="128"/>
      <c r="S81" s="128"/>
      <c r="T81" s="128"/>
      <c r="U81" s="128"/>
      <c r="V81" s="128"/>
      <c r="W81" s="128"/>
      <c r="X81" s="128"/>
    </row>
    <row r="82" spans="3:24">
      <c r="C82" s="128"/>
      <c r="D82" s="128"/>
      <c r="E82" s="128"/>
      <c r="F82" s="128"/>
      <c r="G82" s="128"/>
      <c r="H82" s="128"/>
      <c r="I82" s="128"/>
      <c r="J82" s="128"/>
      <c r="K82" s="128"/>
      <c r="L82" s="128"/>
      <c r="M82" s="128"/>
      <c r="N82" s="128"/>
      <c r="O82" s="128"/>
      <c r="P82" s="128"/>
      <c r="Q82" s="128"/>
      <c r="R82" s="128"/>
      <c r="S82" s="128"/>
      <c r="T82" s="128"/>
      <c r="U82" s="128"/>
      <c r="V82" s="128"/>
      <c r="W82" s="128"/>
      <c r="X82" s="128"/>
    </row>
    <row r="83" spans="3:24">
      <c r="C83" s="128"/>
      <c r="D83" s="128"/>
      <c r="E83" s="128"/>
      <c r="F83" s="128"/>
      <c r="G83" s="128"/>
      <c r="H83" s="128"/>
      <c r="I83" s="128"/>
      <c r="J83" s="128"/>
      <c r="K83" s="128"/>
      <c r="L83" s="128"/>
      <c r="M83" s="128"/>
      <c r="N83" s="128"/>
      <c r="O83" s="128"/>
      <c r="P83" s="128"/>
      <c r="Q83" s="128"/>
      <c r="R83" s="128"/>
      <c r="S83" s="128"/>
      <c r="T83" s="128"/>
      <c r="U83" s="128"/>
      <c r="V83" s="128"/>
      <c r="W83" s="128"/>
      <c r="X83" s="128"/>
    </row>
    <row r="84" spans="3:24">
      <c r="C84" s="128"/>
      <c r="D84" s="128"/>
      <c r="E84" s="128"/>
      <c r="F84" s="128"/>
      <c r="G84" s="128"/>
      <c r="H84" s="128"/>
      <c r="I84" s="128"/>
      <c r="J84" s="128"/>
      <c r="K84" s="128"/>
      <c r="L84" s="128"/>
      <c r="M84" s="128"/>
      <c r="N84" s="128"/>
      <c r="O84" s="128"/>
      <c r="P84" s="128"/>
      <c r="Q84" s="128"/>
      <c r="R84" s="128"/>
      <c r="S84" s="128"/>
      <c r="T84" s="128"/>
      <c r="U84" s="128"/>
      <c r="V84" s="128"/>
      <c r="W84" s="128"/>
      <c r="X84" s="128"/>
    </row>
    <row r="85" spans="3:24">
      <c r="C85" s="128"/>
      <c r="D85" s="128"/>
      <c r="E85" s="128"/>
      <c r="F85" s="128"/>
      <c r="G85" s="128"/>
      <c r="H85" s="128"/>
      <c r="I85" s="128"/>
      <c r="J85" s="128"/>
      <c r="K85" s="128"/>
      <c r="L85" s="128"/>
      <c r="M85" s="128"/>
      <c r="N85" s="128"/>
      <c r="O85" s="128"/>
      <c r="P85" s="128"/>
      <c r="Q85" s="128"/>
      <c r="R85" s="128"/>
      <c r="S85" s="128"/>
      <c r="T85" s="128"/>
      <c r="U85" s="128"/>
      <c r="V85" s="128"/>
      <c r="W85" s="128"/>
      <c r="X85" s="128"/>
    </row>
    <row r="86" spans="3:24">
      <c r="C86" s="128"/>
      <c r="D86" s="128"/>
      <c r="E86" s="128"/>
      <c r="F86" s="128"/>
      <c r="G86" s="128"/>
      <c r="H86" s="128"/>
      <c r="I86" s="128"/>
      <c r="J86" s="128"/>
      <c r="K86" s="128"/>
      <c r="L86" s="128"/>
      <c r="M86" s="128"/>
      <c r="N86" s="128"/>
      <c r="O86" s="128"/>
      <c r="P86" s="128"/>
      <c r="Q86" s="128"/>
      <c r="R86" s="128"/>
      <c r="S86" s="128"/>
      <c r="T86" s="128"/>
      <c r="U86" s="128"/>
      <c r="V86" s="128"/>
      <c r="W86" s="128"/>
      <c r="X86" s="128"/>
    </row>
    <row r="87" spans="3:24">
      <c r="C87" s="128"/>
      <c r="D87" s="128"/>
      <c r="E87" s="128"/>
      <c r="F87" s="128"/>
      <c r="G87" s="128"/>
      <c r="H87" s="128"/>
      <c r="I87" s="128"/>
      <c r="J87" s="128"/>
      <c r="K87" s="128"/>
      <c r="L87" s="128"/>
      <c r="M87" s="128"/>
      <c r="N87" s="128"/>
      <c r="O87" s="128"/>
      <c r="P87" s="128"/>
      <c r="Q87" s="128"/>
      <c r="R87" s="128"/>
      <c r="S87" s="128"/>
      <c r="T87" s="128"/>
      <c r="U87" s="128"/>
      <c r="V87" s="128"/>
      <c r="W87" s="128"/>
      <c r="X87" s="128"/>
    </row>
    <row r="88" spans="3:24">
      <c r="C88" s="128"/>
      <c r="D88" s="128"/>
      <c r="E88" s="128"/>
      <c r="F88" s="128"/>
      <c r="G88" s="128"/>
      <c r="H88" s="128"/>
      <c r="I88" s="128"/>
      <c r="J88" s="128"/>
      <c r="K88" s="128"/>
      <c r="L88" s="128"/>
      <c r="M88" s="128"/>
      <c r="N88" s="128"/>
      <c r="O88" s="128"/>
      <c r="P88" s="128"/>
      <c r="Q88" s="128"/>
      <c r="R88" s="128"/>
      <c r="S88" s="128"/>
      <c r="T88" s="128"/>
      <c r="U88" s="128"/>
      <c r="V88" s="128"/>
      <c r="W88" s="128"/>
      <c r="X88" s="128"/>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48273-A6D1-4499-A8D9-4DE744AA6A28}">
  <sheetPr codeName="Sheet13"/>
  <dimension ref="A2:X88"/>
  <sheetViews>
    <sheetView showGridLines="0" topLeftCell="A4" zoomScaleNormal="100" workbookViewId="0">
      <pane ySplit="2" topLeftCell="A6" activePane="bottomLeft" state="frozen"/>
      <selection activeCell="H19" sqref="H19"/>
      <selection pane="bottomLeft" activeCell="K41" sqref="K41"/>
    </sheetView>
  </sheetViews>
  <sheetFormatPr defaultColWidth="11.77734375" defaultRowHeight="15"/>
  <cols>
    <col min="1" max="1" width="2.6640625" style="2" customWidth="1"/>
    <col min="2" max="2" width="15.5546875" style="2" customWidth="1"/>
    <col min="3" max="3" width="19" style="2" customWidth="1"/>
    <col min="4" max="7" width="15.5546875" style="2" customWidth="1"/>
    <col min="8" max="10" width="20.21875" style="2" customWidth="1"/>
    <col min="11" max="11" width="92" style="2" customWidth="1"/>
    <col min="12" max="20" width="15.5546875" style="2" customWidth="1"/>
    <col min="21" max="16384" width="11.77734375" style="2"/>
  </cols>
  <sheetData>
    <row r="2" spans="2:24" ht="15.6">
      <c r="C2" s="3"/>
    </row>
    <row r="3" spans="2:24" ht="15.6">
      <c r="F3"/>
    </row>
    <row r="4" spans="2:24" ht="15.6">
      <c r="N4"/>
    </row>
    <row r="5" spans="2:24">
      <c r="B5" s="140"/>
      <c r="C5" s="140" t="s">
        <v>431</v>
      </c>
      <c r="D5" s="140" t="s">
        <v>447</v>
      </c>
      <c r="E5" s="140" t="s">
        <v>432</v>
      </c>
      <c r="F5" s="140" t="s">
        <v>435</v>
      </c>
      <c r="G5" s="140" t="s">
        <v>436</v>
      </c>
      <c r="H5" s="140" t="s">
        <v>433</v>
      </c>
      <c r="I5" s="140" t="s">
        <v>463</v>
      </c>
      <c r="J5" s="140" t="s">
        <v>464</v>
      </c>
      <c r="K5" s="140" t="s">
        <v>437</v>
      </c>
      <c r="L5" s="140"/>
      <c r="M5" s="140"/>
      <c r="N5" s="139"/>
      <c r="O5" s="139"/>
      <c r="P5" s="139"/>
      <c r="Q5" s="139"/>
      <c r="R5" s="139"/>
      <c r="S5" s="139"/>
      <c r="T5" s="139"/>
    </row>
    <row r="6" spans="2:24" ht="15.6">
      <c r="B6" s="3" t="s">
        <v>430</v>
      </c>
      <c r="C6" s="136">
        <v>14066</v>
      </c>
      <c r="D6" s="136">
        <v>14232.1</v>
      </c>
      <c r="E6" s="136">
        <v>15084.5</v>
      </c>
      <c r="F6" s="136">
        <v>14219</v>
      </c>
      <c r="G6" s="136">
        <v>14251</v>
      </c>
      <c r="H6" s="136">
        <v>14147</v>
      </c>
      <c r="I6" s="136"/>
      <c r="J6" s="136"/>
      <c r="K6" s="128" t="s">
        <v>438</v>
      </c>
      <c r="L6" s="128"/>
      <c r="M6" s="128"/>
      <c r="N6" s="128"/>
      <c r="O6" s="128"/>
      <c r="P6" s="128"/>
      <c r="Q6" s="128"/>
      <c r="R6" s="128"/>
      <c r="S6" s="128"/>
      <c r="T6" s="128"/>
      <c r="U6" s="128"/>
      <c r="V6" s="128"/>
      <c r="W6" s="128"/>
      <c r="X6" s="128"/>
    </row>
    <row r="7" spans="2:24" ht="15.6">
      <c r="B7" s="137" t="s">
        <v>434</v>
      </c>
      <c r="C7" s="138">
        <f>(C6-'Street estimates-FY24'!C6)/'Street estimates-FY24'!C6</f>
        <v>0.10254983265008577</v>
      </c>
      <c r="D7" s="138">
        <f>(D6-'Street estimates-FY24'!D6)/'Street estimates-FY24'!D6</f>
        <v>0.12386780905752758</v>
      </c>
      <c r="E7" s="138">
        <f>(E6-'Street estimates-FY24'!E6)/'Street estimates-FY24'!E6</f>
        <v>0.17042077575437803</v>
      </c>
      <c r="F7" s="138">
        <f>(F6-'Street estimates-FY24'!F6)/'Street estimates-FY24'!F6</f>
        <v>0.10852108832930538</v>
      </c>
      <c r="G7" s="138">
        <f>(G6-'Street estimates-FY24'!G6)/'Street estimates-FY24'!G6</f>
        <v>0.10658156292707172</v>
      </c>
      <c r="H7" s="138">
        <f>(H6-'Street estimates-FY24'!H6)/'Street estimates-FY24'!H6</f>
        <v>0.11166116611661166</v>
      </c>
      <c r="I7" s="138">
        <f>AVERAGE(C7:H7)</f>
        <v>0.12060037247249668</v>
      </c>
      <c r="J7" s="138">
        <f>MEDIAN(C7:H7)</f>
        <v>0.11009112722295852</v>
      </c>
      <c r="K7" s="128"/>
      <c r="L7" s="128"/>
      <c r="M7" s="128"/>
      <c r="N7" s="128"/>
      <c r="O7" s="128"/>
      <c r="P7" s="128"/>
      <c r="Q7" s="128"/>
      <c r="R7" s="128"/>
      <c r="S7" s="128"/>
      <c r="T7" s="128"/>
      <c r="U7" s="128"/>
      <c r="V7" s="128"/>
      <c r="W7" s="128"/>
      <c r="X7" s="128"/>
    </row>
    <row r="8" spans="2:24">
      <c r="C8" s="128"/>
      <c r="D8" s="128"/>
      <c r="E8" s="128"/>
      <c r="F8" s="128"/>
      <c r="G8" s="128"/>
      <c r="H8" s="128"/>
      <c r="I8" s="128"/>
      <c r="J8" s="128"/>
      <c r="K8" s="128"/>
      <c r="L8" s="128"/>
      <c r="M8" s="128"/>
      <c r="N8" s="128"/>
      <c r="O8" s="128"/>
      <c r="P8" s="128"/>
      <c r="Q8" s="128"/>
      <c r="R8" s="128"/>
      <c r="S8" s="128"/>
      <c r="T8" s="128"/>
      <c r="U8" s="128"/>
      <c r="V8" s="128"/>
      <c r="W8" s="128"/>
      <c r="X8" s="128"/>
    </row>
    <row r="9" spans="2:24">
      <c r="B9" s="2" t="s">
        <v>439</v>
      </c>
      <c r="C9" s="136">
        <v>2911.7</v>
      </c>
      <c r="D9" s="136">
        <v>2958</v>
      </c>
      <c r="E9" s="136">
        <v>3281.4</v>
      </c>
      <c r="F9" s="136">
        <v>2891</v>
      </c>
      <c r="G9" s="136">
        <v>2884.9</v>
      </c>
      <c r="H9" s="136" t="s">
        <v>440</v>
      </c>
      <c r="I9" s="136"/>
      <c r="J9" s="136"/>
      <c r="K9" s="128" t="s">
        <v>441</v>
      </c>
      <c r="L9" s="128"/>
      <c r="M9" s="128"/>
      <c r="N9" s="128"/>
      <c r="O9" s="128"/>
      <c r="P9" s="128"/>
      <c r="Q9" s="128"/>
      <c r="R9" s="128"/>
      <c r="S9" s="128"/>
      <c r="T9" s="128"/>
      <c r="U9" s="128"/>
      <c r="V9" s="128"/>
      <c r="W9" s="128"/>
      <c r="X9" s="128"/>
    </row>
    <row r="10" spans="2:24" ht="15.6">
      <c r="B10" s="137" t="s">
        <v>366</v>
      </c>
      <c r="C10" s="138">
        <f>C9/C6</f>
        <v>0.20700270154983647</v>
      </c>
      <c r="D10" s="138">
        <f t="shared" ref="D10:G10" si="0">D9/D6</f>
        <v>0.20784002360860307</v>
      </c>
      <c r="E10" s="138">
        <f t="shared" si="0"/>
        <v>0.21753455533826113</v>
      </c>
      <c r="F10" s="138">
        <f t="shared" si="0"/>
        <v>0.2033195020746888</v>
      </c>
      <c r="G10" s="138">
        <f t="shared" si="0"/>
        <v>0.20243491684794049</v>
      </c>
      <c r="H10" s="138" t="s">
        <v>158</v>
      </c>
      <c r="I10" s="138">
        <f>AVERAGE(C10:H10)</f>
        <v>0.20762633988386597</v>
      </c>
      <c r="J10" s="138">
        <f>MEDIAN(C10:H10)</f>
        <v>0.20700270154983647</v>
      </c>
      <c r="K10" s="128"/>
      <c r="L10" s="128"/>
      <c r="M10" s="128"/>
      <c r="N10" s="128"/>
      <c r="O10" s="128"/>
      <c r="P10" s="128"/>
      <c r="Q10" s="128"/>
      <c r="R10" s="128"/>
      <c r="S10" s="128"/>
      <c r="T10" s="128"/>
      <c r="U10" s="128"/>
      <c r="V10" s="128"/>
      <c r="W10" s="128"/>
      <c r="X10" s="128"/>
    </row>
    <row r="11" spans="2:24">
      <c r="C11" s="128"/>
      <c r="D11" s="128"/>
      <c r="E11" s="128"/>
      <c r="F11" s="128"/>
      <c r="G11" s="128"/>
      <c r="H11" s="128"/>
      <c r="I11" s="128"/>
      <c r="J11" s="128"/>
      <c r="K11" s="128"/>
      <c r="L11" s="128"/>
      <c r="M11" s="128"/>
      <c r="N11" s="128"/>
      <c r="O11" s="128"/>
      <c r="P11" s="128"/>
      <c r="Q11" s="128"/>
      <c r="R11" s="128"/>
      <c r="S11" s="128"/>
      <c r="T11" s="128"/>
      <c r="U11" s="128"/>
      <c r="V11" s="128"/>
      <c r="W11" s="128"/>
      <c r="X11" s="128"/>
    </row>
    <row r="12" spans="2:24">
      <c r="B12" s="2" t="s">
        <v>442</v>
      </c>
      <c r="C12" s="136" t="s">
        <v>440</v>
      </c>
      <c r="D12" s="136">
        <v>421.5</v>
      </c>
      <c r="E12" s="136">
        <v>398</v>
      </c>
      <c r="F12" s="136">
        <v>380</v>
      </c>
      <c r="G12" s="136">
        <v>406.4</v>
      </c>
      <c r="H12" s="136" t="s">
        <v>440</v>
      </c>
      <c r="I12" s="136"/>
      <c r="J12" s="136"/>
      <c r="K12" s="128" t="s">
        <v>443</v>
      </c>
      <c r="L12" s="128"/>
      <c r="M12" s="128"/>
      <c r="N12" s="128"/>
      <c r="O12" s="128"/>
      <c r="P12" s="128"/>
      <c r="Q12" s="128"/>
      <c r="R12" s="128"/>
      <c r="S12" s="128"/>
      <c r="T12" s="128"/>
      <c r="U12" s="128"/>
      <c r="V12" s="128"/>
      <c r="W12" s="128"/>
      <c r="X12" s="128"/>
    </row>
    <row r="13" spans="2:24" ht="15.6">
      <c r="B13" s="137" t="s">
        <v>450</v>
      </c>
      <c r="C13" s="138" t="str">
        <f t="shared" ref="C13:G13" si="1">IFERROR(C12/C6,"-")</f>
        <v>-</v>
      </c>
      <c r="D13" s="138">
        <f t="shared" si="1"/>
        <v>2.9616149408730967E-2</v>
      </c>
      <c r="E13" s="138">
        <f t="shared" si="1"/>
        <v>2.6384699526003513E-2</v>
      </c>
      <c r="F13" s="138">
        <f t="shared" si="1"/>
        <v>2.6724804838596246E-2</v>
      </c>
      <c r="G13" s="138">
        <f t="shared" si="1"/>
        <v>2.851729703178724E-2</v>
      </c>
      <c r="H13" s="138"/>
      <c r="I13" s="138">
        <f>AVERAGE(C13:H13)</f>
        <v>2.7810737701279488E-2</v>
      </c>
      <c r="J13" s="138">
        <f>MEDIAN(C13:H13)</f>
        <v>2.7621050935191745E-2</v>
      </c>
      <c r="K13" s="128" t="s">
        <v>444</v>
      </c>
      <c r="L13" s="128"/>
      <c r="M13" s="128"/>
      <c r="N13" s="128"/>
      <c r="O13" s="128"/>
      <c r="P13" s="128"/>
      <c r="Q13" s="128"/>
      <c r="R13" s="128"/>
      <c r="S13" s="128"/>
      <c r="T13" s="128"/>
      <c r="U13" s="128"/>
      <c r="V13" s="128"/>
      <c r="W13" s="128"/>
      <c r="X13" s="128"/>
    </row>
    <row r="14" spans="2:24">
      <c r="C14" s="128"/>
      <c r="D14" s="128"/>
      <c r="E14" s="128"/>
      <c r="F14" s="128"/>
      <c r="G14" s="128"/>
      <c r="H14" s="128"/>
      <c r="I14" s="128"/>
      <c r="J14" s="128"/>
      <c r="K14" s="128"/>
      <c r="L14" s="128"/>
      <c r="M14" s="128"/>
      <c r="N14" s="128"/>
      <c r="O14" s="128"/>
      <c r="P14" s="128"/>
      <c r="Q14" s="128"/>
      <c r="R14" s="128"/>
      <c r="S14" s="128"/>
      <c r="T14" s="128"/>
      <c r="U14" s="128"/>
      <c r="V14" s="128"/>
      <c r="W14" s="128"/>
      <c r="X14" s="128"/>
    </row>
    <row r="15" spans="2:24">
      <c r="B15" s="2" t="s">
        <v>445</v>
      </c>
      <c r="C15" s="136" t="s">
        <v>440</v>
      </c>
      <c r="D15" s="128">
        <f>D9-D12</f>
        <v>2536.5</v>
      </c>
      <c r="E15" s="128">
        <f t="shared" ref="E15:G15" si="2">E9-E12</f>
        <v>2883.4</v>
      </c>
      <c r="F15" s="128">
        <f t="shared" si="2"/>
        <v>2511</v>
      </c>
      <c r="G15" s="128">
        <f t="shared" si="2"/>
        <v>2478.5</v>
      </c>
      <c r="H15" s="136" t="s">
        <v>440</v>
      </c>
      <c r="I15" s="136"/>
      <c r="J15" s="136"/>
      <c r="K15" s="128" t="s">
        <v>446</v>
      </c>
      <c r="L15" s="128"/>
      <c r="M15" s="128"/>
      <c r="N15" s="128"/>
      <c r="O15" s="128"/>
      <c r="P15" s="128"/>
      <c r="Q15" s="128"/>
      <c r="R15" s="128"/>
      <c r="S15" s="128"/>
      <c r="T15" s="128"/>
      <c r="U15" s="128"/>
      <c r="V15" s="128"/>
      <c r="W15" s="128"/>
      <c r="X15" s="128"/>
    </row>
    <row r="16" spans="2:24" ht="15.6">
      <c r="B16" s="137" t="s">
        <v>366</v>
      </c>
      <c r="C16" s="138" t="str">
        <f t="shared" ref="C16:H16" si="3">IFERROR(C15/C6,"-")</f>
        <v>-</v>
      </c>
      <c r="D16" s="138">
        <f t="shared" si="3"/>
        <v>0.17822387419987212</v>
      </c>
      <c r="E16" s="138">
        <f t="shared" si="3"/>
        <v>0.19114985581225763</v>
      </c>
      <c r="F16" s="138">
        <f t="shared" si="3"/>
        <v>0.17659469723609256</v>
      </c>
      <c r="G16" s="138">
        <f t="shared" si="3"/>
        <v>0.17391761981615325</v>
      </c>
      <c r="H16" s="138" t="str">
        <f t="shared" si="3"/>
        <v>-</v>
      </c>
      <c r="I16" s="138">
        <f>AVERAGE(C16:H16)</f>
        <v>0.17997151176609391</v>
      </c>
      <c r="J16" s="138">
        <f>MEDIAN(C16:H16)</f>
        <v>0.17740928571798234</v>
      </c>
      <c r="K16" s="128"/>
      <c r="L16" s="128"/>
      <c r="M16" s="128"/>
      <c r="N16" s="128"/>
      <c r="O16" s="128"/>
      <c r="P16" s="128"/>
      <c r="Q16" s="128"/>
      <c r="R16" s="128"/>
      <c r="S16" s="128"/>
      <c r="T16" s="128"/>
      <c r="U16" s="128"/>
      <c r="V16" s="128"/>
      <c r="W16" s="128"/>
      <c r="X16" s="128"/>
    </row>
    <row r="17" spans="1:24">
      <c r="C17" s="128"/>
      <c r="D17" s="128"/>
      <c r="E17" s="128"/>
      <c r="F17" s="128"/>
      <c r="G17" s="128"/>
      <c r="H17" s="128"/>
      <c r="I17" s="128"/>
      <c r="J17" s="128"/>
      <c r="K17" s="128"/>
      <c r="L17" s="128"/>
      <c r="M17" s="128"/>
      <c r="N17" s="128"/>
      <c r="O17" s="128"/>
      <c r="P17" s="128"/>
      <c r="Q17" s="128"/>
      <c r="R17" s="128"/>
      <c r="S17" s="128"/>
      <c r="T17" s="128"/>
      <c r="U17" s="128"/>
      <c r="V17" s="128"/>
      <c r="W17" s="128"/>
      <c r="X17" s="128"/>
    </row>
    <row r="18" spans="1:24">
      <c r="B18" s="2" t="s">
        <v>284</v>
      </c>
      <c r="C18" s="136" t="s">
        <v>440</v>
      </c>
      <c r="D18" s="136">
        <v>97.2</v>
      </c>
      <c r="E18" s="136">
        <v>69.5</v>
      </c>
      <c r="F18" s="136">
        <v>90</v>
      </c>
      <c r="G18" s="136">
        <v>76.900000000000006</v>
      </c>
      <c r="H18" s="136" t="s">
        <v>440</v>
      </c>
      <c r="I18" s="136"/>
      <c r="J18" s="136"/>
      <c r="K18" s="128"/>
      <c r="L18" s="128"/>
      <c r="M18" s="128"/>
      <c r="N18" s="128"/>
      <c r="O18" s="128"/>
      <c r="P18" s="128"/>
      <c r="Q18" s="128"/>
      <c r="R18" s="128"/>
      <c r="S18" s="128"/>
      <c r="T18" s="128"/>
      <c r="U18" s="128"/>
      <c r="V18" s="128"/>
      <c r="W18" s="128"/>
      <c r="X18" s="128"/>
    </row>
    <row r="19" spans="1:24" ht="15.6">
      <c r="B19" s="137" t="s">
        <v>450</v>
      </c>
      <c r="C19" s="138" t="s">
        <v>158</v>
      </c>
      <c r="D19" s="138">
        <f>IFERROR(D18/D6,"-")</f>
        <v>6.8296316074226574E-3</v>
      </c>
      <c r="E19" s="138">
        <f>IFERROR(E18/E6,"-")</f>
        <v>4.6073784348171967E-3</v>
      </c>
      <c r="F19" s="138">
        <f>IFERROR(F18/F6,"-")</f>
        <v>6.3295590407201636E-3</v>
      </c>
      <c r="G19" s="138">
        <f>IFERROR(G18/G6,"-")</f>
        <v>5.3961125535050176E-3</v>
      </c>
      <c r="H19" s="138" t="s">
        <v>158</v>
      </c>
      <c r="I19" s="138">
        <f>AVERAGE(C19:H19)</f>
        <v>5.7906704091162586E-3</v>
      </c>
      <c r="J19" s="138">
        <f>MEDIAN(C19:H19)</f>
        <v>5.8628357971125906E-3</v>
      </c>
      <c r="K19" s="128"/>
      <c r="L19" s="128"/>
      <c r="M19" s="128"/>
      <c r="N19" s="128"/>
      <c r="O19" s="128"/>
      <c r="P19" s="128"/>
      <c r="Q19" s="128"/>
      <c r="R19" s="128"/>
      <c r="S19" s="128"/>
      <c r="T19" s="128"/>
      <c r="U19" s="128"/>
      <c r="V19" s="128"/>
      <c r="W19" s="128"/>
      <c r="X19" s="128"/>
    </row>
    <row r="20" spans="1:24">
      <c r="C20" s="128"/>
      <c r="D20" s="128"/>
      <c r="E20" s="128"/>
      <c r="F20" s="128"/>
      <c r="G20" s="128"/>
      <c r="H20" s="128"/>
      <c r="I20" s="128"/>
      <c r="J20" s="128"/>
      <c r="N20" s="128"/>
      <c r="O20" s="128"/>
      <c r="P20" s="128"/>
      <c r="Q20" s="128"/>
      <c r="R20" s="128"/>
      <c r="S20" s="128"/>
      <c r="T20" s="128"/>
      <c r="U20" s="128"/>
      <c r="V20" s="128"/>
      <c r="W20" s="128"/>
      <c r="X20" s="128"/>
    </row>
    <row r="21" spans="1:24">
      <c r="B21" s="2" t="s">
        <v>48</v>
      </c>
      <c r="C21" s="136" t="s">
        <v>440</v>
      </c>
      <c r="D21" s="136">
        <v>537.29999999999995</v>
      </c>
      <c r="E21" s="136">
        <v>493.4</v>
      </c>
      <c r="F21" s="136">
        <v>539</v>
      </c>
      <c r="G21" s="136">
        <v>551.6</v>
      </c>
      <c r="H21" s="136" t="s">
        <v>440</v>
      </c>
      <c r="I21" s="136"/>
      <c r="J21" s="136"/>
      <c r="N21" s="128"/>
      <c r="O21" s="128"/>
      <c r="P21" s="128"/>
      <c r="Q21" s="128"/>
      <c r="R21" s="128"/>
      <c r="S21" s="128"/>
      <c r="T21" s="128"/>
      <c r="U21" s="128"/>
      <c r="V21" s="128"/>
      <c r="W21" s="128"/>
      <c r="X21" s="128"/>
    </row>
    <row r="22" spans="1:24" ht="15.6">
      <c r="B22" s="137" t="s">
        <v>450</v>
      </c>
      <c r="C22" s="138" t="s">
        <v>158</v>
      </c>
      <c r="D22" s="138">
        <f>D21/D6</f>
        <v>3.7752685829919683E-2</v>
      </c>
      <c r="E22" s="138">
        <f>E21/E6</f>
        <v>3.2709072226457622E-2</v>
      </c>
      <c r="F22" s="138">
        <f>F21/F6</f>
        <v>3.7907025810535198E-2</v>
      </c>
      <c r="G22" s="138">
        <f>G21/G6</f>
        <v>3.8706055715388397E-2</v>
      </c>
      <c r="H22" s="138" t="s">
        <v>158</v>
      </c>
      <c r="I22" s="138">
        <f>AVERAGE(C22:H22)</f>
        <v>3.6768709895575229E-2</v>
      </c>
      <c r="J22" s="138">
        <f>MEDIAN(C22:H22)</f>
        <v>3.7829855820227437E-2</v>
      </c>
      <c r="N22" s="128"/>
      <c r="O22" s="128"/>
      <c r="P22" s="128"/>
      <c r="Q22" s="128"/>
      <c r="R22" s="128"/>
      <c r="S22" s="128"/>
      <c r="T22" s="128"/>
      <c r="U22" s="128"/>
      <c r="V22" s="128"/>
      <c r="W22" s="128"/>
      <c r="X22" s="128"/>
    </row>
    <row r="23" spans="1:24">
      <c r="C23" s="128"/>
      <c r="E23" s="128"/>
      <c r="F23" s="128"/>
      <c r="G23" s="128"/>
      <c r="H23" s="128"/>
      <c r="I23" s="128"/>
      <c r="J23" s="128"/>
      <c r="N23" s="128"/>
      <c r="O23" s="128"/>
      <c r="P23" s="128"/>
      <c r="Q23" s="128"/>
      <c r="R23" s="128"/>
      <c r="S23" s="128"/>
      <c r="T23" s="128"/>
      <c r="U23" s="128"/>
      <c r="V23" s="128"/>
      <c r="W23" s="128"/>
      <c r="X23" s="128"/>
    </row>
    <row r="24" spans="1:24">
      <c r="B24" s="2" t="s">
        <v>451</v>
      </c>
      <c r="C24" s="136">
        <v>13.1</v>
      </c>
      <c r="D24" s="136">
        <v>13.1</v>
      </c>
      <c r="E24" s="136">
        <v>14.5</v>
      </c>
      <c r="F24" s="136">
        <v>12.9</v>
      </c>
      <c r="G24" s="136">
        <v>12.8</v>
      </c>
      <c r="H24" s="136">
        <v>13</v>
      </c>
      <c r="I24" s="136"/>
      <c r="J24" s="136"/>
      <c r="N24" s="128"/>
      <c r="O24" s="128"/>
      <c r="P24" s="128"/>
      <c r="Q24" s="128"/>
      <c r="R24" s="128"/>
      <c r="S24" s="128"/>
      <c r="T24" s="128"/>
      <c r="U24" s="128"/>
      <c r="V24" s="128"/>
      <c r="W24" s="128"/>
      <c r="X24" s="128"/>
    </row>
    <row r="25" spans="1:24" ht="15.6">
      <c r="B25" s="137"/>
      <c r="C25" s="138"/>
      <c r="D25" s="138"/>
      <c r="E25" s="138"/>
      <c r="F25" s="138"/>
      <c r="G25" s="138"/>
      <c r="H25" s="138"/>
      <c r="I25" s="138"/>
      <c r="J25" s="138"/>
      <c r="N25" s="128"/>
      <c r="O25" s="128"/>
      <c r="P25" s="128"/>
      <c r="Q25" s="128"/>
      <c r="R25" s="128"/>
      <c r="S25" s="128"/>
      <c r="T25" s="128"/>
      <c r="U25" s="128"/>
      <c r="V25" s="128"/>
      <c r="W25" s="128"/>
      <c r="X25" s="128"/>
    </row>
    <row r="26" spans="1:24">
      <c r="B26" s="2" t="s">
        <v>461</v>
      </c>
      <c r="C26" s="136">
        <v>650</v>
      </c>
      <c r="D26" s="136">
        <v>600</v>
      </c>
      <c r="E26" s="136">
        <v>669</v>
      </c>
      <c r="F26" s="136">
        <v>635</v>
      </c>
      <c r="G26" s="136">
        <v>600</v>
      </c>
      <c r="H26" s="136">
        <v>607</v>
      </c>
      <c r="I26" s="136"/>
      <c r="J26" s="136"/>
      <c r="N26" s="128"/>
      <c r="O26" s="128"/>
      <c r="P26" s="128"/>
      <c r="Q26" s="128"/>
      <c r="R26" s="128"/>
      <c r="S26" s="128"/>
      <c r="T26" s="128"/>
      <c r="U26" s="128"/>
      <c r="V26" s="128"/>
      <c r="W26" s="128"/>
      <c r="X26" s="128"/>
    </row>
    <row r="27" spans="1:24">
      <c r="C27" s="136"/>
      <c r="D27" s="136"/>
      <c r="E27" s="136"/>
      <c r="F27" s="136"/>
      <c r="G27" s="136"/>
      <c r="H27" s="136"/>
      <c r="I27" s="136"/>
      <c r="J27" s="136"/>
      <c r="N27" s="128"/>
      <c r="O27" s="128"/>
      <c r="P27" s="128"/>
      <c r="Q27" s="128"/>
      <c r="R27" s="128"/>
      <c r="S27" s="128"/>
      <c r="T27" s="128"/>
      <c r="U27" s="128"/>
      <c r="V27" s="128"/>
      <c r="W27" s="128"/>
      <c r="X27" s="128"/>
    </row>
    <row r="28" spans="1:24" ht="15.6">
      <c r="B28" s="2" t="s">
        <v>469</v>
      </c>
      <c r="C28" s="144">
        <f>C26/C24</f>
        <v>49.618320610687022</v>
      </c>
      <c r="D28" s="144">
        <f t="shared" ref="D28:H28" si="4">D26/D24</f>
        <v>45.801526717557252</v>
      </c>
      <c r="E28" s="144">
        <f t="shared" si="4"/>
        <v>46.137931034482762</v>
      </c>
      <c r="F28" s="144">
        <f t="shared" si="4"/>
        <v>49.224806201550386</v>
      </c>
      <c r="G28" s="144">
        <f t="shared" si="4"/>
        <v>46.875</v>
      </c>
      <c r="H28" s="144">
        <f t="shared" si="4"/>
        <v>46.692307692307693</v>
      </c>
      <c r="I28" s="144">
        <f>AVERAGE(C28:H28)</f>
        <v>47.391648709430854</v>
      </c>
      <c r="J28" s="144">
        <f>MEDIAN(C28:H28)</f>
        <v>46.783653846153847</v>
      </c>
      <c r="N28" s="128"/>
      <c r="O28" s="128"/>
      <c r="P28" s="128"/>
      <c r="Q28" s="128"/>
      <c r="R28" s="128"/>
      <c r="S28" s="128"/>
      <c r="T28" s="128"/>
      <c r="U28" s="128"/>
      <c r="V28" s="128"/>
      <c r="W28" s="128"/>
      <c r="X28" s="128"/>
    </row>
    <row r="29" spans="1:24">
      <c r="B29" s="2" t="s">
        <v>470</v>
      </c>
      <c r="C29" s="128"/>
      <c r="D29" s="128"/>
      <c r="E29" s="128"/>
      <c r="F29" s="128"/>
      <c r="G29" s="128"/>
      <c r="H29" s="128"/>
      <c r="I29" s="128"/>
      <c r="J29" s="128"/>
      <c r="N29" s="128"/>
      <c r="O29" s="128"/>
      <c r="P29" s="128"/>
      <c r="Q29" s="128"/>
      <c r="R29" s="128"/>
      <c r="S29" s="128"/>
      <c r="T29" s="128"/>
      <c r="U29" s="128"/>
      <c r="V29" s="128"/>
      <c r="W29" s="128"/>
      <c r="X29" s="128"/>
    </row>
    <row r="30" spans="1:24">
      <c r="C30" s="136"/>
      <c r="D30" s="128"/>
      <c r="E30" s="128"/>
      <c r="F30" s="128"/>
      <c r="G30" s="128"/>
      <c r="H30" s="136"/>
      <c r="I30" s="136"/>
      <c r="J30" s="136"/>
      <c r="N30" s="128"/>
      <c r="O30" s="128"/>
      <c r="P30" s="128"/>
      <c r="Q30" s="128"/>
      <c r="R30" s="128"/>
      <c r="S30" s="128"/>
      <c r="T30" s="128"/>
      <c r="U30" s="128"/>
      <c r="V30" s="128"/>
      <c r="W30" s="128"/>
      <c r="X30" s="128"/>
    </row>
    <row r="31" spans="1:24" ht="15.6">
      <c r="B31" s="137"/>
      <c r="C31" s="138"/>
      <c r="D31" s="138"/>
      <c r="E31" s="138"/>
      <c r="F31" s="138"/>
      <c r="G31" s="138"/>
      <c r="H31" s="138"/>
      <c r="I31" s="138"/>
      <c r="J31" s="138"/>
      <c r="N31" s="128"/>
      <c r="O31" s="128"/>
      <c r="P31" s="128"/>
      <c r="Q31" s="128"/>
      <c r="R31" s="128"/>
      <c r="S31" s="128"/>
      <c r="T31" s="128"/>
      <c r="U31" s="128"/>
      <c r="V31" s="128"/>
      <c r="W31" s="128"/>
      <c r="X31" s="128"/>
    </row>
    <row r="32" spans="1:24" ht="15.6">
      <c r="A32" s="3"/>
      <c r="B32" s="128"/>
      <c r="C32" s="128"/>
      <c r="E32" s="128"/>
      <c r="F32" s="128"/>
      <c r="G32" s="128"/>
      <c r="H32" s="128"/>
      <c r="I32" s="128"/>
      <c r="J32" s="128"/>
      <c r="N32" s="128"/>
      <c r="O32" s="128"/>
      <c r="P32" s="128"/>
      <c r="Q32" s="128"/>
      <c r="R32" s="128"/>
      <c r="S32" s="128"/>
      <c r="T32" s="128"/>
      <c r="U32" s="128"/>
      <c r="V32" s="128"/>
      <c r="W32" s="128"/>
      <c r="X32" s="128"/>
    </row>
    <row r="33" spans="1:24">
      <c r="B33" s="141"/>
      <c r="D33" s="136"/>
      <c r="E33" s="136"/>
      <c r="F33" s="136"/>
      <c r="G33" s="136"/>
      <c r="H33" s="136"/>
      <c r="I33" s="136"/>
      <c r="J33" s="136"/>
      <c r="N33" s="128"/>
      <c r="O33" s="128"/>
      <c r="P33" s="128"/>
      <c r="Q33" s="128"/>
      <c r="R33" s="128"/>
      <c r="S33" s="128"/>
      <c r="T33" s="128"/>
      <c r="U33" s="128"/>
      <c r="V33" s="128"/>
      <c r="W33" s="128"/>
      <c r="X33" s="128"/>
    </row>
    <row r="34" spans="1:24">
      <c r="B34" s="141"/>
      <c r="D34" s="128"/>
      <c r="E34" s="128"/>
      <c r="F34" s="128"/>
      <c r="G34" s="128"/>
      <c r="H34" s="128"/>
      <c r="I34" s="128"/>
      <c r="J34" s="128"/>
      <c r="K34" s="128"/>
      <c r="L34" s="128"/>
      <c r="M34" s="128"/>
      <c r="N34" s="128"/>
      <c r="O34" s="128"/>
      <c r="P34" s="128"/>
      <c r="Q34" s="128"/>
      <c r="R34" s="128"/>
      <c r="S34" s="128"/>
      <c r="T34" s="128"/>
      <c r="U34" s="128"/>
      <c r="V34" s="128"/>
      <c r="W34" s="128"/>
      <c r="X34" s="128"/>
    </row>
    <row r="35" spans="1:24">
      <c r="B35" s="128"/>
      <c r="C35" s="128"/>
      <c r="E35" s="128"/>
      <c r="F35" s="128"/>
      <c r="G35" s="128"/>
      <c r="H35" s="128"/>
      <c r="I35" s="128"/>
      <c r="J35" s="128"/>
      <c r="K35" s="128"/>
      <c r="L35" s="128"/>
      <c r="M35" s="128"/>
      <c r="N35" s="128"/>
      <c r="O35" s="128"/>
      <c r="P35" s="128"/>
      <c r="Q35" s="128"/>
      <c r="R35" s="128"/>
      <c r="S35" s="128"/>
      <c r="T35" s="128"/>
      <c r="U35" s="128"/>
      <c r="V35" s="128"/>
      <c r="W35" s="128"/>
      <c r="X35" s="128"/>
    </row>
    <row r="36" spans="1:24" ht="15.6">
      <c r="B36" s="3" t="s">
        <v>460</v>
      </c>
      <c r="C36" s="128"/>
      <c r="E36" s="128"/>
      <c r="F36" s="128"/>
      <c r="G36" s="128"/>
      <c r="H36" s="128"/>
      <c r="I36" s="128"/>
      <c r="J36" s="128"/>
      <c r="K36" s="128"/>
      <c r="L36" s="128"/>
      <c r="M36" s="128"/>
      <c r="N36" s="128"/>
      <c r="O36" s="128"/>
      <c r="P36" s="128"/>
      <c r="Q36" s="128"/>
      <c r="R36" s="128"/>
      <c r="S36" s="128"/>
      <c r="T36" s="128"/>
      <c r="U36" s="128"/>
      <c r="V36" s="128"/>
      <c r="W36" s="128"/>
      <c r="X36" s="128"/>
    </row>
    <row r="37" spans="1:24">
      <c r="B37" s="131"/>
      <c r="C37" s="128"/>
      <c r="E37" s="128"/>
      <c r="F37" s="128"/>
      <c r="G37" s="128"/>
      <c r="H37" s="128"/>
      <c r="I37" s="128"/>
      <c r="J37" s="128"/>
      <c r="K37" s="128"/>
      <c r="L37" s="128"/>
      <c r="M37" s="128"/>
      <c r="N37" s="128"/>
      <c r="O37" s="128"/>
      <c r="P37" s="128"/>
      <c r="Q37" s="128"/>
      <c r="R37" s="128"/>
      <c r="S37" s="128"/>
      <c r="T37" s="128"/>
      <c r="U37" s="128"/>
      <c r="V37" s="128"/>
      <c r="W37" s="128"/>
      <c r="X37" s="128"/>
    </row>
    <row r="38" spans="1:24">
      <c r="B38" s="131"/>
      <c r="C38" s="128"/>
      <c r="N38" s="128"/>
      <c r="O38" s="128"/>
      <c r="P38" s="128"/>
      <c r="Q38" s="128"/>
      <c r="R38" s="128"/>
      <c r="S38" s="128"/>
      <c r="T38" s="128"/>
      <c r="U38" s="128"/>
      <c r="V38" s="128"/>
      <c r="W38" s="128"/>
      <c r="X38" s="128"/>
    </row>
    <row r="39" spans="1:24">
      <c r="B39" s="128"/>
      <c r="C39" s="128"/>
      <c r="N39" s="128"/>
      <c r="O39" s="128"/>
      <c r="P39" s="128"/>
      <c r="Q39" s="128"/>
      <c r="R39" s="128"/>
      <c r="S39" s="128"/>
      <c r="T39" s="128"/>
      <c r="U39" s="128"/>
      <c r="V39" s="128"/>
      <c r="W39" s="128"/>
      <c r="X39" s="128"/>
    </row>
    <row r="40" spans="1:24">
      <c r="B40" s="128"/>
      <c r="C40" s="128"/>
      <c r="N40" s="128"/>
      <c r="O40" s="128"/>
      <c r="P40" s="128"/>
      <c r="Q40" s="128"/>
      <c r="R40" s="128"/>
      <c r="S40" s="128"/>
      <c r="T40" s="128"/>
      <c r="U40" s="128"/>
      <c r="V40" s="128"/>
      <c r="W40" s="128"/>
      <c r="X40" s="128"/>
    </row>
    <row r="41" spans="1:24">
      <c r="B41" s="128"/>
      <c r="C41" s="128"/>
      <c r="N41" s="128"/>
      <c r="O41" s="128"/>
      <c r="P41" s="128"/>
      <c r="Q41" s="128"/>
      <c r="R41" s="128"/>
      <c r="S41" s="128"/>
      <c r="T41" s="128"/>
      <c r="U41" s="128"/>
      <c r="V41" s="128"/>
      <c r="W41" s="128"/>
      <c r="X41" s="128"/>
    </row>
    <row r="42" spans="1:24">
      <c r="B42" s="128"/>
      <c r="C42" s="128"/>
      <c r="N42" s="128"/>
      <c r="O42" s="128"/>
      <c r="P42" s="128"/>
      <c r="Q42" s="128"/>
      <c r="R42" s="128"/>
      <c r="S42" s="128"/>
      <c r="T42" s="128"/>
      <c r="U42" s="128"/>
      <c r="V42" s="128"/>
      <c r="W42" s="128"/>
      <c r="X42" s="128"/>
    </row>
    <row r="43" spans="1:24">
      <c r="B43" s="128"/>
      <c r="C43" s="128"/>
      <c r="N43" s="128"/>
      <c r="O43" s="128"/>
      <c r="P43" s="128"/>
      <c r="Q43" s="128"/>
      <c r="R43" s="128"/>
      <c r="S43" s="128"/>
      <c r="T43" s="128"/>
      <c r="U43" s="128"/>
      <c r="V43" s="128"/>
      <c r="W43" s="128"/>
      <c r="X43" s="128"/>
    </row>
    <row r="44" spans="1:24">
      <c r="B44" s="128"/>
      <c r="C44" s="128"/>
      <c r="N44" s="128"/>
      <c r="O44" s="128"/>
      <c r="P44" s="128"/>
      <c r="Q44" s="128"/>
      <c r="R44" s="128"/>
      <c r="S44" s="128"/>
      <c r="T44" s="128"/>
      <c r="U44" s="128"/>
      <c r="V44" s="128"/>
      <c r="W44" s="128"/>
      <c r="X44" s="128"/>
    </row>
    <row r="45" spans="1:24">
      <c r="A45" s="128"/>
      <c r="B45" s="128"/>
      <c r="C45" s="128"/>
      <c r="N45" s="128"/>
      <c r="O45" s="128"/>
      <c r="P45" s="128"/>
      <c r="Q45" s="128"/>
      <c r="R45" s="128"/>
      <c r="S45" s="128"/>
      <c r="T45" s="128"/>
      <c r="U45" s="128"/>
      <c r="V45" s="128"/>
      <c r="W45" s="128"/>
      <c r="X45" s="128"/>
    </row>
    <row r="46" spans="1:24">
      <c r="N46" s="128"/>
      <c r="O46" s="128"/>
      <c r="P46" s="128"/>
      <c r="Q46" s="128"/>
      <c r="R46" s="128"/>
      <c r="S46" s="128"/>
      <c r="T46" s="128"/>
      <c r="U46" s="128"/>
      <c r="V46" s="128"/>
      <c r="W46" s="128"/>
      <c r="X46" s="128"/>
    </row>
    <row r="47" spans="1:24">
      <c r="N47" s="128"/>
      <c r="O47" s="128"/>
      <c r="P47" s="128"/>
      <c r="Q47" s="128"/>
      <c r="R47" s="128"/>
      <c r="S47" s="128"/>
      <c r="T47" s="128"/>
      <c r="U47" s="128"/>
      <c r="V47" s="128"/>
      <c r="W47" s="128"/>
      <c r="X47" s="128"/>
    </row>
    <row r="48" spans="1:24">
      <c r="N48" s="128"/>
      <c r="O48" s="128"/>
      <c r="P48" s="128"/>
      <c r="Q48" s="128"/>
      <c r="R48" s="128"/>
      <c r="S48" s="128"/>
      <c r="T48" s="128"/>
      <c r="U48" s="128"/>
      <c r="V48" s="128"/>
      <c r="W48" s="128"/>
      <c r="X48" s="128"/>
    </row>
    <row r="49" spans="3:24">
      <c r="N49" s="128"/>
      <c r="O49" s="128"/>
      <c r="P49" s="128"/>
      <c r="Q49" s="128"/>
      <c r="R49" s="128"/>
      <c r="S49" s="128"/>
      <c r="T49" s="128"/>
      <c r="U49" s="128"/>
      <c r="V49" s="128"/>
      <c r="W49" s="128"/>
      <c r="X49" s="128"/>
    </row>
    <row r="50" spans="3:24">
      <c r="N50" s="128"/>
      <c r="O50" s="128"/>
      <c r="P50" s="128"/>
      <c r="Q50" s="128"/>
      <c r="R50" s="128"/>
      <c r="S50" s="128"/>
      <c r="T50" s="128"/>
      <c r="U50" s="128"/>
      <c r="V50" s="128"/>
      <c r="W50" s="128"/>
      <c r="X50" s="128"/>
    </row>
    <row r="51" spans="3:24">
      <c r="C51" s="128"/>
      <c r="D51" s="128"/>
      <c r="E51" s="128"/>
      <c r="F51" s="128"/>
      <c r="G51" s="128"/>
      <c r="H51" s="128"/>
      <c r="I51" s="128"/>
      <c r="J51" s="128"/>
      <c r="K51" s="128"/>
      <c r="L51" s="128"/>
      <c r="M51" s="128"/>
      <c r="N51" s="128"/>
      <c r="O51" s="128"/>
      <c r="P51" s="128"/>
      <c r="Q51" s="128"/>
      <c r="R51" s="128"/>
      <c r="S51" s="128"/>
      <c r="T51" s="128"/>
      <c r="U51" s="128"/>
      <c r="V51" s="128"/>
      <c r="W51" s="128"/>
      <c r="X51" s="128"/>
    </row>
    <row r="52" spans="3:24">
      <c r="C52" s="128"/>
      <c r="D52" s="128"/>
      <c r="E52" s="128"/>
      <c r="F52" s="128"/>
      <c r="G52" s="128"/>
      <c r="H52" s="128"/>
      <c r="I52" s="128"/>
      <c r="J52" s="128"/>
      <c r="K52" s="128"/>
      <c r="L52" s="128"/>
      <c r="M52" s="128"/>
      <c r="N52" s="128"/>
      <c r="O52" s="128"/>
      <c r="P52" s="128"/>
      <c r="Q52" s="128"/>
      <c r="R52" s="128"/>
      <c r="S52" s="128"/>
      <c r="T52" s="128"/>
      <c r="U52" s="128"/>
      <c r="V52" s="128"/>
      <c r="W52" s="128"/>
      <c r="X52" s="128"/>
    </row>
    <row r="53" spans="3:24">
      <c r="C53" s="128"/>
      <c r="D53" s="128"/>
      <c r="E53" s="128"/>
      <c r="F53" s="128"/>
      <c r="G53" s="128"/>
      <c r="H53" s="128"/>
      <c r="I53" s="128"/>
      <c r="J53" s="128"/>
      <c r="K53" s="128"/>
      <c r="L53" s="128"/>
      <c r="M53" s="128"/>
      <c r="N53" s="128"/>
      <c r="O53" s="128"/>
      <c r="P53" s="128"/>
      <c r="Q53" s="128"/>
      <c r="R53" s="128"/>
      <c r="S53" s="128"/>
      <c r="T53" s="128"/>
      <c r="U53" s="128"/>
      <c r="V53" s="128"/>
      <c r="W53" s="128"/>
      <c r="X53" s="128"/>
    </row>
    <row r="54" spans="3:24">
      <c r="C54" s="128"/>
      <c r="D54" s="128"/>
      <c r="E54" s="128"/>
      <c r="F54" s="128"/>
      <c r="G54" s="128"/>
      <c r="H54" s="128"/>
      <c r="I54" s="128"/>
      <c r="J54" s="128"/>
      <c r="K54" s="128"/>
      <c r="L54" s="128"/>
      <c r="M54" s="128"/>
      <c r="N54" s="128"/>
      <c r="O54" s="128"/>
      <c r="P54" s="128"/>
      <c r="Q54" s="128"/>
      <c r="R54" s="128"/>
      <c r="S54" s="128"/>
      <c r="T54" s="128"/>
      <c r="U54" s="128"/>
      <c r="V54" s="128"/>
      <c r="W54" s="128"/>
      <c r="X54" s="128"/>
    </row>
    <row r="55" spans="3:24">
      <c r="C55" s="128"/>
      <c r="D55" s="128"/>
      <c r="E55" s="128"/>
      <c r="F55" s="128"/>
      <c r="G55" s="128"/>
      <c r="H55" s="128"/>
      <c r="I55" s="128"/>
      <c r="J55" s="128"/>
      <c r="K55" s="128"/>
      <c r="L55" s="128"/>
      <c r="M55" s="128"/>
      <c r="N55" s="128"/>
      <c r="O55" s="128"/>
      <c r="P55" s="128"/>
      <c r="Q55" s="128"/>
      <c r="R55" s="128"/>
      <c r="S55" s="128"/>
      <c r="T55" s="128"/>
      <c r="U55" s="128"/>
      <c r="V55" s="128"/>
      <c r="W55" s="128"/>
      <c r="X55" s="128"/>
    </row>
    <row r="56" spans="3:24">
      <c r="C56" s="128"/>
      <c r="D56" s="128"/>
      <c r="E56" s="128"/>
      <c r="F56" s="128"/>
      <c r="G56" s="128"/>
      <c r="H56" s="128"/>
      <c r="I56" s="128"/>
      <c r="J56" s="128"/>
      <c r="K56" s="128"/>
      <c r="L56" s="128"/>
      <c r="M56" s="128"/>
      <c r="N56" s="128"/>
      <c r="O56" s="128"/>
      <c r="P56" s="128"/>
      <c r="Q56" s="128"/>
      <c r="R56" s="128"/>
      <c r="S56" s="128"/>
      <c r="T56" s="128"/>
      <c r="U56" s="128"/>
      <c r="V56" s="128"/>
      <c r="W56" s="128"/>
      <c r="X56" s="128"/>
    </row>
    <row r="57" spans="3:24">
      <c r="C57" s="128"/>
      <c r="D57" s="128"/>
      <c r="E57" s="128"/>
      <c r="F57" s="128"/>
      <c r="G57" s="128"/>
      <c r="H57" s="128"/>
      <c r="I57" s="128"/>
      <c r="J57" s="128"/>
      <c r="K57" s="128"/>
      <c r="L57" s="128"/>
      <c r="M57" s="128"/>
      <c r="N57" s="128"/>
      <c r="O57" s="128"/>
      <c r="P57" s="128"/>
      <c r="Q57" s="128"/>
      <c r="R57" s="128"/>
      <c r="S57" s="128"/>
      <c r="T57" s="128"/>
      <c r="U57" s="128"/>
      <c r="V57" s="128"/>
      <c r="W57" s="128"/>
      <c r="X57" s="128"/>
    </row>
    <row r="58" spans="3:24">
      <c r="C58" s="128"/>
      <c r="D58" s="128"/>
      <c r="E58" s="128"/>
      <c r="F58" s="128"/>
      <c r="G58" s="128"/>
      <c r="H58" s="128"/>
      <c r="I58" s="128"/>
      <c r="J58" s="128"/>
      <c r="K58" s="128"/>
      <c r="L58" s="128"/>
      <c r="M58" s="128"/>
      <c r="N58" s="128"/>
      <c r="O58" s="128"/>
      <c r="P58" s="128"/>
      <c r="Q58" s="128"/>
      <c r="R58" s="128"/>
      <c r="S58" s="128"/>
      <c r="T58" s="128"/>
      <c r="U58" s="128"/>
      <c r="V58" s="128"/>
      <c r="W58" s="128"/>
      <c r="X58" s="128"/>
    </row>
    <row r="59" spans="3:24">
      <c r="C59" s="128"/>
      <c r="D59" s="128"/>
      <c r="E59" s="128"/>
      <c r="F59" s="128"/>
      <c r="G59" s="128"/>
      <c r="H59" s="128"/>
      <c r="I59" s="128"/>
      <c r="J59" s="128"/>
      <c r="K59" s="128"/>
      <c r="L59" s="128"/>
      <c r="M59" s="128"/>
      <c r="N59" s="128"/>
      <c r="O59" s="128"/>
      <c r="P59" s="128"/>
      <c r="Q59" s="128"/>
      <c r="R59" s="128"/>
      <c r="S59" s="128"/>
      <c r="T59" s="128"/>
      <c r="U59" s="128"/>
      <c r="V59" s="128"/>
      <c r="W59" s="128"/>
      <c r="X59" s="128"/>
    </row>
    <row r="60" spans="3:24">
      <c r="C60" s="128"/>
      <c r="D60" s="128"/>
      <c r="E60" s="128"/>
      <c r="F60" s="128"/>
      <c r="G60" s="128"/>
      <c r="H60" s="128"/>
      <c r="I60" s="128"/>
      <c r="J60" s="128"/>
      <c r="K60" s="128"/>
      <c r="L60" s="128"/>
      <c r="M60" s="128"/>
      <c r="N60" s="128"/>
      <c r="O60" s="128"/>
      <c r="P60" s="128"/>
      <c r="Q60" s="128"/>
      <c r="R60" s="128"/>
      <c r="S60" s="128"/>
      <c r="T60" s="128"/>
      <c r="U60" s="128"/>
      <c r="V60" s="128"/>
      <c r="W60" s="128"/>
      <c r="X60" s="128"/>
    </row>
    <row r="61" spans="3:24">
      <c r="C61" s="128"/>
      <c r="D61" s="128"/>
      <c r="E61" s="128"/>
      <c r="F61" s="128"/>
      <c r="G61" s="128"/>
      <c r="H61" s="128"/>
      <c r="I61" s="128"/>
      <c r="J61" s="128"/>
      <c r="K61" s="128"/>
      <c r="L61" s="128"/>
      <c r="M61" s="128"/>
      <c r="N61" s="128"/>
      <c r="O61" s="128"/>
      <c r="P61" s="128"/>
      <c r="Q61" s="128"/>
      <c r="R61" s="128"/>
      <c r="S61" s="128"/>
      <c r="T61" s="128"/>
      <c r="U61" s="128"/>
      <c r="V61" s="128"/>
      <c r="W61" s="128"/>
      <c r="X61" s="128"/>
    </row>
    <row r="62" spans="3:24">
      <c r="C62" s="128"/>
      <c r="D62" s="128"/>
      <c r="E62" s="128"/>
      <c r="F62" s="128"/>
      <c r="G62" s="128"/>
      <c r="H62" s="128"/>
      <c r="I62" s="128"/>
      <c r="J62" s="128"/>
      <c r="K62" s="128"/>
      <c r="L62" s="128"/>
      <c r="M62" s="128"/>
      <c r="N62" s="128"/>
      <c r="O62" s="128"/>
      <c r="P62" s="128"/>
      <c r="Q62" s="128"/>
      <c r="R62" s="128"/>
      <c r="S62" s="128"/>
      <c r="T62" s="128"/>
      <c r="U62" s="128"/>
      <c r="V62" s="128"/>
      <c r="W62" s="128"/>
      <c r="X62" s="128"/>
    </row>
    <row r="63" spans="3:24">
      <c r="C63" s="128"/>
      <c r="D63" s="128"/>
      <c r="E63" s="128"/>
      <c r="F63" s="128"/>
      <c r="G63" s="128"/>
      <c r="H63" s="128"/>
      <c r="I63" s="128"/>
      <c r="J63" s="128"/>
      <c r="K63" s="128"/>
      <c r="L63" s="128"/>
      <c r="M63" s="128"/>
      <c r="N63" s="128"/>
      <c r="O63" s="128"/>
      <c r="P63" s="128"/>
      <c r="Q63" s="128"/>
      <c r="R63" s="128"/>
      <c r="S63" s="128"/>
      <c r="T63" s="128"/>
      <c r="U63" s="128"/>
      <c r="V63" s="128"/>
      <c r="W63" s="128"/>
      <c r="X63" s="128"/>
    </row>
    <row r="64" spans="3:24">
      <c r="C64" s="128"/>
      <c r="D64" s="128"/>
      <c r="E64" s="128"/>
      <c r="F64" s="128"/>
      <c r="G64" s="128"/>
      <c r="H64" s="128"/>
      <c r="I64" s="128"/>
      <c r="J64" s="128"/>
      <c r="K64" s="128"/>
      <c r="L64" s="128"/>
      <c r="M64" s="128"/>
      <c r="N64" s="128"/>
      <c r="O64" s="128"/>
      <c r="P64" s="128"/>
      <c r="Q64" s="128"/>
      <c r="R64" s="128"/>
      <c r="S64" s="128"/>
      <c r="T64" s="128"/>
      <c r="U64" s="128"/>
      <c r="V64" s="128"/>
      <c r="W64" s="128"/>
      <c r="X64" s="128"/>
    </row>
    <row r="65" spans="3:24">
      <c r="C65" s="128"/>
      <c r="D65" s="128"/>
      <c r="E65" s="128"/>
      <c r="F65" s="128"/>
      <c r="G65" s="128"/>
      <c r="H65" s="128"/>
      <c r="I65" s="128"/>
      <c r="J65" s="128"/>
      <c r="K65" s="128"/>
      <c r="L65" s="128"/>
      <c r="M65" s="128"/>
      <c r="N65" s="128"/>
      <c r="O65" s="128"/>
      <c r="P65" s="128"/>
      <c r="Q65" s="128"/>
      <c r="R65" s="128"/>
      <c r="S65" s="128"/>
      <c r="T65" s="128"/>
      <c r="U65" s="128"/>
      <c r="V65" s="128"/>
      <c r="W65" s="128"/>
      <c r="X65" s="128"/>
    </row>
    <row r="66" spans="3:24">
      <c r="C66" s="128"/>
      <c r="D66" s="128"/>
      <c r="E66" s="128"/>
      <c r="F66" s="128"/>
      <c r="G66" s="128"/>
      <c r="H66" s="128"/>
      <c r="I66" s="128"/>
      <c r="J66" s="128"/>
      <c r="K66" s="128"/>
      <c r="L66" s="128"/>
      <c r="M66" s="128"/>
      <c r="N66" s="128"/>
      <c r="O66" s="128"/>
      <c r="P66" s="128"/>
      <c r="Q66" s="128"/>
      <c r="R66" s="128"/>
      <c r="S66" s="128"/>
      <c r="T66" s="128"/>
      <c r="U66" s="128"/>
      <c r="V66" s="128"/>
      <c r="W66" s="128"/>
      <c r="X66" s="128"/>
    </row>
    <row r="67" spans="3:24">
      <c r="C67" s="128"/>
      <c r="D67" s="128"/>
      <c r="E67" s="128"/>
      <c r="F67" s="128"/>
      <c r="G67" s="128"/>
      <c r="H67" s="128"/>
      <c r="I67" s="128"/>
      <c r="J67" s="128"/>
      <c r="K67" s="128"/>
      <c r="L67" s="128"/>
      <c r="M67" s="128"/>
      <c r="N67" s="128"/>
      <c r="O67" s="128"/>
      <c r="P67" s="128"/>
      <c r="Q67" s="128"/>
      <c r="R67" s="128"/>
      <c r="S67" s="128"/>
      <c r="T67" s="128"/>
      <c r="U67" s="128"/>
      <c r="V67" s="128"/>
      <c r="W67" s="128"/>
      <c r="X67" s="128"/>
    </row>
    <row r="68" spans="3:24">
      <c r="C68" s="128"/>
      <c r="D68" s="128"/>
      <c r="E68" s="128"/>
      <c r="F68" s="128"/>
      <c r="G68" s="128"/>
      <c r="H68" s="128"/>
      <c r="I68" s="128"/>
      <c r="J68" s="128"/>
      <c r="K68" s="128"/>
      <c r="L68" s="128"/>
      <c r="M68" s="128"/>
      <c r="N68" s="128"/>
      <c r="O68" s="128"/>
      <c r="P68" s="128"/>
      <c r="Q68" s="128"/>
      <c r="R68" s="128"/>
      <c r="S68" s="128"/>
      <c r="T68" s="128"/>
      <c r="U68" s="128"/>
      <c r="V68" s="128"/>
      <c r="W68" s="128"/>
      <c r="X68" s="128"/>
    </row>
    <row r="69" spans="3:24">
      <c r="C69" s="128"/>
      <c r="D69" s="128"/>
      <c r="E69" s="128"/>
      <c r="F69" s="128"/>
      <c r="G69" s="128"/>
      <c r="H69" s="128"/>
      <c r="I69" s="128"/>
      <c r="J69" s="128"/>
      <c r="K69" s="128"/>
      <c r="L69" s="128"/>
      <c r="M69" s="128"/>
      <c r="N69" s="128"/>
      <c r="O69" s="128"/>
      <c r="P69" s="128"/>
      <c r="Q69" s="128"/>
      <c r="R69" s="128"/>
      <c r="S69" s="128"/>
      <c r="T69" s="128"/>
      <c r="U69" s="128"/>
      <c r="V69" s="128"/>
      <c r="W69" s="128"/>
      <c r="X69" s="128"/>
    </row>
    <row r="70" spans="3:24">
      <c r="C70" s="128"/>
      <c r="D70" s="128"/>
      <c r="E70" s="128"/>
      <c r="F70" s="128"/>
      <c r="G70" s="128"/>
      <c r="H70" s="128"/>
      <c r="I70" s="128"/>
      <c r="J70" s="128"/>
      <c r="K70" s="128"/>
      <c r="L70" s="128"/>
      <c r="M70" s="128"/>
      <c r="N70" s="128"/>
      <c r="O70" s="128"/>
      <c r="P70" s="128"/>
      <c r="Q70" s="128"/>
      <c r="R70" s="128"/>
      <c r="S70" s="128"/>
      <c r="T70" s="128"/>
      <c r="U70" s="128"/>
      <c r="V70" s="128"/>
      <c r="W70" s="128"/>
      <c r="X70" s="128"/>
    </row>
    <row r="71" spans="3:24">
      <c r="C71" s="128"/>
      <c r="D71" s="128"/>
      <c r="E71" s="128"/>
      <c r="F71" s="128"/>
      <c r="G71" s="128"/>
      <c r="H71" s="128"/>
      <c r="I71" s="128"/>
      <c r="J71" s="128"/>
      <c r="K71" s="128"/>
      <c r="L71" s="128"/>
      <c r="M71" s="128"/>
      <c r="N71" s="128"/>
      <c r="O71" s="128"/>
      <c r="P71" s="128"/>
      <c r="Q71" s="128"/>
      <c r="R71" s="128"/>
      <c r="S71" s="128"/>
      <c r="T71" s="128"/>
      <c r="U71" s="128"/>
      <c r="V71" s="128"/>
      <c r="W71" s="128"/>
      <c r="X71" s="128"/>
    </row>
    <row r="72" spans="3:24">
      <c r="C72" s="128"/>
      <c r="D72" s="128"/>
      <c r="E72" s="128"/>
      <c r="F72" s="128"/>
      <c r="G72" s="128"/>
      <c r="H72" s="128"/>
      <c r="I72" s="128"/>
      <c r="J72" s="128"/>
      <c r="K72" s="128"/>
      <c r="L72" s="128"/>
      <c r="M72" s="128"/>
      <c r="N72" s="128"/>
      <c r="O72" s="128"/>
      <c r="P72" s="128"/>
      <c r="Q72" s="128"/>
      <c r="R72" s="128"/>
      <c r="S72" s="128"/>
      <c r="T72" s="128"/>
      <c r="U72" s="128"/>
      <c r="V72" s="128"/>
      <c r="W72" s="128"/>
      <c r="X72" s="128"/>
    </row>
    <row r="73" spans="3:24">
      <c r="C73" s="128"/>
      <c r="D73" s="128"/>
      <c r="E73" s="128"/>
      <c r="F73" s="128"/>
      <c r="G73" s="128"/>
      <c r="H73" s="128"/>
      <c r="I73" s="128"/>
      <c r="J73" s="128"/>
      <c r="K73" s="128"/>
      <c r="L73" s="128"/>
      <c r="M73" s="128"/>
      <c r="N73" s="128"/>
      <c r="O73" s="128"/>
      <c r="P73" s="128"/>
      <c r="Q73" s="128"/>
      <c r="R73" s="128"/>
      <c r="S73" s="128"/>
      <c r="T73" s="128"/>
      <c r="U73" s="128"/>
      <c r="V73" s="128"/>
      <c r="W73" s="128"/>
      <c r="X73" s="128"/>
    </row>
    <row r="74" spans="3:24">
      <c r="C74" s="128"/>
      <c r="D74" s="128"/>
      <c r="E74" s="128"/>
      <c r="F74" s="128"/>
      <c r="G74" s="128"/>
      <c r="H74" s="128"/>
      <c r="I74" s="128"/>
      <c r="J74" s="128"/>
      <c r="K74" s="128"/>
      <c r="L74" s="128"/>
      <c r="M74" s="128"/>
      <c r="N74" s="128"/>
      <c r="O74" s="128"/>
      <c r="P74" s="128"/>
      <c r="Q74" s="128"/>
      <c r="R74" s="128"/>
      <c r="S74" s="128"/>
      <c r="T74" s="128"/>
      <c r="U74" s="128"/>
      <c r="V74" s="128"/>
      <c r="W74" s="128"/>
      <c r="X74" s="128"/>
    </row>
    <row r="75" spans="3:24">
      <c r="C75" s="128"/>
      <c r="D75" s="128"/>
      <c r="E75" s="128"/>
      <c r="F75" s="128"/>
      <c r="G75" s="128"/>
      <c r="H75" s="128"/>
      <c r="I75" s="128"/>
      <c r="J75" s="128"/>
      <c r="K75" s="128"/>
      <c r="L75" s="128"/>
      <c r="M75" s="128"/>
      <c r="N75" s="128"/>
      <c r="O75" s="128"/>
      <c r="P75" s="128"/>
      <c r="Q75" s="128"/>
      <c r="R75" s="128"/>
      <c r="S75" s="128"/>
      <c r="T75" s="128"/>
      <c r="U75" s="128"/>
      <c r="V75" s="128"/>
      <c r="W75" s="128"/>
      <c r="X75" s="128"/>
    </row>
    <row r="76" spans="3:24">
      <c r="C76" s="128"/>
      <c r="D76" s="128"/>
      <c r="E76" s="128"/>
      <c r="F76" s="128"/>
      <c r="G76" s="128"/>
      <c r="H76" s="128"/>
      <c r="I76" s="128"/>
      <c r="J76" s="128"/>
      <c r="K76" s="128"/>
      <c r="L76" s="128"/>
      <c r="M76" s="128"/>
      <c r="N76" s="128"/>
      <c r="O76" s="128"/>
      <c r="P76" s="128"/>
      <c r="Q76" s="128"/>
      <c r="R76" s="128"/>
      <c r="S76" s="128"/>
      <c r="T76" s="128"/>
      <c r="U76" s="128"/>
      <c r="V76" s="128"/>
      <c r="W76" s="128"/>
      <c r="X76" s="128"/>
    </row>
    <row r="77" spans="3:24">
      <c r="C77" s="128"/>
      <c r="D77" s="128"/>
      <c r="E77" s="128"/>
      <c r="F77" s="128"/>
      <c r="G77" s="128"/>
      <c r="H77" s="128"/>
      <c r="I77" s="128"/>
      <c r="J77" s="128"/>
      <c r="K77" s="128"/>
      <c r="L77" s="128"/>
      <c r="M77" s="128"/>
      <c r="N77" s="128"/>
      <c r="O77" s="128"/>
      <c r="P77" s="128"/>
      <c r="Q77" s="128"/>
      <c r="R77" s="128"/>
      <c r="S77" s="128"/>
      <c r="T77" s="128"/>
      <c r="U77" s="128"/>
      <c r="V77" s="128"/>
      <c r="W77" s="128"/>
      <c r="X77" s="128"/>
    </row>
    <row r="78" spans="3:24">
      <c r="C78" s="128"/>
      <c r="D78" s="128"/>
      <c r="E78" s="128"/>
      <c r="F78" s="128"/>
      <c r="G78" s="128"/>
      <c r="H78" s="128"/>
      <c r="I78" s="128"/>
      <c r="J78" s="128"/>
      <c r="K78" s="128"/>
      <c r="L78" s="128"/>
      <c r="M78" s="128"/>
      <c r="N78" s="128"/>
      <c r="O78" s="128"/>
      <c r="P78" s="128"/>
      <c r="Q78" s="128"/>
      <c r="R78" s="128"/>
      <c r="S78" s="128"/>
      <c r="T78" s="128"/>
      <c r="U78" s="128"/>
      <c r="V78" s="128"/>
      <c r="W78" s="128"/>
      <c r="X78" s="128"/>
    </row>
    <row r="79" spans="3:24">
      <c r="C79" s="128"/>
      <c r="D79" s="128"/>
      <c r="E79" s="128"/>
      <c r="F79" s="128"/>
      <c r="G79" s="128"/>
      <c r="H79" s="128"/>
      <c r="I79" s="128"/>
      <c r="J79" s="128"/>
      <c r="K79" s="128"/>
      <c r="L79" s="128"/>
      <c r="M79" s="128"/>
      <c r="N79" s="128"/>
      <c r="O79" s="128"/>
      <c r="P79" s="128"/>
      <c r="Q79" s="128"/>
      <c r="R79" s="128"/>
      <c r="S79" s="128"/>
      <c r="T79" s="128"/>
      <c r="U79" s="128"/>
      <c r="V79" s="128"/>
      <c r="W79" s="128"/>
      <c r="X79" s="128"/>
    </row>
    <row r="80" spans="3:24">
      <c r="C80" s="128"/>
      <c r="D80" s="128"/>
      <c r="E80" s="128"/>
      <c r="F80" s="128"/>
      <c r="G80" s="128"/>
      <c r="H80" s="128"/>
      <c r="I80" s="128"/>
      <c r="J80" s="128"/>
      <c r="K80" s="128"/>
      <c r="L80" s="128"/>
      <c r="M80" s="128"/>
      <c r="N80" s="128"/>
      <c r="O80" s="128"/>
      <c r="P80" s="128"/>
      <c r="Q80" s="128"/>
      <c r="R80" s="128"/>
      <c r="S80" s="128"/>
      <c r="T80" s="128"/>
      <c r="U80" s="128"/>
      <c r="V80" s="128"/>
      <c r="W80" s="128"/>
      <c r="X80" s="128"/>
    </row>
    <row r="81" spans="3:24">
      <c r="C81" s="128"/>
      <c r="D81" s="128"/>
      <c r="E81" s="128"/>
      <c r="F81" s="128"/>
      <c r="G81" s="128"/>
      <c r="H81" s="128"/>
      <c r="I81" s="128"/>
      <c r="J81" s="128"/>
      <c r="K81" s="128"/>
      <c r="L81" s="128"/>
      <c r="M81" s="128"/>
      <c r="N81" s="128"/>
      <c r="O81" s="128"/>
      <c r="P81" s="128"/>
      <c r="Q81" s="128"/>
      <c r="R81" s="128"/>
      <c r="S81" s="128"/>
      <c r="T81" s="128"/>
      <c r="U81" s="128"/>
      <c r="V81" s="128"/>
      <c r="W81" s="128"/>
      <c r="X81" s="128"/>
    </row>
    <row r="82" spans="3:24">
      <c r="C82" s="128"/>
      <c r="D82" s="128"/>
      <c r="E82" s="128"/>
      <c r="F82" s="128"/>
      <c r="G82" s="128"/>
      <c r="H82" s="128"/>
      <c r="I82" s="128"/>
      <c r="J82" s="128"/>
      <c r="K82" s="128"/>
      <c r="L82" s="128"/>
      <c r="M82" s="128"/>
      <c r="N82" s="128"/>
      <c r="O82" s="128"/>
      <c r="P82" s="128"/>
      <c r="Q82" s="128"/>
      <c r="R82" s="128"/>
      <c r="S82" s="128"/>
      <c r="T82" s="128"/>
      <c r="U82" s="128"/>
      <c r="V82" s="128"/>
      <c r="W82" s="128"/>
      <c r="X82" s="128"/>
    </row>
    <row r="83" spans="3:24">
      <c r="C83" s="128"/>
      <c r="D83" s="128"/>
      <c r="E83" s="128"/>
      <c r="F83" s="128"/>
      <c r="G83" s="128"/>
      <c r="H83" s="128"/>
      <c r="I83" s="128"/>
      <c r="J83" s="128"/>
      <c r="K83" s="128"/>
      <c r="L83" s="128"/>
      <c r="M83" s="128"/>
      <c r="N83" s="128"/>
      <c r="O83" s="128"/>
      <c r="P83" s="128"/>
      <c r="Q83" s="128"/>
      <c r="R83" s="128"/>
      <c r="S83" s="128"/>
      <c r="T83" s="128"/>
      <c r="U83" s="128"/>
      <c r="V83" s="128"/>
      <c r="W83" s="128"/>
      <c r="X83" s="128"/>
    </row>
    <row r="84" spans="3:24">
      <c r="C84" s="128"/>
      <c r="D84" s="128"/>
      <c r="E84" s="128"/>
      <c r="F84" s="128"/>
      <c r="G84" s="128"/>
      <c r="H84" s="128"/>
      <c r="I84" s="128"/>
      <c r="J84" s="128"/>
      <c r="K84" s="128"/>
      <c r="L84" s="128"/>
      <c r="M84" s="128"/>
      <c r="N84" s="128"/>
      <c r="O84" s="128"/>
      <c r="P84" s="128"/>
      <c r="Q84" s="128"/>
      <c r="R84" s="128"/>
      <c r="S84" s="128"/>
      <c r="T84" s="128"/>
      <c r="U84" s="128"/>
      <c r="V84" s="128"/>
      <c r="W84" s="128"/>
      <c r="X84" s="128"/>
    </row>
    <row r="85" spans="3:24">
      <c r="C85" s="128"/>
      <c r="D85" s="128"/>
      <c r="E85" s="128"/>
      <c r="F85" s="128"/>
      <c r="G85" s="128"/>
      <c r="H85" s="128"/>
      <c r="I85" s="128"/>
      <c r="J85" s="128"/>
      <c r="K85" s="128"/>
      <c r="L85" s="128"/>
      <c r="M85" s="128"/>
      <c r="N85" s="128"/>
      <c r="O85" s="128"/>
      <c r="P85" s="128"/>
      <c r="Q85" s="128"/>
      <c r="R85" s="128"/>
      <c r="S85" s="128"/>
      <c r="T85" s="128"/>
      <c r="U85" s="128"/>
      <c r="V85" s="128"/>
      <c r="W85" s="128"/>
      <c r="X85" s="128"/>
    </row>
    <row r="86" spans="3:24">
      <c r="C86" s="128"/>
      <c r="D86" s="128"/>
      <c r="E86" s="128"/>
      <c r="F86" s="128"/>
      <c r="G86" s="128"/>
      <c r="H86" s="128"/>
      <c r="I86" s="128"/>
      <c r="J86" s="128"/>
      <c r="K86" s="128"/>
      <c r="L86" s="128"/>
      <c r="M86" s="128"/>
      <c r="N86" s="128"/>
      <c r="O86" s="128"/>
      <c r="P86" s="128"/>
      <c r="Q86" s="128"/>
      <c r="R86" s="128"/>
      <c r="S86" s="128"/>
      <c r="T86" s="128"/>
      <c r="U86" s="128"/>
      <c r="V86" s="128"/>
      <c r="W86" s="128"/>
      <c r="X86" s="128"/>
    </row>
    <row r="87" spans="3:24">
      <c r="C87" s="128"/>
      <c r="D87" s="128"/>
      <c r="E87" s="128"/>
      <c r="F87" s="128"/>
      <c r="G87" s="128"/>
      <c r="H87" s="128"/>
      <c r="I87" s="128"/>
      <c r="J87" s="128"/>
      <c r="K87" s="128"/>
      <c r="L87" s="128"/>
      <c r="M87" s="128"/>
      <c r="N87" s="128"/>
      <c r="O87" s="128"/>
      <c r="P87" s="128"/>
      <c r="Q87" s="128"/>
      <c r="R87" s="128"/>
      <c r="S87" s="128"/>
      <c r="T87" s="128"/>
      <c r="U87" s="128"/>
      <c r="V87" s="128"/>
      <c r="W87" s="128"/>
      <c r="X87" s="128"/>
    </row>
    <row r="88" spans="3:24">
      <c r="C88" s="128"/>
      <c r="D88" s="128"/>
      <c r="E88" s="128"/>
      <c r="F88" s="128"/>
      <c r="G88" s="128"/>
      <c r="H88" s="128"/>
      <c r="I88" s="128"/>
      <c r="J88" s="128"/>
      <c r="K88" s="128"/>
      <c r="L88" s="128"/>
      <c r="M88" s="128"/>
      <c r="N88" s="128"/>
      <c r="O88" s="128"/>
      <c r="P88" s="128"/>
      <c r="Q88" s="128"/>
      <c r="R88" s="128"/>
      <c r="S88" s="128"/>
      <c r="T88" s="128"/>
      <c r="U88" s="128"/>
      <c r="V88" s="128"/>
      <c r="W88" s="128"/>
      <c r="X88" s="1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591E5-AB63-4DF5-9880-137944A30077}">
  <sheetPr codeName="Sheet14"/>
  <dimension ref="C1:AC43"/>
  <sheetViews>
    <sheetView showGridLines="0" zoomScale="79" zoomScaleNormal="90" workbookViewId="0">
      <pane ySplit="3" topLeftCell="A4" activePane="bottomLeft" state="frozen"/>
      <selection pane="bottomLeft" activeCell="D11" sqref="D11"/>
    </sheetView>
  </sheetViews>
  <sheetFormatPr defaultColWidth="11.77734375" defaultRowHeight="15"/>
  <cols>
    <col min="1" max="1" width="2.6640625" style="2" customWidth="1"/>
    <col min="2" max="5" width="15.5546875" style="2" customWidth="1"/>
    <col min="6" max="6" width="17.88671875" style="2" customWidth="1"/>
    <col min="7" max="17" width="15.5546875" style="2" customWidth="1"/>
    <col min="18" max="18" width="73.109375" style="2" customWidth="1"/>
    <col min="19" max="19" width="33.21875" style="2" customWidth="1"/>
    <col min="20" max="16384" width="11.77734375" style="2"/>
  </cols>
  <sheetData>
    <row r="1" spans="3:29">
      <c r="L1" s="157"/>
    </row>
    <row r="2" spans="3:29" ht="15.6">
      <c r="F2" s="3" t="s">
        <v>82</v>
      </c>
      <c r="G2" s="119" t="s">
        <v>350</v>
      </c>
      <c r="H2" s="119" t="s">
        <v>350</v>
      </c>
      <c r="I2" s="119" t="s">
        <v>350</v>
      </c>
      <c r="J2" s="119" t="s">
        <v>350</v>
      </c>
      <c r="K2" s="119" t="s">
        <v>350</v>
      </c>
      <c r="L2" s="155" t="s">
        <v>350</v>
      </c>
      <c r="M2" s="119" t="s">
        <v>351</v>
      </c>
      <c r="N2" s="119" t="s">
        <v>351</v>
      </c>
      <c r="O2" s="119" t="s">
        <v>351</v>
      </c>
      <c r="P2" s="119" t="s">
        <v>351</v>
      </c>
      <c r="Q2" s="119" t="s">
        <v>351</v>
      </c>
      <c r="R2" s="119"/>
    </row>
    <row r="3" spans="3:29">
      <c r="C3" s="121" t="s">
        <v>641</v>
      </c>
      <c r="D3" s="120"/>
      <c r="E3" s="120"/>
      <c r="F3" s="120"/>
      <c r="G3" s="127" t="s">
        <v>41</v>
      </c>
      <c r="H3" s="127" t="s">
        <v>42</v>
      </c>
      <c r="I3" s="127" t="s">
        <v>43</v>
      </c>
      <c r="J3" s="127" t="s">
        <v>44</v>
      </c>
      <c r="K3" s="127" t="s">
        <v>45</v>
      </c>
      <c r="L3" s="156" t="s">
        <v>46</v>
      </c>
      <c r="M3" s="127" t="s">
        <v>349</v>
      </c>
      <c r="N3" s="127" t="s">
        <v>352</v>
      </c>
      <c r="O3" s="127" t="s">
        <v>353</v>
      </c>
      <c r="P3" s="127" t="s">
        <v>354</v>
      </c>
      <c r="Q3" s="127" t="s">
        <v>355</v>
      </c>
      <c r="R3" s="237" t="s">
        <v>437</v>
      </c>
      <c r="S3" s="237"/>
      <c r="T3" s="238"/>
      <c r="U3" s="238"/>
      <c r="V3" s="238"/>
      <c r="W3" s="238"/>
      <c r="X3" s="238"/>
      <c r="Y3" s="238"/>
      <c r="Z3" s="238"/>
      <c r="AA3" s="238"/>
      <c r="AB3" s="238"/>
      <c r="AC3" s="238"/>
    </row>
    <row r="4" spans="3:29" ht="15.6">
      <c r="L4" s="210"/>
    </row>
    <row r="5" spans="3:29" ht="15.6">
      <c r="C5" s="3" t="s">
        <v>642</v>
      </c>
      <c r="G5" s="154">
        <f>'P&amp;L(OUTPUT)'!G7</f>
        <v>7721.85</v>
      </c>
      <c r="H5" s="154">
        <f>'P&amp;L(OUTPUT)'!H7</f>
        <v>8514.99</v>
      </c>
      <c r="I5" s="154">
        <f>'P&amp;L(OUTPUT)'!I7</f>
        <v>8684.64</v>
      </c>
      <c r="J5" s="154">
        <f>'P&amp;L(OUTPUT)'!J7</f>
        <v>9546.6</v>
      </c>
      <c r="K5" s="154">
        <f>'P&amp;L(OUTPUT)'!K7</f>
        <v>10888.68</v>
      </c>
      <c r="L5" s="163">
        <f>'P&amp;L(OUTPUT)'!L7</f>
        <v>11529.89</v>
      </c>
      <c r="M5" s="154">
        <f>L5+M7*L5</f>
        <v>12636.726650000001</v>
      </c>
      <c r="N5" s="154">
        <f t="shared" ref="N5:Q5" si="0">M5+N7*M5</f>
        <v>13838.367231556902</v>
      </c>
      <c r="O5" s="154">
        <f>N5+O7*N5</f>
        <v>14876.24477392367</v>
      </c>
      <c r="P5" s="154">
        <f t="shared" si="0"/>
        <v>15917.581908098327</v>
      </c>
      <c r="Q5" s="154">
        <f t="shared" si="0"/>
        <v>16952.22473212472</v>
      </c>
      <c r="R5" s="235"/>
    </row>
    <row r="6" spans="3:29">
      <c r="G6" s="119"/>
      <c r="H6" s="119"/>
      <c r="I6" s="119"/>
      <c r="J6" s="119"/>
      <c r="K6" s="119"/>
      <c r="L6" s="155"/>
      <c r="M6" s="119"/>
      <c r="N6" s="119"/>
      <c r="O6" s="119"/>
      <c r="P6" s="119"/>
      <c r="Q6" s="119"/>
      <c r="R6" s="64"/>
    </row>
    <row r="7" spans="3:29" ht="15.6">
      <c r="C7" s="212" t="s">
        <v>434</v>
      </c>
      <c r="D7" s="137"/>
      <c r="E7" s="137"/>
      <c r="F7" s="137"/>
      <c r="G7" s="213" t="s">
        <v>158</v>
      </c>
      <c r="H7" s="138">
        <f>IFERROR((H5-G5)/G5,"-")</f>
        <v>0.10271372792789285</v>
      </c>
      <c r="I7" s="138">
        <f t="shared" ref="I7:L7" si="1">IFERROR((I5-H5)/H5,"-")</f>
        <v>1.9923687520478548E-2</v>
      </c>
      <c r="J7" s="138">
        <f t="shared" si="1"/>
        <v>9.9251091582380047E-2</v>
      </c>
      <c r="K7" s="138">
        <f t="shared" si="1"/>
        <v>0.1405819873043806</v>
      </c>
      <c r="L7" s="214">
        <f t="shared" si="1"/>
        <v>5.888776233666515E-2</v>
      </c>
      <c r="M7" s="138">
        <f>M13</f>
        <v>9.5997156087352167E-2</v>
      </c>
      <c r="N7" s="138">
        <f t="shared" ref="N7:Q7" si="2">N13</f>
        <v>9.5091127222958524E-2</v>
      </c>
      <c r="O7" s="138">
        <f t="shared" si="2"/>
        <v>7.4999999999999997E-2</v>
      </c>
      <c r="P7" s="138">
        <f t="shared" si="2"/>
        <v>6.9999999999999993E-2</v>
      </c>
      <c r="Q7" s="138">
        <f t="shared" si="2"/>
        <v>6.4999999999999988E-2</v>
      </c>
      <c r="R7" s="239"/>
      <c r="S7" s="137"/>
    </row>
    <row r="8" spans="3:29">
      <c r="G8" s="119"/>
      <c r="H8" s="119"/>
      <c r="I8" s="119"/>
      <c r="J8" s="119"/>
      <c r="K8" s="119"/>
      <c r="L8" s="155"/>
      <c r="M8" s="119"/>
      <c r="N8" s="119"/>
      <c r="O8" s="119"/>
      <c r="P8" s="119"/>
      <c r="Q8" s="119"/>
      <c r="R8" s="64"/>
    </row>
    <row r="9" spans="3:29" ht="15.6" thickBot="1">
      <c r="G9" s="119"/>
      <c r="H9" s="119"/>
      <c r="I9" s="119"/>
      <c r="J9" s="119"/>
      <c r="K9" s="119"/>
      <c r="L9" s="155"/>
      <c r="M9" s="119"/>
      <c r="N9" s="119"/>
      <c r="O9" s="119"/>
      <c r="P9" s="119"/>
      <c r="Q9" s="119"/>
      <c r="R9" s="64"/>
    </row>
    <row r="10" spans="3:29" ht="16.2" thickBot="1">
      <c r="C10" s="3" t="s">
        <v>645</v>
      </c>
      <c r="E10" s="236">
        <f>Forecasting!L15</f>
        <v>3</v>
      </c>
      <c r="G10" s="119"/>
      <c r="H10" s="119"/>
      <c r="I10" s="119"/>
      <c r="J10" s="119"/>
      <c r="K10" s="119"/>
      <c r="L10" s="155"/>
      <c r="M10" s="119"/>
      <c r="N10" s="119"/>
      <c r="O10" s="119"/>
      <c r="P10" s="119"/>
      <c r="Q10" s="119"/>
      <c r="R10" s="64"/>
    </row>
    <row r="11" spans="3:29" ht="15.6">
      <c r="D11" s="358" t="s">
        <v>686</v>
      </c>
      <c r="G11" s="119"/>
      <c r="H11" s="119"/>
      <c r="I11" s="119"/>
      <c r="J11" s="119"/>
      <c r="K11" s="119"/>
      <c r="L11" s="155"/>
      <c r="M11" s="119"/>
      <c r="N11" s="119"/>
      <c r="O11" s="119"/>
      <c r="P11" s="119"/>
      <c r="Q11" s="119"/>
      <c r="R11" s="64"/>
    </row>
    <row r="12" spans="3:29">
      <c r="G12" s="119"/>
      <c r="H12" s="119"/>
      <c r="I12" s="119"/>
      <c r="J12" s="119"/>
      <c r="K12" s="119"/>
      <c r="L12" s="155"/>
      <c r="M12" s="119"/>
      <c r="N12" s="119"/>
      <c r="O12" s="119"/>
      <c r="P12" s="119"/>
      <c r="Q12" s="119"/>
      <c r="R12" s="64"/>
    </row>
    <row r="13" spans="3:29" ht="15.6">
      <c r="C13" s="3" t="s">
        <v>434</v>
      </c>
      <c r="G13" s="119"/>
      <c r="H13" s="177">
        <f>H7</f>
        <v>0.10271372792789285</v>
      </c>
      <c r="I13" s="177">
        <f t="shared" ref="I13:L13" si="3">I7</f>
        <v>1.9923687520478548E-2</v>
      </c>
      <c r="J13" s="177">
        <f t="shared" si="3"/>
        <v>9.9251091582380047E-2</v>
      </c>
      <c r="K13" s="177">
        <f t="shared" si="3"/>
        <v>0.1405819873043806</v>
      </c>
      <c r="L13" s="178">
        <f t="shared" si="3"/>
        <v>5.888776233666515E-2</v>
      </c>
      <c r="M13" s="177">
        <f>CHOOSE($E$10,M18,M23,M28)</f>
        <v>9.5997156087352167E-2</v>
      </c>
      <c r="N13" s="177">
        <f t="shared" ref="N13:Q13" si="4">CHOOSE($E$10,N18,N23,N28)</f>
        <v>9.5091127222958524E-2</v>
      </c>
      <c r="O13" s="177">
        <f t="shared" si="4"/>
        <v>7.4999999999999997E-2</v>
      </c>
      <c r="P13" s="177">
        <f t="shared" si="4"/>
        <v>6.9999999999999993E-2</v>
      </c>
      <c r="Q13" s="177">
        <f t="shared" si="4"/>
        <v>6.4999999999999988E-2</v>
      </c>
      <c r="R13" s="235"/>
    </row>
    <row r="14" spans="3:29">
      <c r="G14" s="119"/>
      <c r="H14" s="119"/>
      <c r="I14" s="119"/>
      <c r="J14" s="119"/>
      <c r="K14" s="119"/>
      <c r="L14" s="155"/>
      <c r="M14" s="119"/>
      <c r="N14" s="119"/>
      <c r="O14" s="119"/>
      <c r="P14" s="119"/>
      <c r="Q14" s="119"/>
      <c r="R14" s="64"/>
    </row>
    <row r="15" spans="3:29">
      <c r="G15" s="119"/>
      <c r="H15" s="119"/>
      <c r="I15" s="119"/>
      <c r="J15" s="119"/>
      <c r="K15" s="119"/>
      <c r="L15" s="155"/>
      <c r="M15" s="119"/>
      <c r="N15" s="119"/>
      <c r="O15" s="119"/>
      <c r="P15" s="119"/>
      <c r="Q15" s="119"/>
      <c r="R15" s="64"/>
    </row>
    <row r="16" spans="3:29" ht="15.6">
      <c r="C16" s="220" t="s">
        <v>687</v>
      </c>
      <c r="D16" s="216"/>
      <c r="E16" s="216"/>
      <c r="F16" s="216"/>
      <c r="G16" s="217"/>
      <c r="H16" s="217"/>
      <c r="I16" s="217"/>
      <c r="J16" s="217"/>
      <c r="K16" s="217"/>
      <c r="L16" s="218"/>
      <c r="M16" s="217"/>
      <c r="N16" s="217"/>
      <c r="O16" s="217"/>
      <c r="P16" s="217"/>
      <c r="Q16" s="217"/>
      <c r="R16" s="64"/>
    </row>
    <row r="17" spans="3:22">
      <c r="C17" s="216"/>
      <c r="D17" s="216"/>
      <c r="E17" s="216"/>
      <c r="F17" s="216"/>
      <c r="G17" s="217"/>
      <c r="H17" s="217"/>
      <c r="I17" s="217"/>
      <c r="J17" s="217"/>
      <c r="K17" s="217"/>
      <c r="L17" s="218"/>
      <c r="M17" s="217"/>
      <c r="N17" s="217"/>
      <c r="O17" s="217"/>
      <c r="P17" s="217"/>
      <c r="Q17" s="217"/>
      <c r="R17" s="64"/>
    </row>
    <row r="18" spans="3:22" ht="15.6">
      <c r="C18" s="222" t="s">
        <v>434</v>
      </c>
      <c r="D18" s="222"/>
      <c r="E18" s="222"/>
      <c r="F18" s="222"/>
      <c r="G18" s="223"/>
      <c r="H18" s="224">
        <f>H13</f>
        <v>0.10271372792789285</v>
      </c>
      <c r="I18" s="224">
        <f t="shared" ref="I18:L18" si="5">I13</f>
        <v>1.9923687520478548E-2</v>
      </c>
      <c r="J18" s="224">
        <f t="shared" si="5"/>
        <v>9.9251091582380047E-2</v>
      </c>
      <c r="K18" s="224">
        <f t="shared" si="5"/>
        <v>0.1405819873043806</v>
      </c>
      <c r="L18" s="226">
        <f t="shared" si="5"/>
        <v>5.888776233666515E-2</v>
      </c>
      <c r="M18" s="224">
        <f>'Street estimates-FY24'!J7+1%</f>
        <v>0.12099715608735216</v>
      </c>
      <c r="N18" s="224">
        <f>'Street estimates-FY25'!J7+1%</f>
        <v>0.12009112722295852</v>
      </c>
      <c r="O18" s="224">
        <f>E40</f>
        <v>8.5000000000000006E-2</v>
      </c>
      <c r="P18" s="224">
        <f t="shared" ref="P18:Q18" si="6">F40</f>
        <v>0.08</v>
      </c>
      <c r="Q18" s="224">
        <f t="shared" si="6"/>
        <v>7.4999999999999997E-2</v>
      </c>
      <c r="R18" s="240"/>
      <c r="V18" s="8"/>
    </row>
    <row r="19" spans="3:22" ht="15.6">
      <c r="C19" s="216"/>
      <c r="D19" s="216"/>
      <c r="E19" s="216"/>
      <c r="F19" s="216"/>
      <c r="G19" s="219"/>
      <c r="H19" s="217"/>
      <c r="I19" s="217"/>
      <c r="J19" s="217"/>
      <c r="K19" s="217"/>
      <c r="L19" s="218"/>
      <c r="M19" s="217"/>
      <c r="N19" s="217"/>
      <c r="O19" s="217"/>
      <c r="P19" s="217"/>
      <c r="Q19" s="217"/>
      <c r="R19" s="64"/>
    </row>
    <row r="20" spans="3:22">
      <c r="G20" s="119"/>
      <c r="H20" s="119"/>
      <c r="I20" s="119"/>
      <c r="J20" s="119"/>
      <c r="K20" s="119"/>
      <c r="L20" s="155"/>
      <c r="M20" s="119"/>
      <c r="N20" s="119"/>
      <c r="O20" s="119"/>
      <c r="P20" s="119"/>
      <c r="Q20" s="119"/>
      <c r="R20" s="64"/>
    </row>
    <row r="21" spans="3:22" ht="15.6">
      <c r="C21" s="220" t="s">
        <v>688</v>
      </c>
      <c r="D21" s="216"/>
      <c r="E21" s="216"/>
      <c r="F21" s="216"/>
      <c r="G21" s="217"/>
      <c r="H21" s="217"/>
      <c r="I21" s="217"/>
      <c r="J21" s="217"/>
      <c r="K21" s="217"/>
      <c r="L21" s="218"/>
      <c r="M21" s="217"/>
      <c r="N21" s="217"/>
      <c r="O21" s="217"/>
      <c r="P21" s="217"/>
      <c r="Q21" s="217"/>
      <c r="R21" s="64"/>
    </row>
    <row r="22" spans="3:22">
      <c r="C22" s="216"/>
      <c r="D22" s="216"/>
      <c r="E22" s="216"/>
      <c r="F22" s="216"/>
      <c r="G22" s="217"/>
      <c r="H22" s="225"/>
      <c r="I22" s="225"/>
      <c r="J22" s="225"/>
      <c r="K22" s="225"/>
      <c r="L22" s="227"/>
      <c r="M22" s="225"/>
      <c r="N22" s="225"/>
      <c r="O22" s="225"/>
      <c r="P22" s="225"/>
      <c r="Q22" s="225"/>
      <c r="R22" s="235"/>
    </row>
    <row r="23" spans="3:22" ht="15.6">
      <c r="C23" s="222" t="s">
        <v>434</v>
      </c>
      <c r="D23" s="222"/>
      <c r="E23" s="222"/>
      <c r="F23" s="222"/>
      <c r="G23" s="223"/>
      <c r="H23" s="224">
        <f>H13</f>
        <v>0.10271372792789285</v>
      </c>
      <c r="I23" s="224">
        <f t="shared" ref="I23:L23" si="7">I13</f>
        <v>1.9923687520478548E-2</v>
      </c>
      <c r="J23" s="224">
        <f t="shared" si="7"/>
        <v>9.9251091582380047E-2</v>
      </c>
      <c r="K23" s="224">
        <f t="shared" si="7"/>
        <v>0.1405819873043806</v>
      </c>
      <c r="L23" s="226">
        <f t="shared" si="7"/>
        <v>5.888776233666515E-2</v>
      </c>
      <c r="M23" s="224">
        <f>'Street estimates-FY24'!J7</f>
        <v>0.11099715608735217</v>
      </c>
      <c r="N23" s="224">
        <f>'Street estimates-FY25'!J7</f>
        <v>0.11009112722295852</v>
      </c>
      <c r="O23" s="224">
        <f>E41</f>
        <v>0.08</v>
      </c>
      <c r="P23" s="224">
        <f t="shared" ref="P23:Q23" si="8">F41</f>
        <v>7.4999999999999997E-2</v>
      </c>
      <c r="Q23" s="224">
        <f t="shared" si="8"/>
        <v>6.9999999999999993E-2</v>
      </c>
      <c r="R23" s="240"/>
    </row>
    <row r="24" spans="3:22" ht="15.6">
      <c r="C24" s="216"/>
      <c r="D24" s="216"/>
      <c r="E24" s="216"/>
      <c r="F24" s="216"/>
      <c r="G24" s="219"/>
      <c r="H24" s="217"/>
      <c r="I24" s="217"/>
      <c r="J24" s="217"/>
      <c r="K24" s="217"/>
      <c r="L24" s="218"/>
      <c r="M24" s="217"/>
      <c r="N24" s="217"/>
      <c r="O24" s="217"/>
      <c r="P24" s="217"/>
      <c r="Q24" s="217"/>
      <c r="R24" s="64"/>
    </row>
    <row r="25" spans="3:22" ht="15.6">
      <c r="G25" s="211"/>
      <c r="H25" s="119"/>
      <c r="I25" s="119"/>
      <c r="J25" s="119"/>
      <c r="K25" s="119"/>
      <c r="L25" s="155"/>
      <c r="M25" s="119"/>
      <c r="N25" s="119"/>
      <c r="O25" s="119"/>
      <c r="P25" s="119"/>
      <c r="Q25" s="119"/>
      <c r="R25" s="64"/>
    </row>
    <row r="26" spans="3:22" ht="15.6">
      <c r="C26" s="220" t="s">
        <v>689</v>
      </c>
      <c r="D26" s="216"/>
      <c r="E26" s="216"/>
      <c r="F26" s="216"/>
      <c r="G26" s="217"/>
      <c r="H26" s="217"/>
      <c r="I26" s="217"/>
      <c r="J26" s="217"/>
      <c r="K26" s="217"/>
      <c r="L26" s="218"/>
      <c r="M26" s="217"/>
      <c r="N26" s="217"/>
      <c r="O26" s="217"/>
      <c r="P26" s="217"/>
      <c r="Q26" s="217"/>
      <c r="R26" s="64"/>
    </row>
    <row r="27" spans="3:22">
      <c r="C27" s="216"/>
      <c r="D27" s="216"/>
      <c r="E27" s="216"/>
      <c r="F27" s="216"/>
      <c r="G27" s="217"/>
      <c r="H27" s="217"/>
      <c r="I27" s="217"/>
      <c r="J27" s="217"/>
      <c r="K27" s="217"/>
      <c r="L27" s="218"/>
      <c r="M27" s="217"/>
      <c r="N27" s="217"/>
      <c r="O27" s="217"/>
      <c r="P27" s="217"/>
      <c r="Q27" s="217"/>
      <c r="R27" s="64"/>
    </row>
    <row r="28" spans="3:22" ht="15.6">
      <c r="C28" s="222" t="s">
        <v>434</v>
      </c>
      <c r="D28" s="222"/>
      <c r="E28" s="222"/>
      <c r="F28" s="222"/>
      <c r="G28" s="223"/>
      <c r="H28" s="224">
        <f>H23</f>
        <v>0.10271372792789285</v>
      </c>
      <c r="I28" s="224">
        <f t="shared" ref="I28:L28" si="9">I23</f>
        <v>1.9923687520478548E-2</v>
      </c>
      <c r="J28" s="224">
        <f t="shared" si="9"/>
        <v>9.9251091582380047E-2</v>
      </c>
      <c r="K28" s="224">
        <f t="shared" si="9"/>
        <v>0.1405819873043806</v>
      </c>
      <c r="L28" s="226">
        <f t="shared" si="9"/>
        <v>5.888776233666515E-2</v>
      </c>
      <c r="M28" s="224">
        <f>'Street estimates-FY24'!J7-1.5%</f>
        <v>9.5997156087352167E-2</v>
      </c>
      <c r="N28" s="224">
        <f>'Street estimates-FY25'!J7-1.5%</f>
        <v>9.5091127222958524E-2</v>
      </c>
      <c r="O28" s="224">
        <f>E42</f>
        <v>7.4999999999999997E-2</v>
      </c>
      <c r="P28" s="224">
        <f t="shared" ref="P28:Q28" si="10">F42</f>
        <v>6.9999999999999993E-2</v>
      </c>
      <c r="Q28" s="224">
        <f t="shared" si="10"/>
        <v>6.4999999999999988E-2</v>
      </c>
      <c r="R28" s="240"/>
    </row>
    <row r="29" spans="3:22" ht="15.6">
      <c r="C29" s="216"/>
      <c r="D29" s="216"/>
      <c r="E29" s="216"/>
      <c r="F29" s="216"/>
      <c r="G29" s="219"/>
      <c r="H29" s="217"/>
      <c r="I29" s="217"/>
      <c r="J29" s="217"/>
      <c r="K29" s="217"/>
      <c r="L29" s="218"/>
      <c r="M29" s="217"/>
      <c r="N29" s="217"/>
      <c r="O29" s="217"/>
      <c r="P29" s="217"/>
      <c r="Q29" s="217"/>
      <c r="R29" s="64"/>
    </row>
    <row r="30" spans="3:22">
      <c r="G30" s="119"/>
      <c r="H30" s="119"/>
      <c r="I30" s="119"/>
      <c r="J30" s="119"/>
      <c r="K30" s="119"/>
      <c r="L30" s="119"/>
      <c r="M30" s="119"/>
      <c r="N30" s="119"/>
      <c r="O30" s="119"/>
      <c r="P30" s="119"/>
      <c r="Q30" s="119"/>
      <c r="R30" s="64"/>
    </row>
    <row r="31" spans="3:22">
      <c r="G31" s="119"/>
      <c r="H31" s="119"/>
      <c r="I31" s="119"/>
      <c r="J31" s="119"/>
      <c r="K31" s="119"/>
      <c r="L31" s="119"/>
      <c r="M31" s="119"/>
      <c r="N31" s="119"/>
      <c r="O31" s="119"/>
      <c r="P31" s="119"/>
      <c r="Q31" s="119"/>
      <c r="R31" s="64"/>
    </row>
    <row r="32" spans="3:22">
      <c r="G32" s="119"/>
      <c r="H32" s="119"/>
      <c r="I32" s="119"/>
      <c r="J32" s="119"/>
      <c r="K32" s="119"/>
      <c r="L32" s="119"/>
      <c r="M32" s="119"/>
      <c r="N32" s="119"/>
      <c r="O32" s="119"/>
      <c r="P32" s="119"/>
      <c r="Q32" s="119"/>
      <c r="R32" s="64"/>
    </row>
    <row r="33" spans="3:18">
      <c r="G33" s="119"/>
      <c r="H33" s="119"/>
      <c r="I33" s="119"/>
      <c r="J33" s="119"/>
      <c r="K33" s="119"/>
      <c r="L33" s="119"/>
      <c r="M33" s="119"/>
      <c r="N33" s="119"/>
      <c r="O33" s="119"/>
      <c r="P33" s="119"/>
      <c r="Q33" s="119"/>
      <c r="R33" s="64"/>
    </row>
    <row r="34" spans="3:18" ht="15.6">
      <c r="C34" s="3" t="s">
        <v>343</v>
      </c>
      <c r="D34" s="3" t="s">
        <v>649</v>
      </c>
      <c r="E34" s="119"/>
      <c r="R34" s="59"/>
    </row>
    <row r="35" spans="3:18">
      <c r="D35" s="2" t="s">
        <v>647</v>
      </c>
      <c r="E35" s="2" t="s">
        <v>650</v>
      </c>
    </row>
    <row r="36" spans="3:18">
      <c r="D36" s="2" t="s">
        <v>646</v>
      </c>
      <c r="E36" s="2" t="s">
        <v>651</v>
      </c>
    </row>
    <row r="37" spans="3:18">
      <c r="D37" s="2" t="s">
        <v>648</v>
      </c>
      <c r="E37" s="2" t="s">
        <v>652</v>
      </c>
    </row>
    <row r="39" spans="3:18" ht="15.6">
      <c r="C39" s="3" t="s">
        <v>571</v>
      </c>
      <c r="D39" s="3" t="s">
        <v>653</v>
      </c>
      <c r="E39" s="221" t="s">
        <v>654</v>
      </c>
      <c r="F39" s="221" t="s">
        <v>655</v>
      </c>
      <c r="G39" s="221" t="s">
        <v>656</v>
      </c>
    </row>
    <row r="40" spans="3:18">
      <c r="D40" s="2" t="s">
        <v>647</v>
      </c>
      <c r="E40" s="202">
        <v>8.5000000000000006E-2</v>
      </c>
      <c r="F40" s="202">
        <f>E40-0.5%</f>
        <v>0.08</v>
      </c>
      <c r="G40" s="202">
        <f>F40-0.5%</f>
        <v>7.4999999999999997E-2</v>
      </c>
    </row>
    <row r="41" spans="3:18">
      <c r="D41" s="2" t="s">
        <v>646</v>
      </c>
      <c r="E41" s="202">
        <v>0.08</v>
      </c>
      <c r="F41" s="202">
        <f t="shared" ref="F41:G41" si="11">E41-0.5%</f>
        <v>7.4999999999999997E-2</v>
      </c>
      <c r="G41" s="202">
        <f t="shared" si="11"/>
        <v>6.9999999999999993E-2</v>
      </c>
    </row>
    <row r="42" spans="3:18">
      <c r="D42" s="2" t="s">
        <v>648</v>
      </c>
      <c r="E42" s="202">
        <v>7.4999999999999997E-2</v>
      </c>
      <c r="F42" s="202">
        <f t="shared" ref="F42:G42" si="12">E42-0.5%</f>
        <v>6.9999999999999993E-2</v>
      </c>
      <c r="G42" s="202">
        <f t="shared" si="12"/>
        <v>6.4999999999999988E-2</v>
      </c>
    </row>
    <row r="43" spans="3:18">
      <c r="E43" s="177"/>
      <c r="F43" s="177"/>
      <c r="G43" s="177"/>
    </row>
  </sheetData>
  <hyperlinks>
    <hyperlink ref="D11" location="Forecasting!L15" display="DON'T MANAULLY CHANGE THE CASE NUMBER , USE FORECASTING SHEET" xr:uid="{64CBE417-8702-4016-B244-89B84B4761C6}"/>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1CC2F-82CF-43AE-AFE6-605A5639CE4C}">
  <sheetPr codeName="Sheet15"/>
  <dimension ref="B1:R77"/>
  <sheetViews>
    <sheetView showGridLines="0" zoomScale="86" zoomScaleNormal="100" workbookViewId="0">
      <pane ySplit="3" topLeftCell="A4" activePane="bottomLeft" state="frozen"/>
      <selection pane="bottomLeft" activeCell="D21" sqref="D21"/>
    </sheetView>
  </sheetViews>
  <sheetFormatPr defaultColWidth="11.77734375" defaultRowHeight="15"/>
  <cols>
    <col min="1" max="1" width="2.6640625" style="2" customWidth="1"/>
    <col min="2" max="17" width="15.5546875" style="2" customWidth="1"/>
    <col min="18" max="18" width="54.5546875" style="2" customWidth="1"/>
    <col min="19" max="30" width="15.5546875" style="2" customWidth="1"/>
    <col min="31" max="16384" width="11.77734375" style="2"/>
  </cols>
  <sheetData>
    <row r="1" spans="3:18">
      <c r="L1" s="241"/>
    </row>
    <row r="2" spans="3:18" ht="15.6">
      <c r="E2" s="3" t="s">
        <v>82</v>
      </c>
      <c r="G2" s="119" t="s">
        <v>350</v>
      </c>
      <c r="H2" s="119" t="s">
        <v>350</v>
      </c>
      <c r="I2" s="119" t="s">
        <v>350</v>
      </c>
      <c r="J2" s="119" t="s">
        <v>350</v>
      </c>
      <c r="K2" s="119" t="s">
        <v>350</v>
      </c>
      <c r="L2" s="242" t="s">
        <v>350</v>
      </c>
      <c r="M2" s="119" t="s">
        <v>351</v>
      </c>
      <c r="N2" s="119" t="s">
        <v>351</v>
      </c>
      <c r="O2" s="119" t="s">
        <v>351</v>
      </c>
      <c r="P2" s="119" t="s">
        <v>351</v>
      </c>
      <c r="Q2" s="119" t="s">
        <v>351</v>
      </c>
      <c r="R2" s="119"/>
    </row>
    <row r="3" spans="3:18">
      <c r="C3" s="121" t="s">
        <v>665</v>
      </c>
      <c r="D3" s="120"/>
      <c r="E3" s="120"/>
      <c r="F3" s="120"/>
      <c r="G3" s="127" t="s">
        <v>41</v>
      </c>
      <c r="H3" s="127" t="s">
        <v>42</v>
      </c>
      <c r="I3" s="127" t="s">
        <v>43</v>
      </c>
      <c r="J3" s="127" t="s">
        <v>44</v>
      </c>
      <c r="K3" s="127" t="s">
        <v>45</v>
      </c>
      <c r="L3" s="243" t="s">
        <v>46</v>
      </c>
      <c r="M3" s="127" t="s">
        <v>349</v>
      </c>
      <c r="N3" s="127" t="s">
        <v>352</v>
      </c>
      <c r="O3" s="127" t="s">
        <v>353</v>
      </c>
      <c r="P3" s="127" t="s">
        <v>354</v>
      </c>
      <c r="Q3" s="127" t="s">
        <v>355</v>
      </c>
      <c r="R3" s="237" t="s">
        <v>437</v>
      </c>
    </row>
    <row r="4" spans="3:18" ht="15.6">
      <c r="L4" s="244"/>
    </row>
    <row r="5" spans="3:18" ht="15.6">
      <c r="C5" s="3" t="s">
        <v>361</v>
      </c>
      <c r="L5" s="241"/>
    </row>
    <row r="6" spans="3:18">
      <c r="D6" s="2" t="s">
        <v>670</v>
      </c>
      <c r="G6" s="128">
        <f>'P&amp;L(OUTPUT)'!G89</f>
        <v>3220.05</v>
      </c>
      <c r="H6" s="128">
        <f>'P&amp;L(OUTPUT)'!H89</f>
        <v>3475.35</v>
      </c>
      <c r="I6" s="128">
        <f>'P&amp;L(OUTPUT)'!I89</f>
        <v>3731.71</v>
      </c>
      <c r="J6" s="128">
        <f>'P&amp;L(OUTPUT)'!J89</f>
        <v>3998.58</v>
      </c>
      <c r="K6" s="128">
        <f>'P&amp;L(OUTPUT)'!K89</f>
        <v>4766.12</v>
      </c>
      <c r="L6" s="245">
        <f>'P&amp;L(OUTPUT)'!L89</f>
        <v>5306.97</v>
      </c>
      <c r="M6" s="128">
        <f>M13*'Revenue '!M$5</f>
        <v>5686.5269925000002</v>
      </c>
      <c r="N6" s="128">
        <f>N13*'Revenue '!N$5</f>
        <v>6061.2048474219228</v>
      </c>
      <c r="O6" s="128">
        <f>O13*'Revenue '!O$5</f>
        <v>6471.1664766567965</v>
      </c>
      <c r="P6" s="128">
        <f>P13*'Revenue '!P$5</f>
        <v>6908.2305481146741</v>
      </c>
      <c r="Q6" s="128">
        <f>Q13*'Revenue '!Q$5</f>
        <v>7323.3610842778789</v>
      </c>
    </row>
    <row r="7" spans="3:18">
      <c r="D7" s="2" t="s">
        <v>671</v>
      </c>
      <c r="G7" s="128">
        <f>'P&amp;L(OUTPUT)'!G90</f>
        <v>665.8</v>
      </c>
      <c r="H7" s="128">
        <f>'P&amp;L(OUTPUT)'!H90</f>
        <v>802.98</v>
      </c>
      <c r="I7" s="128">
        <f>'P&amp;L(OUTPUT)'!I90</f>
        <v>674.62</v>
      </c>
      <c r="J7" s="128">
        <f>'P&amp;L(OUTPUT)'!J90</f>
        <v>982.53</v>
      </c>
      <c r="K7" s="128">
        <f>'P&amp;L(OUTPUT)'!K90</f>
        <v>882.12</v>
      </c>
      <c r="L7" s="245">
        <f>'P&amp;L(OUTPUT)'!L90</f>
        <v>1052.49</v>
      </c>
      <c r="M7" s="128">
        <f>M14*'Revenue '!M$5</f>
        <v>1074.1217652500002</v>
      </c>
      <c r="N7" s="128">
        <f>N14*'Revenue '!N$5</f>
        <v>1245.453050840121</v>
      </c>
      <c r="O7" s="128">
        <f>O14*'Revenue '!O$5</f>
        <v>1338.8620296531303</v>
      </c>
      <c r="P7" s="128">
        <f>P14*'Revenue '!P$5</f>
        <v>1432.5823717288495</v>
      </c>
      <c r="Q7" s="128">
        <f>Q14*'Revenue '!Q$5</f>
        <v>1525.7002258912248</v>
      </c>
    </row>
    <row r="8" spans="3:18">
      <c r="D8" s="2" t="s">
        <v>303</v>
      </c>
      <c r="G8" s="128">
        <f>'P&amp;L(OUTPUT)'!G91</f>
        <v>-65.930000000000007</v>
      </c>
      <c r="H8" s="128">
        <f>'P&amp;L(OUTPUT)'!H91</f>
        <v>12.64</v>
      </c>
      <c r="I8" s="128">
        <f>'P&amp;L(OUTPUT)'!I91</f>
        <v>-65.040000000000006</v>
      </c>
      <c r="J8" s="128">
        <f>'P&amp;L(OUTPUT)'!J91</f>
        <v>-207.2</v>
      </c>
      <c r="K8" s="128">
        <f>'P&amp;L(OUTPUT)'!K91</f>
        <v>-8.5500000000000007</v>
      </c>
      <c r="L8" s="245">
        <f>'P&amp;L(OUTPUT)'!L91</f>
        <v>-90.79</v>
      </c>
      <c r="M8" s="128">
        <f>M15*'Revenue '!M$5</f>
        <v>-97.30279520500001</v>
      </c>
      <c r="N8" s="128">
        <f>N15*'Revenue '!N$5</f>
        <v>-106.55542768298815</v>
      </c>
      <c r="O8" s="128">
        <f>O15*'Revenue '!O$5</f>
        <v>-114.54708475921227</v>
      </c>
      <c r="P8" s="128">
        <f>P15*'Revenue '!P$5</f>
        <v>-122.56538069235712</v>
      </c>
      <c r="Q8" s="128">
        <f>Q15*'Revenue '!Q$5</f>
        <v>-130.53213043736034</v>
      </c>
    </row>
    <row r="9" spans="3:18">
      <c r="G9" s="128"/>
      <c r="H9" s="128"/>
      <c r="I9" s="128"/>
      <c r="J9" s="128"/>
      <c r="K9" s="128"/>
      <c r="L9" s="245"/>
      <c r="M9" s="128"/>
      <c r="N9" s="128"/>
      <c r="O9" s="128"/>
      <c r="P9" s="128"/>
      <c r="Q9" s="128"/>
    </row>
    <row r="10" spans="3:18" ht="15.6">
      <c r="D10" s="253" t="s">
        <v>673</v>
      </c>
      <c r="E10" s="252"/>
      <c r="F10" s="252"/>
      <c r="G10" s="129">
        <f>G6+G7+G8</f>
        <v>3819.9200000000005</v>
      </c>
      <c r="H10" s="129">
        <f t="shared" ref="H10:Q10" si="0">H6+H7+H8</f>
        <v>4290.97</v>
      </c>
      <c r="I10" s="129">
        <f t="shared" si="0"/>
        <v>4341.29</v>
      </c>
      <c r="J10" s="129">
        <f t="shared" si="0"/>
        <v>4773.91</v>
      </c>
      <c r="K10" s="129">
        <f t="shared" si="0"/>
        <v>5639.69</v>
      </c>
      <c r="L10" s="254">
        <f t="shared" si="0"/>
        <v>6268.67</v>
      </c>
      <c r="M10" s="129">
        <f t="shared" si="0"/>
        <v>6663.3459625450005</v>
      </c>
      <c r="N10" s="129">
        <f t="shared" si="0"/>
        <v>7200.102470579056</v>
      </c>
      <c r="O10" s="129">
        <f t="shared" si="0"/>
        <v>7695.4814215507149</v>
      </c>
      <c r="P10" s="129">
        <f t="shared" si="0"/>
        <v>8218.2475391511671</v>
      </c>
      <c r="Q10" s="129">
        <f t="shared" si="0"/>
        <v>8718.5291797317423</v>
      </c>
    </row>
    <row r="11" spans="3:18">
      <c r="G11" s="128"/>
      <c r="H11" s="128"/>
      <c r="I11" s="128"/>
      <c r="J11" s="128"/>
      <c r="K11" s="128"/>
      <c r="L11" s="245"/>
      <c r="M11" s="128"/>
      <c r="N11" s="128"/>
      <c r="O11" s="128"/>
      <c r="P11" s="128"/>
      <c r="Q11" s="128"/>
    </row>
    <row r="12" spans="3:18" ht="15.6">
      <c r="C12" s="3" t="s">
        <v>672</v>
      </c>
      <c r="G12" s="128"/>
      <c r="H12" s="128"/>
      <c r="I12" s="128"/>
      <c r="J12" s="128"/>
      <c r="K12" s="128"/>
      <c r="L12" s="245"/>
      <c r="M12" s="128"/>
      <c r="N12" s="128"/>
      <c r="O12" s="128"/>
      <c r="P12" s="128"/>
      <c r="Q12" s="128"/>
    </row>
    <row r="13" spans="3:18">
      <c r="D13" s="2" t="s">
        <v>670</v>
      </c>
      <c r="G13" s="177">
        <f>IFERROR(G6/'P&amp;L(OUTPUT)'!G$7,"-")</f>
        <v>0.4170049923269683</v>
      </c>
      <c r="H13" s="177">
        <f>IFERROR(H6/'P&amp;L(OUTPUT)'!H$7,"-")</f>
        <v>0.40814493029351767</v>
      </c>
      <c r="I13" s="177">
        <f>IFERROR(I6/'P&amp;L(OUTPUT)'!I$7,"-")</f>
        <v>0.4296908104423442</v>
      </c>
      <c r="J13" s="177">
        <f>IFERROR(J6/'P&amp;L(OUTPUT)'!J$7,"-")</f>
        <v>0.41884859531141977</v>
      </c>
      <c r="K13" s="177">
        <f>IFERROR(K6/'P&amp;L(OUTPUT)'!K$7,"-")</f>
        <v>0.4377132949081064</v>
      </c>
      <c r="L13" s="255">
        <f>IFERROR(L6/'P&amp;L(OUTPUT)'!L$7,"-")</f>
        <v>0.4602793261687666</v>
      </c>
      <c r="M13" s="177">
        <f>CHOOSE($E$20,M26,M35,M44)</f>
        <v>0.45</v>
      </c>
      <c r="N13" s="177">
        <f t="shared" ref="N13:Q13" si="1">CHOOSE($E$20,N26,N35,N44)</f>
        <v>0.438</v>
      </c>
      <c r="O13" s="177">
        <f t="shared" si="1"/>
        <v>0.435</v>
      </c>
      <c r="P13" s="177">
        <f t="shared" si="1"/>
        <v>0.434</v>
      </c>
      <c r="Q13" s="177">
        <f t="shared" si="1"/>
        <v>0.432</v>
      </c>
    </row>
    <row r="14" spans="3:18">
      <c r="D14" s="2" t="s">
        <v>671</v>
      </c>
      <c r="G14" s="177">
        <f>IFERROR(G7/'P&amp;L(OUTPUT)'!G$7,"-")</f>
        <v>8.6222861101937998E-2</v>
      </c>
      <c r="H14" s="177">
        <f>IFERROR(H7/'P&amp;L(OUTPUT)'!H$7,"-")</f>
        <v>9.4301931065098141E-2</v>
      </c>
      <c r="I14" s="177">
        <f>IFERROR(I7/'P&amp;L(OUTPUT)'!I$7,"-")</f>
        <v>7.7679673538569249E-2</v>
      </c>
      <c r="J14" s="177">
        <f>IFERROR(J7/'P&amp;L(OUTPUT)'!J$7,"-")</f>
        <v>0.10291936396203884</v>
      </c>
      <c r="K14" s="177">
        <f>IFERROR(K7/'P&amp;L(OUTPUT)'!K$7,"-")</f>
        <v>8.1012574526939898E-2</v>
      </c>
      <c r="L14" s="255">
        <f>IFERROR(L7/'P&amp;L(OUTPUT)'!L$7,"-")</f>
        <v>9.1283611552235105E-2</v>
      </c>
      <c r="M14" s="177">
        <f>CHOOSE($E$20,M27,M36,M45)</f>
        <v>8.5000000000000006E-2</v>
      </c>
      <c r="N14" s="177">
        <f t="shared" ref="N14:Q14" si="2">CHOOSE($E$20,N27,N36,N45)</f>
        <v>0.09</v>
      </c>
      <c r="O14" s="177">
        <f t="shared" si="2"/>
        <v>0.09</v>
      </c>
      <c r="P14" s="177">
        <f t="shared" si="2"/>
        <v>0.09</v>
      </c>
      <c r="Q14" s="177">
        <f t="shared" si="2"/>
        <v>0.09</v>
      </c>
    </row>
    <row r="15" spans="3:18">
      <c r="D15" s="2" t="s">
        <v>303</v>
      </c>
      <c r="G15" s="177">
        <f>IFERROR(G8/'P&amp;L(OUTPUT)'!G$7,"-")</f>
        <v>-8.5381093908843096E-3</v>
      </c>
      <c r="H15" s="177">
        <f>IFERROR(H8/'P&amp;L(OUTPUT)'!H$7,"-")</f>
        <v>1.4844409682219239E-3</v>
      </c>
      <c r="I15" s="177">
        <f>IFERROR(I8/'P&amp;L(OUTPUT)'!I$7,"-")</f>
        <v>-7.4890841762007415E-3</v>
      </c>
      <c r="J15" s="177">
        <f>IFERROR(J8/'P&amp;L(OUTPUT)'!J$7,"-")</f>
        <v>-2.1704062179205161E-2</v>
      </c>
      <c r="K15" s="177">
        <f>IFERROR(K8/'P&amp;L(OUTPUT)'!K$7,"-")</f>
        <v>-7.8521914502033307E-4</v>
      </c>
      <c r="L15" s="255">
        <f>IFERROR(L8/'P&amp;L(OUTPUT)'!L$7,"-")</f>
        <v>-7.8743162337194892E-3</v>
      </c>
      <c r="M15" s="177">
        <f t="shared" ref="M15:Q15" si="3">CHOOSE($E$20,M28,M37,M46)</f>
        <v>-7.7000000000000002E-3</v>
      </c>
      <c r="N15" s="177">
        <f t="shared" si="3"/>
        <v>-7.7000000000000002E-3</v>
      </c>
      <c r="O15" s="177">
        <f t="shared" si="3"/>
        <v>-7.7000000000000002E-3</v>
      </c>
      <c r="P15" s="177">
        <f t="shared" si="3"/>
        <v>-7.7000000000000002E-3</v>
      </c>
      <c r="Q15" s="177">
        <f t="shared" si="3"/>
        <v>-7.7000000000000002E-3</v>
      </c>
    </row>
    <row r="16" spans="3:18">
      <c r="G16" s="128"/>
      <c r="H16" s="128"/>
      <c r="I16" s="128"/>
      <c r="J16" s="128"/>
      <c r="K16" s="128"/>
      <c r="L16" s="256"/>
      <c r="M16" s="128"/>
      <c r="N16" s="128"/>
      <c r="O16" s="128"/>
      <c r="P16" s="128"/>
      <c r="Q16" s="128"/>
    </row>
    <row r="17" spans="3:17" ht="15.6">
      <c r="D17" s="253" t="s">
        <v>673</v>
      </c>
      <c r="E17" s="252"/>
      <c r="F17" s="252"/>
      <c r="G17" s="257">
        <f>G13+G14+G15</f>
        <v>0.49468974403802202</v>
      </c>
      <c r="H17" s="257">
        <f t="shared" ref="H17" si="4">H13+H14+H15</f>
        <v>0.5039313023268378</v>
      </c>
      <c r="I17" s="257">
        <f t="shared" ref="I17" si="5">I13+I14+I15</f>
        <v>0.49988139980471269</v>
      </c>
      <c r="J17" s="257">
        <f t="shared" ref="J17" si="6">J13+J14+J15</f>
        <v>0.50006389709425347</v>
      </c>
      <c r="K17" s="257">
        <f t="shared" ref="K17:Q17" si="7">K13+K14+K15</f>
        <v>0.51794065029002589</v>
      </c>
      <c r="L17" s="258">
        <f t="shared" ref="L17" si="8">L13+L14+L15</f>
        <v>0.54368862148728225</v>
      </c>
      <c r="M17" s="257">
        <f t="shared" si="7"/>
        <v>0.52729999999999999</v>
      </c>
      <c r="N17" s="257">
        <f t="shared" si="7"/>
        <v>0.52029999999999998</v>
      </c>
      <c r="O17" s="257">
        <f t="shared" si="7"/>
        <v>0.51729999999999998</v>
      </c>
      <c r="P17" s="257">
        <f t="shared" si="7"/>
        <v>0.51629999999999998</v>
      </c>
      <c r="Q17" s="257">
        <f t="shared" si="7"/>
        <v>0.51429999999999998</v>
      </c>
    </row>
    <row r="18" spans="3:17">
      <c r="G18" s="128"/>
      <c r="H18" s="128"/>
      <c r="I18" s="128"/>
      <c r="J18" s="128"/>
      <c r="K18" s="128"/>
      <c r="L18" s="245"/>
      <c r="M18" s="128"/>
      <c r="N18" s="128"/>
      <c r="O18" s="128"/>
      <c r="P18" s="128"/>
      <c r="Q18" s="128"/>
    </row>
    <row r="19" spans="3:17" ht="15.6" thickBot="1">
      <c r="G19" s="128"/>
      <c r="H19" s="128"/>
      <c r="I19" s="128"/>
      <c r="J19" s="128"/>
      <c r="K19" s="128"/>
      <c r="L19" s="166"/>
      <c r="M19" s="128"/>
      <c r="N19" s="128"/>
      <c r="O19" s="128"/>
      <c r="P19" s="128"/>
      <c r="Q19" s="128"/>
    </row>
    <row r="20" spans="3:17" ht="16.2" thickBot="1">
      <c r="C20" s="3" t="s">
        <v>645</v>
      </c>
      <c r="E20" s="236">
        <f>Forecasting!L15</f>
        <v>3</v>
      </c>
      <c r="G20" s="128"/>
      <c r="H20" s="128"/>
      <c r="I20" s="128"/>
      <c r="J20" s="128"/>
      <c r="K20" s="128"/>
      <c r="L20" s="166"/>
      <c r="M20" s="128"/>
      <c r="N20" s="128"/>
      <c r="O20" s="128"/>
      <c r="P20" s="128"/>
      <c r="Q20" s="128"/>
    </row>
    <row r="21" spans="3:17" ht="15.6">
      <c r="D21" s="358" t="s">
        <v>686</v>
      </c>
      <c r="G21" s="128"/>
      <c r="H21" s="128"/>
      <c r="I21" s="128"/>
      <c r="J21" s="128"/>
      <c r="K21" s="128"/>
      <c r="L21" s="166"/>
      <c r="M21" s="128"/>
      <c r="N21" s="128"/>
      <c r="O21" s="128"/>
      <c r="P21" s="128"/>
      <c r="Q21" s="128"/>
    </row>
    <row r="22" spans="3:17">
      <c r="G22" s="128"/>
      <c r="H22" s="128"/>
      <c r="I22" s="128"/>
      <c r="J22" s="128"/>
      <c r="K22" s="177"/>
      <c r="L22" s="166"/>
      <c r="M22" s="128"/>
      <c r="N22" s="128"/>
      <c r="O22" s="128"/>
      <c r="P22" s="128"/>
      <c r="Q22" s="128"/>
    </row>
    <row r="23" spans="3:17" ht="15.6">
      <c r="C23" s="3"/>
      <c r="G23" s="128"/>
      <c r="H23" s="128"/>
      <c r="I23" s="128"/>
      <c r="J23" s="177"/>
      <c r="K23" s="177"/>
      <c r="L23" s="166"/>
      <c r="M23" s="128"/>
      <c r="N23" s="128"/>
      <c r="O23" s="128"/>
      <c r="P23" s="128"/>
      <c r="Q23" s="128"/>
    </row>
    <row r="24" spans="3:17" ht="15.6">
      <c r="C24" s="220" t="s">
        <v>690</v>
      </c>
      <c r="D24" s="139"/>
      <c r="E24" s="139"/>
      <c r="F24" s="139"/>
      <c r="G24" s="282"/>
      <c r="H24" s="282"/>
      <c r="I24" s="282"/>
      <c r="J24" s="282"/>
      <c r="K24" s="282"/>
      <c r="L24" s="283"/>
      <c r="M24" s="282"/>
      <c r="N24" s="282"/>
      <c r="O24" s="282"/>
      <c r="P24" s="282"/>
      <c r="Q24" s="282"/>
    </row>
    <row r="25" spans="3:17">
      <c r="C25" s="139"/>
      <c r="D25" s="139"/>
      <c r="E25" s="139"/>
      <c r="F25" s="139"/>
      <c r="G25" s="282"/>
      <c r="H25" s="282"/>
      <c r="I25" s="282"/>
      <c r="J25" s="282"/>
      <c r="K25" s="282"/>
      <c r="L25" s="283"/>
      <c r="M25" s="282"/>
      <c r="N25" s="282"/>
      <c r="O25" s="282"/>
      <c r="P25" s="282"/>
      <c r="Q25" s="282"/>
    </row>
    <row r="26" spans="3:17">
      <c r="C26" s="139"/>
      <c r="D26" s="139" t="s">
        <v>670</v>
      </c>
      <c r="E26" s="139"/>
      <c r="F26" s="139"/>
      <c r="G26" s="286">
        <f>G13</f>
        <v>0.4170049923269683</v>
      </c>
      <c r="H26" s="286">
        <f t="shared" ref="H26:L26" si="9">H13</f>
        <v>0.40814493029351767</v>
      </c>
      <c r="I26" s="286">
        <f t="shared" si="9"/>
        <v>0.4296908104423442</v>
      </c>
      <c r="J26" s="286">
        <f t="shared" si="9"/>
        <v>0.41884859531141977</v>
      </c>
      <c r="K26" s="286">
        <f t="shared" si="9"/>
        <v>0.4377132949081064</v>
      </c>
      <c r="L26" s="288">
        <f t="shared" si="9"/>
        <v>0.4602793261687666</v>
      </c>
      <c r="M26" s="286">
        <f>D64</f>
        <v>0.43</v>
      </c>
      <c r="N26" s="286">
        <f t="shared" ref="N26:Q26" si="10">E64</f>
        <v>0.42399999999999999</v>
      </c>
      <c r="O26" s="286">
        <f t="shared" si="10"/>
        <v>0.42</v>
      </c>
      <c r="P26" s="286">
        <f t="shared" si="10"/>
        <v>0.41799999999999998</v>
      </c>
      <c r="Q26" s="286">
        <f t="shared" si="10"/>
        <v>0.41699999999999998</v>
      </c>
    </row>
    <row r="27" spans="3:17">
      <c r="C27" s="139"/>
      <c r="D27" s="139" t="s">
        <v>671</v>
      </c>
      <c r="E27" s="139"/>
      <c r="F27" s="139"/>
      <c r="G27" s="286">
        <f t="shared" ref="G27:L28" si="11">G14</f>
        <v>8.6222861101937998E-2</v>
      </c>
      <c r="H27" s="286">
        <f t="shared" si="11"/>
        <v>9.4301931065098141E-2</v>
      </c>
      <c r="I27" s="286">
        <f t="shared" si="11"/>
        <v>7.7679673538569249E-2</v>
      </c>
      <c r="J27" s="286">
        <f t="shared" si="11"/>
        <v>0.10291936396203884</v>
      </c>
      <c r="K27" s="286">
        <f t="shared" si="11"/>
        <v>8.1012574526939898E-2</v>
      </c>
      <c r="L27" s="288">
        <f t="shared" si="11"/>
        <v>9.1283611552235105E-2</v>
      </c>
      <c r="M27" s="286">
        <f t="shared" ref="M27:M28" si="12">D65</f>
        <v>8.5000000000000006E-2</v>
      </c>
      <c r="N27" s="286">
        <f t="shared" ref="N27:N28" si="13">E65</f>
        <v>0.09</v>
      </c>
      <c r="O27" s="286">
        <f t="shared" ref="O27:O28" si="14">F65</f>
        <v>0.09</v>
      </c>
      <c r="P27" s="286">
        <f t="shared" ref="P27:P28" si="15">G65</f>
        <v>0.09</v>
      </c>
      <c r="Q27" s="286">
        <f t="shared" ref="Q27:Q28" si="16">H65</f>
        <v>0.09</v>
      </c>
    </row>
    <row r="28" spans="3:17">
      <c r="C28" s="139"/>
      <c r="D28" s="139" t="s">
        <v>303</v>
      </c>
      <c r="E28" s="139"/>
      <c r="F28" s="139"/>
      <c r="G28" s="286">
        <f t="shared" si="11"/>
        <v>-8.5381093908843096E-3</v>
      </c>
      <c r="H28" s="286">
        <f t="shared" si="11"/>
        <v>1.4844409682219239E-3</v>
      </c>
      <c r="I28" s="286">
        <f t="shared" si="11"/>
        <v>-7.4890841762007415E-3</v>
      </c>
      <c r="J28" s="286">
        <f t="shared" si="11"/>
        <v>-2.1704062179205161E-2</v>
      </c>
      <c r="K28" s="286">
        <f t="shared" si="11"/>
        <v>-7.8521914502033307E-4</v>
      </c>
      <c r="L28" s="288">
        <f t="shared" si="11"/>
        <v>-7.8743162337194892E-3</v>
      </c>
      <c r="M28" s="286">
        <f t="shared" si="12"/>
        <v>-7.7000000000000002E-3</v>
      </c>
      <c r="N28" s="286">
        <f t="shared" si="13"/>
        <v>-7.7000000000000002E-3</v>
      </c>
      <c r="O28" s="286">
        <f t="shared" si="14"/>
        <v>-7.7000000000000002E-3</v>
      </c>
      <c r="P28" s="286">
        <f t="shared" si="15"/>
        <v>-7.7000000000000002E-3</v>
      </c>
      <c r="Q28" s="286">
        <f t="shared" si="16"/>
        <v>-7.7000000000000002E-3</v>
      </c>
    </row>
    <row r="29" spans="3:17">
      <c r="C29" s="139"/>
      <c r="D29" s="139"/>
      <c r="E29" s="139"/>
      <c r="F29" s="139"/>
      <c r="G29" s="286"/>
      <c r="H29" s="286"/>
      <c r="I29" s="286"/>
      <c r="J29" s="286"/>
      <c r="K29" s="286"/>
      <c r="L29" s="287"/>
      <c r="M29" s="286"/>
      <c r="N29" s="286"/>
      <c r="O29" s="286"/>
      <c r="P29" s="286"/>
      <c r="Q29" s="286"/>
    </row>
    <row r="30" spans="3:17" ht="15.6">
      <c r="C30" s="139"/>
      <c r="D30" s="285" t="s">
        <v>691</v>
      </c>
      <c r="E30" s="284"/>
      <c r="F30" s="284"/>
      <c r="G30" s="292">
        <f>SUM(G26:G28)</f>
        <v>0.49468974403802202</v>
      </c>
      <c r="H30" s="292">
        <f t="shared" ref="H30:Q30" si="17">SUM(H26:H28)</f>
        <v>0.5039313023268378</v>
      </c>
      <c r="I30" s="292">
        <f t="shared" si="17"/>
        <v>0.49988139980471269</v>
      </c>
      <c r="J30" s="292">
        <f t="shared" si="17"/>
        <v>0.50006389709425347</v>
      </c>
      <c r="K30" s="292">
        <f t="shared" si="17"/>
        <v>0.51794065029002589</v>
      </c>
      <c r="L30" s="293">
        <f t="shared" si="17"/>
        <v>0.54368862148728225</v>
      </c>
      <c r="M30" s="292">
        <f t="shared" si="17"/>
        <v>0.50729999999999997</v>
      </c>
      <c r="N30" s="292">
        <f t="shared" si="17"/>
        <v>0.50629999999999997</v>
      </c>
      <c r="O30" s="292">
        <f t="shared" si="17"/>
        <v>0.50229999999999997</v>
      </c>
      <c r="P30" s="292">
        <f t="shared" si="17"/>
        <v>0.50029999999999997</v>
      </c>
      <c r="Q30" s="292">
        <f t="shared" si="17"/>
        <v>0.49930000000000002</v>
      </c>
    </row>
    <row r="31" spans="3:17">
      <c r="C31" s="216"/>
      <c r="D31" s="216"/>
      <c r="E31" s="216"/>
      <c r="F31" s="216"/>
      <c r="G31" s="281"/>
      <c r="H31" s="281"/>
      <c r="I31" s="281"/>
      <c r="J31" s="281"/>
      <c r="K31" s="281"/>
      <c r="L31" s="290"/>
      <c r="M31" s="281"/>
      <c r="N31" s="281"/>
      <c r="O31" s="281"/>
      <c r="P31" s="281"/>
      <c r="Q31" s="281"/>
    </row>
    <row r="32" spans="3:17">
      <c r="G32" s="128"/>
      <c r="H32" s="128"/>
      <c r="I32" s="128"/>
      <c r="J32" s="128"/>
      <c r="K32" s="128"/>
      <c r="L32" s="294"/>
      <c r="M32" s="128"/>
      <c r="N32" s="128"/>
      <c r="O32" s="128"/>
      <c r="P32" s="128"/>
      <c r="Q32" s="128"/>
    </row>
    <row r="33" spans="3:17" ht="15.6">
      <c r="C33" s="220" t="s">
        <v>692</v>
      </c>
      <c r="D33" s="139"/>
      <c r="E33" s="139"/>
      <c r="F33" s="139"/>
      <c r="G33" s="282"/>
      <c r="H33" s="282"/>
      <c r="I33" s="282"/>
      <c r="J33" s="282"/>
      <c r="K33" s="282"/>
      <c r="L33" s="289"/>
      <c r="M33" s="282"/>
      <c r="N33" s="282"/>
      <c r="O33" s="282"/>
      <c r="P33" s="282"/>
      <c r="Q33" s="282"/>
    </row>
    <row r="34" spans="3:17">
      <c r="C34" s="139"/>
      <c r="D34" s="139"/>
      <c r="E34" s="139"/>
      <c r="F34" s="139"/>
      <c r="G34" s="282"/>
      <c r="H34" s="282"/>
      <c r="I34" s="282"/>
      <c r="J34" s="282"/>
      <c r="K34" s="282"/>
      <c r="L34" s="289"/>
      <c r="M34" s="282"/>
      <c r="N34" s="282"/>
      <c r="O34" s="282"/>
      <c r="P34" s="282"/>
      <c r="Q34" s="282"/>
    </row>
    <row r="35" spans="3:17">
      <c r="C35" s="139"/>
      <c r="D35" s="139" t="s">
        <v>670</v>
      </c>
      <c r="E35" s="139"/>
      <c r="F35" s="139"/>
      <c r="G35" s="286">
        <f>G13</f>
        <v>0.4170049923269683</v>
      </c>
      <c r="H35" s="286">
        <f t="shared" ref="H35:L35" si="18">H13</f>
        <v>0.40814493029351767</v>
      </c>
      <c r="I35" s="286">
        <f t="shared" si="18"/>
        <v>0.4296908104423442</v>
      </c>
      <c r="J35" s="286">
        <f t="shared" si="18"/>
        <v>0.41884859531141977</v>
      </c>
      <c r="K35" s="286">
        <f t="shared" si="18"/>
        <v>0.4377132949081064</v>
      </c>
      <c r="L35" s="288">
        <f t="shared" si="18"/>
        <v>0.4602793261687666</v>
      </c>
      <c r="M35" s="286">
        <f>D55</f>
        <v>0.44</v>
      </c>
      <c r="N35" s="286">
        <f t="shared" ref="N35:Q35" si="19">E55</f>
        <v>0.42799999999999999</v>
      </c>
      <c r="O35" s="286">
        <f t="shared" si="19"/>
        <v>0.42499999999999999</v>
      </c>
      <c r="P35" s="286">
        <f t="shared" si="19"/>
        <v>0.42399999999999999</v>
      </c>
      <c r="Q35" s="286">
        <f t="shared" si="19"/>
        <v>0.42299999999999999</v>
      </c>
    </row>
    <row r="36" spans="3:17">
      <c r="C36" s="139"/>
      <c r="D36" s="139" t="s">
        <v>671</v>
      </c>
      <c r="E36" s="139"/>
      <c r="F36" s="139"/>
      <c r="G36" s="286">
        <f t="shared" ref="G36:L36" si="20">G14</f>
        <v>8.6222861101937998E-2</v>
      </c>
      <c r="H36" s="286">
        <f t="shared" si="20"/>
        <v>9.4301931065098141E-2</v>
      </c>
      <c r="I36" s="286">
        <f t="shared" si="20"/>
        <v>7.7679673538569249E-2</v>
      </c>
      <c r="J36" s="286">
        <f t="shared" si="20"/>
        <v>0.10291936396203884</v>
      </c>
      <c r="K36" s="286">
        <f t="shared" si="20"/>
        <v>8.1012574526939898E-2</v>
      </c>
      <c r="L36" s="288">
        <f t="shared" si="20"/>
        <v>9.1283611552235105E-2</v>
      </c>
      <c r="M36" s="286">
        <f t="shared" ref="M36:M37" si="21">D56</f>
        <v>8.5000000000000006E-2</v>
      </c>
      <c r="N36" s="286">
        <f t="shared" ref="N36:N37" si="22">E56</f>
        <v>0.09</v>
      </c>
      <c r="O36" s="286">
        <f t="shared" ref="O36:O37" si="23">F56</f>
        <v>0.09</v>
      </c>
      <c r="P36" s="286">
        <f t="shared" ref="P36:P37" si="24">G56</f>
        <v>0.09</v>
      </c>
      <c r="Q36" s="286">
        <f t="shared" ref="Q36:Q37" si="25">H56</f>
        <v>0.09</v>
      </c>
    </row>
    <row r="37" spans="3:17">
      <c r="C37" s="139"/>
      <c r="D37" s="139" t="s">
        <v>303</v>
      </c>
      <c r="E37" s="139"/>
      <c r="F37" s="139"/>
      <c r="G37" s="286">
        <f t="shared" ref="G37:L37" si="26">G15</f>
        <v>-8.5381093908843096E-3</v>
      </c>
      <c r="H37" s="286">
        <f t="shared" si="26"/>
        <v>1.4844409682219239E-3</v>
      </c>
      <c r="I37" s="286">
        <f t="shared" si="26"/>
        <v>-7.4890841762007415E-3</v>
      </c>
      <c r="J37" s="286">
        <f t="shared" si="26"/>
        <v>-2.1704062179205161E-2</v>
      </c>
      <c r="K37" s="286">
        <f t="shared" si="26"/>
        <v>-7.8521914502033307E-4</v>
      </c>
      <c r="L37" s="288">
        <f t="shared" si="26"/>
        <v>-7.8743162337194892E-3</v>
      </c>
      <c r="M37" s="286">
        <f t="shared" si="21"/>
        <v>-7.7000000000000002E-3</v>
      </c>
      <c r="N37" s="286">
        <f t="shared" si="22"/>
        <v>-7.7000000000000002E-3</v>
      </c>
      <c r="O37" s="286">
        <f t="shared" si="23"/>
        <v>-7.7000000000000002E-3</v>
      </c>
      <c r="P37" s="286">
        <f t="shared" si="24"/>
        <v>-7.7000000000000002E-3</v>
      </c>
      <c r="Q37" s="286">
        <f t="shared" si="25"/>
        <v>-7.7000000000000002E-3</v>
      </c>
    </row>
    <row r="38" spans="3:17">
      <c r="C38" s="139"/>
      <c r="D38" s="139"/>
      <c r="E38" s="139"/>
      <c r="F38" s="139"/>
      <c r="G38" s="282"/>
      <c r="H38" s="282"/>
      <c r="I38" s="282"/>
      <c r="J38" s="282"/>
      <c r="K38" s="282"/>
      <c r="L38" s="289"/>
      <c r="M38" s="282"/>
      <c r="N38" s="282"/>
      <c r="O38" s="282"/>
      <c r="P38" s="282"/>
      <c r="Q38" s="282"/>
    </row>
    <row r="39" spans="3:17" ht="15.6">
      <c r="C39" s="139"/>
      <c r="D39" s="285" t="s">
        <v>691</v>
      </c>
      <c r="E39" s="284"/>
      <c r="F39" s="284"/>
      <c r="G39" s="292">
        <f>SUM(G35:G37)</f>
        <v>0.49468974403802202</v>
      </c>
      <c r="H39" s="292">
        <f t="shared" ref="H39:Q39" si="27">SUM(H35:H37)</f>
        <v>0.5039313023268378</v>
      </c>
      <c r="I39" s="292">
        <f t="shared" si="27"/>
        <v>0.49988139980471269</v>
      </c>
      <c r="J39" s="292">
        <f t="shared" si="27"/>
        <v>0.50006389709425347</v>
      </c>
      <c r="K39" s="292">
        <f t="shared" si="27"/>
        <v>0.51794065029002589</v>
      </c>
      <c r="L39" s="293">
        <f t="shared" si="27"/>
        <v>0.54368862148728225</v>
      </c>
      <c r="M39" s="292">
        <f t="shared" si="27"/>
        <v>0.51729999999999998</v>
      </c>
      <c r="N39" s="292">
        <f t="shared" si="27"/>
        <v>0.51029999999999998</v>
      </c>
      <c r="O39" s="292">
        <f t="shared" si="27"/>
        <v>0.50729999999999997</v>
      </c>
      <c r="P39" s="292">
        <f t="shared" si="27"/>
        <v>0.50629999999999997</v>
      </c>
      <c r="Q39" s="292">
        <f t="shared" si="27"/>
        <v>0.50529999999999997</v>
      </c>
    </row>
    <row r="40" spans="3:17">
      <c r="C40" s="216"/>
      <c r="D40" s="216"/>
      <c r="E40" s="216"/>
      <c r="F40" s="216"/>
      <c r="G40" s="281"/>
      <c r="H40" s="281"/>
      <c r="I40" s="281"/>
      <c r="J40" s="281"/>
      <c r="K40" s="281"/>
      <c r="L40" s="290"/>
      <c r="M40" s="281"/>
      <c r="N40" s="281"/>
      <c r="O40" s="281"/>
      <c r="P40" s="281"/>
      <c r="Q40" s="281"/>
    </row>
    <row r="41" spans="3:17">
      <c r="L41" s="291"/>
    </row>
    <row r="42" spans="3:17" ht="15.6">
      <c r="C42" s="220" t="s">
        <v>693</v>
      </c>
      <c r="D42" s="139"/>
      <c r="E42" s="139"/>
      <c r="F42" s="139"/>
      <c r="G42" s="282"/>
      <c r="H42" s="282"/>
      <c r="I42" s="282"/>
      <c r="J42" s="282"/>
      <c r="K42" s="282"/>
      <c r="L42" s="289"/>
      <c r="M42" s="282"/>
      <c r="N42" s="282"/>
      <c r="O42" s="282"/>
      <c r="P42" s="282"/>
      <c r="Q42" s="282"/>
    </row>
    <row r="43" spans="3:17">
      <c r="C43" s="139"/>
      <c r="D43" s="139"/>
      <c r="E43" s="139"/>
      <c r="F43" s="139"/>
      <c r="G43" s="282"/>
      <c r="H43" s="282"/>
      <c r="I43" s="282"/>
      <c r="J43" s="282"/>
      <c r="K43" s="282"/>
      <c r="L43" s="289"/>
      <c r="M43" s="282"/>
      <c r="N43" s="282"/>
      <c r="O43" s="282"/>
      <c r="P43" s="282"/>
      <c r="Q43" s="282"/>
    </row>
    <row r="44" spans="3:17">
      <c r="C44" s="139"/>
      <c r="D44" s="139" t="s">
        <v>670</v>
      </c>
      <c r="E44" s="139"/>
      <c r="F44" s="139"/>
      <c r="G44" s="286">
        <f>G13</f>
        <v>0.4170049923269683</v>
      </c>
      <c r="H44" s="286">
        <f t="shared" ref="H44:L44" si="28">H13</f>
        <v>0.40814493029351767</v>
      </c>
      <c r="I44" s="286">
        <f t="shared" si="28"/>
        <v>0.4296908104423442</v>
      </c>
      <c r="J44" s="286">
        <f t="shared" si="28"/>
        <v>0.41884859531141977</v>
      </c>
      <c r="K44" s="286">
        <f t="shared" si="28"/>
        <v>0.4377132949081064</v>
      </c>
      <c r="L44" s="288">
        <f t="shared" si="28"/>
        <v>0.4602793261687666</v>
      </c>
      <c r="M44" s="286">
        <f>D73</f>
        <v>0.45</v>
      </c>
      <c r="N44" s="286">
        <f t="shared" ref="N44:Q44" si="29">E73</f>
        <v>0.438</v>
      </c>
      <c r="O44" s="286">
        <f t="shared" si="29"/>
        <v>0.435</v>
      </c>
      <c r="P44" s="286">
        <f t="shared" si="29"/>
        <v>0.434</v>
      </c>
      <c r="Q44" s="286">
        <f t="shared" si="29"/>
        <v>0.432</v>
      </c>
    </row>
    <row r="45" spans="3:17">
      <c r="C45" s="139"/>
      <c r="D45" s="139" t="s">
        <v>671</v>
      </c>
      <c r="E45" s="139"/>
      <c r="F45" s="139"/>
      <c r="G45" s="286">
        <f t="shared" ref="G45:L46" si="30">G14</f>
        <v>8.6222861101937998E-2</v>
      </c>
      <c r="H45" s="286">
        <f t="shared" si="30"/>
        <v>9.4301931065098141E-2</v>
      </c>
      <c r="I45" s="286">
        <f t="shared" si="30"/>
        <v>7.7679673538569249E-2</v>
      </c>
      <c r="J45" s="286">
        <f t="shared" si="30"/>
        <v>0.10291936396203884</v>
      </c>
      <c r="K45" s="286">
        <f t="shared" si="30"/>
        <v>8.1012574526939898E-2</v>
      </c>
      <c r="L45" s="288">
        <f t="shared" si="30"/>
        <v>9.1283611552235105E-2</v>
      </c>
      <c r="M45" s="286">
        <f t="shared" ref="M45:M46" si="31">D74</f>
        <v>8.5000000000000006E-2</v>
      </c>
      <c r="N45" s="286">
        <f t="shared" ref="N45:N46" si="32">E74</f>
        <v>0.09</v>
      </c>
      <c r="O45" s="286">
        <f t="shared" ref="O45:O46" si="33">F74</f>
        <v>0.09</v>
      </c>
      <c r="P45" s="286">
        <f t="shared" ref="P45:P46" si="34">G74</f>
        <v>0.09</v>
      </c>
      <c r="Q45" s="286">
        <f t="shared" ref="Q45:Q46" si="35">H74</f>
        <v>0.09</v>
      </c>
    </row>
    <row r="46" spans="3:17">
      <c r="C46" s="139"/>
      <c r="D46" s="139" t="s">
        <v>303</v>
      </c>
      <c r="E46" s="139"/>
      <c r="F46" s="139"/>
      <c r="G46" s="286">
        <f t="shared" si="30"/>
        <v>-8.5381093908843096E-3</v>
      </c>
      <c r="H46" s="286">
        <f t="shared" si="30"/>
        <v>1.4844409682219239E-3</v>
      </c>
      <c r="I46" s="286">
        <f t="shared" si="30"/>
        <v>-7.4890841762007415E-3</v>
      </c>
      <c r="J46" s="286">
        <f t="shared" si="30"/>
        <v>-2.1704062179205161E-2</v>
      </c>
      <c r="K46" s="286">
        <f t="shared" si="30"/>
        <v>-7.8521914502033307E-4</v>
      </c>
      <c r="L46" s="288">
        <f t="shared" si="30"/>
        <v>-7.8743162337194892E-3</v>
      </c>
      <c r="M46" s="286">
        <f t="shared" si="31"/>
        <v>-7.7000000000000002E-3</v>
      </c>
      <c r="N46" s="286">
        <f t="shared" si="32"/>
        <v>-7.7000000000000002E-3</v>
      </c>
      <c r="O46" s="286">
        <f t="shared" si="33"/>
        <v>-7.7000000000000002E-3</v>
      </c>
      <c r="P46" s="286">
        <f t="shared" si="34"/>
        <v>-7.7000000000000002E-3</v>
      </c>
      <c r="Q46" s="286">
        <f t="shared" si="35"/>
        <v>-7.7000000000000002E-3</v>
      </c>
    </row>
    <row r="47" spans="3:17">
      <c r="C47" s="139"/>
      <c r="D47" s="139"/>
      <c r="E47" s="139"/>
      <c r="F47" s="139"/>
      <c r="G47" s="282"/>
      <c r="H47" s="282"/>
      <c r="I47" s="282"/>
      <c r="J47" s="282"/>
      <c r="K47" s="282"/>
      <c r="L47" s="289"/>
      <c r="M47" s="282"/>
      <c r="N47" s="282"/>
      <c r="O47" s="282"/>
      <c r="P47" s="282"/>
      <c r="Q47" s="282"/>
    </row>
    <row r="48" spans="3:17" ht="15.6">
      <c r="C48" s="139"/>
      <c r="D48" s="285" t="s">
        <v>691</v>
      </c>
      <c r="E48" s="284"/>
      <c r="F48" s="284"/>
      <c r="G48" s="292">
        <f>SUM(G44:G46)</f>
        <v>0.49468974403802202</v>
      </c>
      <c r="H48" s="292">
        <f t="shared" ref="H48:Q48" si="36">SUM(H44:H46)</f>
        <v>0.5039313023268378</v>
      </c>
      <c r="I48" s="292">
        <f t="shared" si="36"/>
        <v>0.49988139980471269</v>
      </c>
      <c r="J48" s="292">
        <f t="shared" si="36"/>
        <v>0.50006389709425347</v>
      </c>
      <c r="K48" s="292">
        <f t="shared" si="36"/>
        <v>0.51794065029002589</v>
      </c>
      <c r="L48" s="293">
        <f t="shared" si="36"/>
        <v>0.54368862148728225</v>
      </c>
      <c r="M48" s="292">
        <f t="shared" si="36"/>
        <v>0.52729999999999999</v>
      </c>
      <c r="N48" s="292">
        <f t="shared" si="36"/>
        <v>0.52029999999999998</v>
      </c>
      <c r="O48" s="292">
        <f t="shared" si="36"/>
        <v>0.51729999999999998</v>
      </c>
      <c r="P48" s="292">
        <f t="shared" si="36"/>
        <v>0.51629999999999998</v>
      </c>
      <c r="Q48" s="292">
        <f t="shared" si="36"/>
        <v>0.51429999999999998</v>
      </c>
    </row>
    <row r="49" spans="2:17">
      <c r="C49" s="216"/>
      <c r="D49" s="216"/>
      <c r="E49" s="216"/>
      <c r="F49" s="216"/>
      <c r="G49" s="281"/>
      <c r="H49" s="281"/>
      <c r="I49" s="281"/>
      <c r="J49" s="281"/>
      <c r="K49" s="281"/>
      <c r="L49" s="290"/>
      <c r="M49" s="281"/>
      <c r="N49" s="281"/>
      <c r="O49" s="281"/>
      <c r="P49" s="281"/>
      <c r="Q49" s="281"/>
    </row>
    <row r="52" spans="2:17" ht="15.6">
      <c r="B52" s="3" t="s">
        <v>343</v>
      </c>
      <c r="C52" s="3" t="s">
        <v>382</v>
      </c>
      <c r="D52" s="3" t="s">
        <v>646</v>
      </c>
    </row>
    <row r="54" spans="2:17" ht="15.6">
      <c r="D54" s="221" t="s">
        <v>694</v>
      </c>
      <c r="E54" s="221" t="s">
        <v>695</v>
      </c>
      <c r="F54" s="221" t="s">
        <v>654</v>
      </c>
      <c r="G54" s="221" t="s">
        <v>655</v>
      </c>
      <c r="H54" s="221" t="s">
        <v>656</v>
      </c>
      <c r="I54" s="511" t="s">
        <v>437</v>
      </c>
      <c r="J54" s="511"/>
      <c r="K54" s="511"/>
      <c r="L54" s="511"/>
    </row>
    <row r="55" spans="2:17">
      <c r="B55" s="2" t="s">
        <v>696</v>
      </c>
      <c r="D55" s="201">
        <v>0.44</v>
      </c>
      <c r="E55" s="202">
        <v>0.42799999999999999</v>
      </c>
      <c r="F55" s="202">
        <v>0.42499999999999999</v>
      </c>
      <c r="G55" s="202">
        <v>0.42399999999999999</v>
      </c>
      <c r="H55" s="202">
        <v>0.42299999999999999</v>
      </c>
      <c r="I55" s="2" t="s">
        <v>1016</v>
      </c>
    </row>
    <row r="56" spans="2:17">
      <c r="B56" s="2" t="s">
        <v>668</v>
      </c>
      <c r="D56" s="202">
        <v>8.5000000000000006E-2</v>
      </c>
      <c r="E56" s="201">
        <v>0.09</v>
      </c>
      <c r="F56" s="201">
        <v>0.09</v>
      </c>
      <c r="G56" s="201">
        <v>0.09</v>
      </c>
      <c r="H56" s="201">
        <v>0.09</v>
      </c>
      <c r="I56" s="2" t="s">
        <v>701</v>
      </c>
    </row>
    <row r="57" spans="2:17">
      <c r="B57" s="2" t="s">
        <v>303</v>
      </c>
      <c r="C57" s="200"/>
      <c r="D57" s="202">
        <v>-7.7000000000000002E-3</v>
      </c>
      <c r="E57" s="202">
        <v>-7.7000000000000002E-3</v>
      </c>
      <c r="F57" s="202">
        <v>-7.7000000000000002E-3</v>
      </c>
      <c r="G57" s="202">
        <v>-7.7000000000000002E-3</v>
      </c>
      <c r="H57" s="202">
        <v>-7.7000000000000002E-3</v>
      </c>
      <c r="I57" s="2" t="s">
        <v>697</v>
      </c>
    </row>
    <row r="58" spans="2:17">
      <c r="C58" s="200"/>
      <c r="D58" s="200"/>
      <c r="E58" s="200"/>
      <c r="F58" s="200"/>
      <c r="G58" s="200"/>
    </row>
    <row r="59" spans="2:17" ht="15.6">
      <c r="B59" s="296" t="s">
        <v>691</v>
      </c>
      <c r="C59" s="295"/>
      <c r="D59" s="297">
        <f>SUM(D55:D57)</f>
        <v>0.51729999999999998</v>
      </c>
      <c r="E59" s="297">
        <f t="shared" ref="E59:H59" si="37">SUM(E55:E57)</f>
        <v>0.51029999999999998</v>
      </c>
      <c r="F59" s="297">
        <f t="shared" si="37"/>
        <v>0.50729999999999997</v>
      </c>
      <c r="G59" s="297">
        <f t="shared" si="37"/>
        <v>0.50629999999999997</v>
      </c>
      <c r="H59" s="297">
        <f t="shared" si="37"/>
        <v>0.50529999999999997</v>
      </c>
      <c r="J59" s="8"/>
    </row>
    <row r="60" spans="2:17">
      <c r="J60" s="8"/>
    </row>
    <row r="61" spans="2:17" ht="15.6">
      <c r="D61" s="3" t="s">
        <v>647</v>
      </c>
      <c r="J61" s="8"/>
    </row>
    <row r="62" spans="2:17">
      <c r="I62" s="8"/>
    </row>
    <row r="63" spans="2:17" ht="15.6">
      <c r="D63" s="221" t="s">
        <v>694</v>
      </c>
      <c r="E63" s="221" t="s">
        <v>695</v>
      </c>
      <c r="F63" s="221" t="s">
        <v>654</v>
      </c>
      <c r="G63" s="221" t="s">
        <v>655</v>
      </c>
      <c r="H63" s="221" t="s">
        <v>656</v>
      </c>
      <c r="I63" s="8"/>
    </row>
    <row r="64" spans="2:17">
      <c r="B64" s="2" t="s">
        <v>696</v>
      </c>
      <c r="D64" s="202">
        <f>D55-1%</f>
        <v>0.43</v>
      </c>
      <c r="E64" s="202">
        <f>E55-0.4%</f>
        <v>0.42399999999999999</v>
      </c>
      <c r="F64" s="202">
        <f>F55-0.5%</f>
        <v>0.42</v>
      </c>
      <c r="G64" s="202">
        <f>G55-0.6%</f>
        <v>0.41799999999999998</v>
      </c>
      <c r="H64" s="202">
        <f>H55-0.6%</f>
        <v>0.41699999999999998</v>
      </c>
      <c r="I64" s="2" t="s">
        <v>707</v>
      </c>
    </row>
    <row r="65" spans="2:9">
      <c r="B65" s="2" t="s">
        <v>668</v>
      </c>
      <c r="D65" s="202">
        <f t="shared" ref="D65:H65" si="38">D56</f>
        <v>8.5000000000000006E-2</v>
      </c>
      <c r="E65" s="202">
        <f t="shared" si="38"/>
        <v>0.09</v>
      </c>
      <c r="F65" s="202">
        <f t="shared" si="38"/>
        <v>0.09</v>
      </c>
      <c r="G65" s="202">
        <f t="shared" si="38"/>
        <v>0.09</v>
      </c>
      <c r="H65" s="202">
        <f t="shared" si="38"/>
        <v>0.09</v>
      </c>
      <c r="I65" s="2" t="s">
        <v>704</v>
      </c>
    </row>
    <row r="66" spans="2:9">
      <c r="B66" s="2" t="s">
        <v>303</v>
      </c>
      <c r="C66" s="200"/>
      <c r="D66" s="202">
        <f t="shared" ref="D66:H66" si="39">D57</f>
        <v>-7.7000000000000002E-3</v>
      </c>
      <c r="E66" s="202">
        <f t="shared" si="39"/>
        <v>-7.7000000000000002E-3</v>
      </c>
      <c r="F66" s="202">
        <f t="shared" si="39"/>
        <v>-7.7000000000000002E-3</v>
      </c>
      <c r="G66" s="202">
        <f t="shared" si="39"/>
        <v>-7.7000000000000002E-3</v>
      </c>
      <c r="H66" s="202">
        <f t="shared" si="39"/>
        <v>-7.7000000000000002E-3</v>
      </c>
      <c r="I66" s="2" t="s">
        <v>704</v>
      </c>
    </row>
    <row r="67" spans="2:9">
      <c r="C67" s="200"/>
      <c r="D67" s="200"/>
      <c r="E67" s="200"/>
      <c r="F67" s="200"/>
      <c r="G67" s="200"/>
    </row>
    <row r="68" spans="2:9" ht="15.6">
      <c r="B68" s="296" t="s">
        <v>691</v>
      </c>
      <c r="C68" s="295"/>
      <c r="D68" s="297">
        <f>SUM(D64:D66)</f>
        <v>0.50729999999999997</v>
      </c>
      <c r="E68" s="297">
        <f t="shared" ref="E68:H68" si="40">SUM(E64:E66)</f>
        <v>0.50629999999999997</v>
      </c>
      <c r="F68" s="297">
        <f t="shared" si="40"/>
        <v>0.50229999999999997</v>
      </c>
      <c r="G68" s="297">
        <f t="shared" si="40"/>
        <v>0.50029999999999997</v>
      </c>
      <c r="H68" s="297">
        <f t="shared" si="40"/>
        <v>0.49930000000000002</v>
      </c>
    </row>
    <row r="70" spans="2:9" ht="15.6">
      <c r="D70" s="3" t="s">
        <v>648</v>
      </c>
    </row>
    <row r="72" spans="2:9" ht="15.6">
      <c r="D72" s="221" t="s">
        <v>694</v>
      </c>
      <c r="E72" s="221" t="s">
        <v>695</v>
      </c>
      <c r="F72" s="221" t="s">
        <v>654</v>
      </c>
      <c r="G72" s="221" t="s">
        <v>655</v>
      </c>
      <c r="H72" s="221" t="s">
        <v>656</v>
      </c>
    </row>
    <row r="73" spans="2:9">
      <c r="B73" s="2" t="s">
        <v>696</v>
      </c>
      <c r="D73" s="202">
        <f>D55+1%</f>
        <v>0.45</v>
      </c>
      <c r="E73" s="202">
        <f>E55+1%</f>
        <v>0.438</v>
      </c>
      <c r="F73" s="202">
        <f>F55+1%</f>
        <v>0.435</v>
      </c>
      <c r="G73" s="202">
        <f>G55+1%</f>
        <v>0.434</v>
      </c>
      <c r="H73" s="202">
        <f>H55+0.9%</f>
        <v>0.432</v>
      </c>
      <c r="I73" s="2" t="s">
        <v>708</v>
      </c>
    </row>
    <row r="74" spans="2:9">
      <c r="B74" s="2" t="s">
        <v>668</v>
      </c>
      <c r="D74" s="202">
        <f>D56</f>
        <v>8.5000000000000006E-2</v>
      </c>
      <c r="E74" s="202">
        <f t="shared" ref="E74:H74" si="41">E56</f>
        <v>0.09</v>
      </c>
      <c r="F74" s="202">
        <f t="shared" si="41"/>
        <v>0.09</v>
      </c>
      <c r="G74" s="202">
        <f t="shared" si="41"/>
        <v>0.09</v>
      </c>
      <c r="H74" s="202">
        <f t="shared" si="41"/>
        <v>0.09</v>
      </c>
      <c r="I74" s="2" t="s">
        <v>704</v>
      </c>
    </row>
    <row r="75" spans="2:9">
      <c r="B75" s="2" t="s">
        <v>303</v>
      </c>
      <c r="C75" s="200"/>
      <c r="D75" s="202">
        <f>D57</f>
        <v>-7.7000000000000002E-3</v>
      </c>
      <c r="E75" s="202">
        <f t="shared" ref="E75:H75" si="42">E57</f>
        <v>-7.7000000000000002E-3</v>
      </c>
      <c r="F75" s="202">
        <f t="shared" si="42"/>
        <v>-7.7000000000000002E-3</v>
      </c>
      <c r="G75" s="202">
        <f t="shared" si="42"/>
        <v>-7.7000000000000002E-3</v>
      </c>
      <c r="H75" s="202">
        <f t="shared" si="42"/>
        <v>-7.7000000000000002E-3</v>
      </c>
      <c r="I75" s="2" t="s">
        <v>704</v>
      </c>
    </row>
    <row r="76" spans="2:9">
      <c r="C76" s="200"/>
      <c r="D76" s="200"/>
      <c r="E76" s="200"/>
      <c r="F76" s="200"/>
      <c r="G76" s="200"/>
    </row>
    <row r="77" spans="2:9" ht="15.6">
      <c r="B77" s="296" t="s">
        <v>691</v>
      </c>
      <c r="C77" s="295"/>
      <c r="D77" s="297">
        <f>SUM(D73:D75)</f>
        <v>0.52729999999999999</v>
      </c>
      <c r="E77" s="297">
        <f t="shared" ref="E77:H77" si="43">SUM(E73:E75)</f>
        <v>0.52029999999999998</v>
      </c>
      <c r="F77" s="297">
        <f t="shared" si="43"/>
        <v>0.51729999999999998</v>
      </c>
      <c r="G77" s="297">
        <f t="shared" si="43"/>
        <v>0.51629999999999998</v>
      </c>
      <c r="H77" s="297">
        <f t="shared" si="43"/>
        <v>0.51429999999999998</v>
      </c>
    </row>
  </sheetData>
  <mergeCells count="1">
    <mergeCell ref="I54:L54"/>
  </mergeCells>
  <phoneticPr fontId="11" type="noConversion"/>
  <hyperlinks>
    <hyperlink ref="D21" location="Forecasting!L15" display="DON'T MANAULLY CHANGE THE CASE NUMBER , USE FORECASTING SHEET" xr:uid="{C622747C-DEB8-4415-ABC8-5F25DF55E9D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963ED-0FCE-4DE3-B03B-E9A72B40F69F}">
  <sheetPr codeName="Sheet16"/>
  <dimension ref="B1:R81"/>
  <sheetViews>
    <sheetView showGridLines="0" zoomScaleNormal="100" workbookViewId="0">
      <pane ySplit="3" topLeftCell="A4" activePane="bottomLeft" state="frozen"/>
      <selection pane="bottomLeft" activeCell="F22" sqref="F22"/>
    </sheetView>
  </sheetViews>
  <sheetFormatPr defaultColWidth="11.77734375" defaultRowHeight="15"/>
  <cols>
    <col min="1" max="1" width="2.6640625" style="2" customWidth="1"/>
    <col min="2" max="17" width="15.5546875" style="2" customWidth="1"/>
    <col min="18" max="18" width="35.5546875" style="2" customWidth="1"/>
    <col min="19" max="30" width="15.5546875" style="2" customWidth="1"/>
    <col min="31" max="16384" width="11.77734375" style="2"/>
  </cols>
  <sheetData>
    <row r="1" spans="3:18">
      <c r="L1" s="241"/>
    </row>
    <row r="2" spans="3:18" ht="15.6">
      <c r="E2" s="3" t="s">
        <v>82</v>
      </c>
      <c r="G2" s="119" t="s">
        <v>350</v>
      </c>
      <c r="H2" s="119" t="s">
        <v>350</v>
      </c>
      <c r="I2" s="119" t="s">
        <v>350</v>
      </c>
      <c r="J2" s="119" t="s">
        <v>350</v>
      </c>
      <c r="K2" s="119" t="s">
        <v>350</v>
      </c>
      <c r="L2" s="242" t="s">
        <v>350</v>
      </c>
      <c r="M2" s="119" t="s">
        <v>351</v>
      </c>
      <c r="N2" s="119" t="s">
        <v>351</v>
      </c>
      <c r="O2" s="119" t="s">
        <v>351</v>
      </c>
      <c r="P2" s="119" t="s">
        <v>351</v>
      </c>
      <c r="Q2" s="119" t="s">
        <v>351</v>
      </c>
      <c r="R2" s="119"/>
    </row>
    <row r="3" spans="3:18">
      <c r="C3" s="121" t="s">
        <v>680</v>
      </c>
      <c r="D3" s="120"/>
      <c r="E3" s="120"/>
      <c r="F3" s="120"/>
      <c r="G3" s="127" t="s">
        <v>41</v>
      </c>
      <c r="H3" s="127" t="s">
        <v>42</v>
      </c>
      <c r="I3" s="127" t="s">
        <v>43</v>
      </c>
      <c r="J3" s="127" t="s">
        <v>44</v>
      </c>
      <c r="K3" s="127" t="s">
        <v>45</v>
      </c>
      <c r="L3" s="156" t="s">
        <v>46</v>
      </c>
      <c r="M3" s="127" t="s">
        <v>349</v>
      </c>
      <c r="N3" s="127" t="s">
        <v>352</v>
      </c>
      <c r="O3" s="127" t="s">
        <v>353</v>
      </c>
      <c r="P3" s="127" t="s">
        <v>354</v>
      </c>
      <c r="Q3" s="127" t="s">
        <v>355</v>
      </c>
      <c r="R3" s="237" t="s">
        <v>437</v>
      </c>
    </row>
    <row r="4" spans="3:18" ht="15.6">
      <c r="L4" s="210"/>
    </row>
    <row r="5" spans="3:18" ht="15.6">
      <c r="C5" s="3" t="s">
        <v>681</v>
      </c>
      <c r="G5" s="11"/>
      <c r="H5" s="11"/>
      <c r="I5" s="11"/>
      <c r="J5" s="11"/>
      <c r="K5" s="11"/>
      <c r="L5" s="277"/>
      <c r="M5" s="11"/>
      <c r="N5" s="11"/>
      <c r="O5" s="11"/>
      <c r="P5" s="11"/>
      <c r="Q5" s="11"/>
    </row>
    <row r="6" spans="3:18">
      <c r="D6" s="185" t="s">
        <v>682</v>
      </c>
      <c r="G6" s="128">
        <f>'P&amp;L(OUTPUT)'!G16*-1</f>
        <v>792.79</v>
      </c>
      <c r="H6" s="128">
        <f>'P&amp;L(OUTPUT)'!H16*-1</f>
        <v>937.91</v>
      </c>
      <c r="I6" s="128">
        <f>'P&amp;L(OUTPUT)'!I16*-1</f>
        <v>947.74</v>
      </c>
      <c r="J6" s="128">
        <f>'P&amp;L(OUTPUT)'!J16*-1</f>
        <v>1033.46</v>
      </c>
      <c r="K6" s="128">
        <f>'P&amp;L(OUTPUT)'!K16*-1</f>
        <v>1079.95</v>
      </c>
      <c r="L6" s="166">
        <f>'P&amp;L(OUTPUT)'!L16*-1</f>
        <v>1137</v>
      </c>
      <c r="M6" s="128">
        <f>M14*'Revenue '!M$5</f>
        <v>1263.6726650000001</v>
      </c>
      <c r="N6" s="128">
        <f>N14*'Revenue '!N$5</f>
        <v>1411.5134576188038</v>
      </c>
      <c r="O6" s="128">
        <f>O14*'Revenue '!O$5</f>
        <v>1562.0057012619855</v>
      </c>
      <c r="P6" s="128">
        <f>P14*'Revenue '!P$5</f>
        <v>1671.3461003503244</v>
      </c>
      <c r="Q6" s="128">
        <f>Q14*'Revenue '!Q$5</f>
        <v>1779.9835968730954</v>
      </c>
    </row>
    <row r="7" spans="3:18">
      <c r="D7" s="185" t="s">
        <v>683</v>
      </c>
      <c r="G7" s="128">
        <f>'P&amp;L(OUTPUT)'!G17*-1</f>
        <v>606.71</v>
      </c>
      <c r="H7" s="128">
        <f>'P&amp;L(OUTPUT)'!H17*-1</f>
        <v>608.33000000000004</v>
      </c>
      <c r="I7" s="128">
        <f>'P&amp;L(OUTPUT)'!I17*-1</f>
        <v>649.98</v>
      </c>
      <c r="J7" s="128">
        <f>'P&amp;L(OUTPUT)'!J17*-1</f>
        <v>784.36</v>
      </c>
      <c r="K7" s="128">
        <f>'P&amp;L(OUTPUT)'!K17*-1</f>
        <v>777.94</v>
      </c>
      <c r="L7" s="166">
        <f>'P&amp;L(OUTPUT)'!L17*-1</f>
        <v>640.27</v>
      </c>
      <c r="M7" s="128">
        <f>M15*'Revenue '!M$5</f>
        <v>1048.8483119500002</v>
      </c>
      <c r="N7" s="128">
        <f>N15*'Revenue '!N$5</f>
        <v>1107.0693785245521</v>
      </c>
      <c r="O7" s="128">
        <f>O15*'Revenue '!O$5</f>
        <v>1190.0995819138936</v>
      </c>
      <c r="P7" s="128">
        <f>P15*'Revenue '!P$5</f>
        <v>1273.4065526478662</v>
      </c>
      <c r="Q7" s="128">
        <f>Q15*'Revenue '!Q$5</f>
        <v>1322.2735291057281</v>
      </c>
    </row>
    <row r="8" spans="3:18">
      <c r="D8" s="185" t="s">
        <v>684</v>
      </c>
      <c r="G8" s="128">
        <f>'P&amp;L(OUTPUT)'!G18*-1</f>
        <v>884.99</v>
      </c>
      <c r="H8" s="128">
        <f>'P&amp;L(OUTPUT)'!H18*-1</f>
        <v>938.22</v>
      </c>
      <c r="I8" s="128">
        <f>'P&amp;L(OUTPUT)'!I18*-1</f>
        <v>953.28</v>
      </c>
      <c r="J8" s="128">
        <f>'P&amp;L(OUTPUT)'!J18*-1</f>
        <v>952.19</v>
      </c>
      <c r="K8" s="128">
        <f>'P&amp;L(OUTPUT)'!K18*-1</f>
        <v>1137.29</v>
      </c>
      <c r="L8" s="166">
        <f>'P&amp;L(OUTPUT)'!L18*-1</f>
        <v>1319.83</v>
      </c>
      <c r="M8" s="128">
        <f>M16*'Revenue '!M$5</f>
        <v>1390.0399315</v>
      </c>
      <c r="N8" s="128">
        <f>N16*'Revenue '!N$5</f>
        <v>1522.2203954712593</v>
      </c>
      <c r="O8" s="128">
        <f>O16*'Revenue '!O$5</f>
        <v>1636.3869251316037</v>
      </c>
      <c r="P8" s="128">
        <f>P16*'Revenue '!P$5</f>
        <v>1750.934009890816</v>
      </c>
      <c r="Q8" s="128">
        <f>Q16*'Revenue '!Q$5</f>
        <v>1864.7447205337191</v>
      </c>
    </row>
    <row r="9" spans="3:18">
      <c r="G9" s="11"/>
      <c r="H9" s="11"/>
      <c r="I9" s="11"/>
      <c r="J9" s="11"/>
      <c r="K9" s="11"/>
      <c r="L9" s="277"/>
      <c r="M9" s="11"/>
      <c r="N9" s="11"/>
      <c r="O9" s="11"/>
      <c r="P9" s="11"/>
      <c r="Q9" s="11"/>
    </row>
    <row r="10" spans="3:18" ht="15.6">
      <c r="D10" s="12" t="s">
        <v>685</v>
      </c>
      <c r="E10" s="12"/>
      <c r="F10" s="12"/>
      <c r="G10" s="133">
        <f>SUM(G6:G8)</f>
        <v>2284.4899999999998</v>
      </c>
      <c r="H10" s="133">
        <f t="shared" ref="H10:Q10" si="0">SUM(H6:H8)</f>
        <v>2484.46</v>
      </c>
      <c r="I10" s="133">
        <f t="shared" si="0"/>
        <v>2551</v>
      </c>
      <c r="J10" s="133">
        <f t="shared" si="0"/>
        <v>2770.01</v>
      </c>
      <c r="K10" s="133">
        <f t="shared" si="0"/>
        <v>2995.1800000000003</v>
      </c>
      <c r="L10" s="169">
        <f t="shared" si="0"/>
        <v>3097.1</v>
      </c>
      <c r="M10" s="133">
        <f t="shared" si="0"/>
        <v>3702.5609084500002</v>
      </c>
      <c r="N10" s="133">
        <f t="shared" si="0"/>
        <v>4040.8032316146155</v>
      </c>
      <c r="O10" s="133">
        <f t="shared" si="0"/>
        <v>4388.4922083074825</v>
      </c>
      <c r="P10" s="133">
        <f t="shared" si="0"/>
        <v>4695.6866628890066</v>
      </c>
      <c r="Q10" s="133">
        <f t="shared" si="0"/>
        <v>4967.0018465125431</v>
      </c>
    </row>
    <row r="11" spans="3:18">
      <c r="G11" s="128"/>
      <c r="H11" s="128"/>
      <c r="I11" s="128"/>
      <c r="J11" s="128"/>
      <c r="K11" s="128"/>
      <c r="L11" s="166"/>
      <c r="M11" s="128"/>
      <c r="N11" s="128"/>
      <c r="O11" s="128"/>
      <c r="P11" s="128"/>
      <c r="Q11" s="128"/>
    </row>
    <row r="12" spans="3:18">
      <c r="G12" s="128"/>
      <c r="H12" s="128"/>
      <c r="I12" s="128"/>
      <c r="J12" s="128"/>
      <c r="K12" s="128"/>
      <c r="L12" s="166"/>
      <c r="M12" s="128"/>
      <c r="N12" s="128"/>
      <c r="O12" s="128"/>
      <c r="P12" s="128"/>
      <c r="Q12" s="128"/>
    </row>
    <row r="13" spans="3:18" ht="15.6">
      <c r="C13" s="3" t="s">
        <v>672</v>
      </c>
      <c r="G13" s="128"/>
      <c r="H13" s="128"/>
      <c r="I13" s="128"/>
      <c r="J13" s="128"/>
      <c r="K13" s="128"/>
      <c r="L13" s="166"/>
      <c r="M13" s="128"/>
      <c r="N13" s="128"/>
      <c r="O13" s="128"/>
      <c r="P13" s="128"/>
      <c r="Q13" s="128"/>
    </row>
    <row r="14" spans="3:18">
      <c r="D14" s="185" t="s">
        <v>682</v>
      </c>
      <c r="G14" s="177">
        <f>IFERROR(G6/'P&amp;L(OUTPUT)'!G$7,"-")</f>
        <v>0.10266840200211089</v>
      </c>
      <c r="H14" s="177">
        <f>IFERROR(H6/'P&amp;L(OUTPUT)'!H$7,"-")</f>
        <v>0.11014810352096714</v>
      </c>
      <c r="I14" s="177">
        <f>IFERROR(I6/'P&amp;L(OUTPUT)'!I$7,"-")</f>
        <v>0.10912830007922034</v>
      </c>
      <c r="J14" s="177">
        <f>IFERROR(J6/'P&amp;L(OUTPUT)'!J$7,"-")</f>
        <v>0.10825424758552783</v>
      </c>
      <c r="K14" s="177">
        <f>IFERROR(K6/'P&amp;L(OUTPUT)'!K$7,"-")</f>
        <v>9.9180984288270019E-2</v>
      </c>
      <c r="L14" s="178">
        <f>IFERROR(L6/'P&amp;L(OUTPUT)'!L$7,"-")</f>
        <v>9.8613256501146163E-2</v>
      </c>
      <c r="M14" s="177">
        <f>CHOOSE($E$21,M27,M36,M45)</f>
        <v>0.1</v>
      </c>
      <c r="N14" s="177">
        <f t="shared" ref="N14:Q14" si="1">CHOOSE($E$21,N27,N36,N45)</f>
        <v>0.10199999999999999</v>
      </c>
      <c r="O14" s="177">
        <f t="shared" si="1"/>
        <v>0.105</v>
      </c>
      <c r="P14" s="177">
        <f t="shared" si="1"/>
        <v>0.105</v>
      </c>
      <c r="Q14" s="177">
        <f t="shared" si="1"/>
        <v>0.105</v>
      </c>
    </row>
    <row r="15" spans="3:18">
      <c r="D15" s="185" t="s">
        <v>683</v>
      </c>
      <c r="G15" s="177">
        <f>IFERROR(G7/'P&amp;L(OUTPUT)'!G$7,"-")</f>
        <v>7.8570549803479731E-2</v>
      </c>
      <c r="H15" s="177">
        <f>IFERROR(H7/'P&amp;L(OUTPUT)'!H$7,"-")</f>
        <v>7.1442244794180626E-2</v>
      </c>
      <c r="I15" s="177">
        <f>IFERROR(I7/'P&amp;L(OUTPUT)'!I$7,"-")</f>
        <v>7.4842480517327156E-2</v>
      </c>
      <c r="J15" s="177">
        <f>IFERROR(J7/'P&amp;L(OUTPUT)'!J$7,"-")</f>
        <v>8.2161188276454439E-2</v>
      </c>
      <c r="K15" s="177">
        <f>IFERROR(K7/'P&amp;L(OUTPUT)'!K$7,"-")</f>
        <v>7.1444839962236009E-2</v>
      </c>
      <c r="L15" s="178">
        <f>IFERROR(L7/'P&amp;L(OUTPUT)'!L$7,"-")</f>
        <v>5.5531319032531966E-2</v>
      </c>
      <c r="M15" s="177">
        <f t="shared" ref="M15:Q15" si="2">CHOOSE($E$21,M28,M37,M46)</f>
        <v>8.3000000000000004E-2</v>
      </c>
      <c r="N15" s="177">
        <f t="shared" si="2"/>
        <v>0.08</v>
      </c>
      <c r="O15" s="177">
        <f t="shared" si="2"/>
        <v>0.08</v>
      </c>
      <c r="P15" s="177">
        <f t="shared" si="2"/>
        <v>0.08</v>
      </c>
      <c r="Q15" s="177">
        <f t="shared" si="2"/>
        <v>7.8E-2</v>
      </c>
    </row>
    <row r="16" spans="3:18">
      <c r="D16" s="185" t="s">
        <v>684</v>
      </c>
      <c r="G16" s="177">
        <f>IFERROR(G8/'P&amp;L(OUTPUT)'!G$7,"-")</f>
        <v>0.11460854587954959</v>
      </c>
      <c r="H16" s="177">
        <f>IFERROR(H8/'P&amp;L(OUTPUT)'!H$7,"-")</f>
        <v>0.11018450990547259</v>
      </c>
      <c r="I16" s="177">
        <f>IFERROR(I8/'P&amp;L(OUTPUT)'!I$7,"-")</f>
        <v>0.10976620792571713</v>
      </c>
      <c r="J16" s="177">
        <f>IFERROR(J8/'P&amp;L(OUTPUT)'!J$7,"-")</f>
        <v>9.9741269142940944E-2</v>
      </c>
      <c r="K16" s="177">
        <f>IFERROR(K8/'P&amp;L(OUTPUT)'!K$7,"-")</f>
        <v>0.10444700367721339</v>
      </c>
      <c r="L16" s="178">
        <f>IFERROR(L8/'P&amp;L(OUTPUT)'!L$7,"-")</f>
        <v>0.11447030283896897</v>
      </c>
      <c r="M16" s="177">
        <f t="shared" ref="M16:Q16" si="3">CHOOSE($E$21,M29,M38,M47)</f>
        <v>0.11</v>
      </c>
      <c r="N16" s="177">
        <f t="shared" si="3"/>
        <v>0.11</v>
      </c>
      <c r="O16" s="177">
        <f t="shared" si="3"/>
        <v>0.11</v>
      </c>
      <c r="P16" s="177">
        <f t="shared" si="3"/>
        <v>0.11</v>
      </c>
      <c r="Q16" s="177">
        <f t="shared" si="3"/>
        <v>0.11</v>
      </c>
    </row>
    <row r="17" spans="3:17">
      <c r="G17" s="11"/>
      <c r="H17" s="11"/>
      <c r="I17" s="11"/>
      <c r="J17" s="11"/>
      <c r="K17" s="11"/>
      <c r="L17" s="278"/>
      <c r="M17" s="11"/>
      <c r="N17" s="11"/>
      <c r="O17" s="11"/>
      <c r="P17" s="11"/>
      <c r="Q17" s="11"/>
    </row>
    <row r="18" spans="3:17" ht="15.6">
      <c r="D18" s="12" t="s">
        <v>685</v>
      </c>
      <c r="E18" s="12"/>
      <c r="F18" s="12"/>
      <c r="G18" s="279">
        <f>SUM(G14:G16)</f>
        <v>0.29584749768514024</v>
      </c>
      <c r="H18" s="279">
        <f t="shared" ref="H18:Q18" si="4">SUM(H14:H16)</f>
        <v>0.29177485822062033</v>
      </c>
      <c r="I18" s="279">
        <f t="shared" si="4"/>
        <v>0.2937369885222646</v>
      </c>
      <c r="J18" s="279">
        <f t="shared" si="4"/>
        <v>0.29015670500492324</v>
      </c>
      <c r="K18" s="279">
        <f t="shared" si="4"/>
        <v>0.27507282792771942</v>
      </c>
      <c r="L18" s="280">
        <f t="shared" si="4"/>
        <v>0.26861487837264708</v>
      </c>
      <c r="M18" s="279">
        <f t="shared" si="4"/>
        <v>0.29299999999999998</v>
      </c>
      <c r="N18" s="279">
        <f t="shared" si="4"/>
        <v>0.29199999999999998</v>
      </c>
      <c r="O18" s="279">
        <f t="shared" si="4"/>
        <v>0.29499999999999998</v>
      </c>
      <c r="P18" s="279">
        <f t="shared" si="4"/>
        <v>0.29499999999999998</v>
      </c>
      <c r="Q18" s="279">
        <f t="shared" si="4"/>
        <v>0.29299999999999998</v>
      </c>
    </row>
    <row r="19" spans="3:17">
      <c r="G19" s="128"/>
      <c r="H19" s="128"/>
      <c r="I19" s="128"/>
      <c r="J19" s="128"/>
      <c r="K19" s="128"/>
      <c r="L19" s="166"/>
      <c r="M19" s="128"/>
      <c r="N19" s="128"/>
      <c r="O19" s="128"/>
      <c r="P19" s="128"/>
      <c r="Q19" s="128"/>
    </row>
    <row r="20" spans="3:17" ht="15.6" thickBot="1">
      <c r="G20" s="128"/>
      <c r="H20" s="128"/>
      <c r="I20" s="128"/>
      <c r="J20" s="128"/>
      <c r="K20" s="128"/>
      <c r="L20" s="166"/>
      <c r="M20" s="128"/>
      <c r="N20" s="128"/>
      <c r="O20" s="128"/>
      <c r="P20" s="128"/>
      <c r="Q20" s="128"/>
    </row>
    <row r="21" spans="3:17" ht="16.2" thickBot="1">
      <c r="C21" s="3" t="s">
        <v>645</v>
      </c>
      <c r="E21" s="236">
        <f>Forecasting!$L$15</f>
        <v>3</v>
      </c>
      <c r="G21" s="128"/>
      <c r="H21" s="128"/>
      <c r="I21" s="128"/>
      <c r="J21" s="128"/>
      <c r="K21" s="128"/>
      <c r="L21" s="166"/>
      <c r="M21" s="128"/>
      <c r="N21" s="128"/>
      <c r="O21" s="128"/>
      <c r="P21" s="128"/>
      <c r="Q21" s="128"/>
    </row>
    <row r="22" spans="3:17" ht="15.6">
      <c r="D22" s="358" t="s">
        <v>686</v>
      </c>
      <c r="G22" s="128"/>
      <c r="H22" s="128"/>
      <c r="I22" s="128"/>
      <c r="J22" s="128"/>
      <c r="K22" s="128"/>
      <c r="L22" s="166"/>
      <c r="M22" s="128"/>
      <c r="N22" s="128"/>
      <c r="O22" s="128"/>
      <c r="P22" s="128"/>
      <c r="Q22" s="128"/>
    </row>
    <row r="23" spans="3:17">
      <c r="G23" s="128"/>
      <c r="H23" s="128"/>
      <c r="I23" s="128"/>
      <c r="J23" s="128"/>
      <c r="K23" s="177"/>
      <c r="L23" s="166"/>
      <c r="M23" s="128"/>
      <c r="N23" s="128"/>
      <c r="O23" s="128"/>
      <c r="P23" s="128"/>
      <c r="Q23" s="128"/>
    </row>
    <row r="24" spans="3:17" ht="15.6">
      <c r="C24" s="3"/>
      <c r="G24" s="128"/>
      <c r="H24" s="128"/>
      <c r="I24" s="128"/>
      <c r="J24" s="177"/>
      <c r="K24" s="177"/>
      <c r="L24" s="166"/>
      <c r="M24" s="128"/>
      <c r="N24" s="128"/>
      <c r="O24" s="128"/>
      <c r="P24" s="128"/>
      <c r="Q24" s="128"/>
    </row>
    <row r="25" spans="3:17" ht="15.6">
      <c r="C25" s="220" t="s">
        <v>690</v>
      </c>
      <c r="D25" s="139"/>
      <c r="E25" s="139"/>
      <c r="F25" s="139"/>
      <c r="G25" s="282"/>
      <c r="H25" s="282"/>
      <c r="I25" s="282"/>
      <c r="J25" s="282"/>
      <c r="K25" s="282"/>
      <c r="L25" s="283"/>
      <c r="M25" s="282"/>
      <c r="N25" s="282"/>
      <c r="O25" s="282"/>
      <c r="P25" s="282"/>
      <c r="Q25" s="282"/>
    </row>
    <row r="26" spans="3:17">
      <c r="C26" s="139"/>
      <c r="D26" s="139"/>
      <c r="E26" s="139"/>
      <c r="F26" s="139"/>
      <c r="G26" s="282"/>
      <c r="H26" s="282"/>
      <c r="I26" s="282"/>
      <c r="J26" s="282"/>
      <c r="K26" s="282"/>
      <c r="L26" s="283"/>
      <c r="M26" s="282"/>
      <c r="N26" s="282"/>
      <c r="O26" s="282"/>
      <c r="P26" s="282"/>
      <c r="Q26" s="282"/>
    </row>
    <row r="27" spans="3:17">
      <c r="C27" s="139"/>
      <c r="D27" s="139" t="s">
        <v>682</v>
      </c>
      <c r="E27" s="139"/>
      <c r="F27" s="139"/>
      <c r="G27" s="286">
        <f>G14</f>
        <v>0.10266840200211089</v>
      </c>
      <c r="H27" s="286">
        <f t="shared" ref="H27:L27" si="5">H14</f>
        <v>0.11014810352096714</v>
      </c>
      <c r="I27" s="286">
        <f t="shared" si="5"/>
        <v>0.10912830007922034</v>
      </c>
      <c r="J27" s="286">
        <f t="shared" si="5"/>
        <v>0.10825424758552783</v>
      </c>
      <c r="K27" s="286">
        <f t="shared" si="5"/>
        <v>9.9180984288270019E-2</v>
      </c>
      <c r="L27" s="288">
        <f t="shared" si="5"/>
        <v>9.8613256501146163E-2</v>
      </c>
      <c r="M27" s="286">
        <f>D64</f>
        <v>9.5000000000000001E-2</v>
      </c>
      <c r="N27" s="286">
        <f t="shared" ref="N27:Q27" si="6">E64</f>
        <v>9.2999999999999999E-2</v>
      </c>
      <c r="O27" s="286">
        <f t="shared" si="6"/>
        <v>9.5000000000000001E-2</v>
      </c>
      <c r="P27" s="286">
        <f t="shared" si="6"/>
        <v>9.6000000000000002E-2</v>
      </c>
      <c r="Q27" s="286">
        <f t="shared" si="6"/>
        <v>9.6000000000000002E-2</v>
      </c>
    </row>
    <row r="28" spans="3:17">
      <c r="C28" s="139"/>
      <c r="D28" s="139" t="s">
        <v>683</v>
      </c>
      <c r="E28" s="139"/>
      <c r="F28" s="139"/>
      <c r="G28" s="286">
        <f>G15</f>
        <v>7.8570549803479731E-2</v>
      </c>
      <c r="H28" s="286">
        <f t="shared" ref="G28:L29" si="7">H15</f>
        <v>7.1442244794180626E-2</v>
      </c>
      <c r="I28" s="286">
        <f t="shared" si="7"/>
        <v>7.4842480517327156E-2</v>
      </c>
      <c r="J28" s="286">
        <f t="shared" si="7"/>
        <v>8.2161188276454439E-2</v>
      </c>
      <c r="K28" s="286">
        <f t="shared" si="7"/>
        <v>7.1444839962236009E-2</v>
      </c>
      <c r="L28" s="288">
        <f t="shared" si="7"/>
        <v>5.5531319032531966E-2</v>
      </c>
      <c r="M28" s="286">
        <f t="shared" ref="M28:M29" si="8">D65</f>
        <v>7.4999999999999997E-2</v>
      </c>
      <c r="N28" s="286">
        <f t="shared" ref="N28:N29" si="9">E65</f>
        <v>7.3999999999999996E-2</v>
      </c>
      <c r="O28" s="286">
        <f t="shared" ref="O28:O29" si="10">F65</f>
        <v>7.1999999999999995E-2</v>
      </c>
      <c r="P28" s="286">
        <f t="shared" ref="P28:P29" si="11">G65</f>
        <v>7.1999999999999995E-2</v>
      </c>
      <c r="Q28" s="286">
        <f t="shared" ref="Q28:Q29" si="12">H65</f>
        <v>7.1999999999999995E-2</v>
      </c>
    </row>
    <row r="29" spans="3:17">
      <c r="C29" s="139"/>
      <c r="D29" s="139" t="s">
        <v>698</v>
      </c>
      <c r="E29" s="139"/>
      <c r="F29" s="139"/>
      <c r="G29" s="286">
        <f t="shared" si="7"/>
        <v>0.11460854587954959</v>
      </c>
      <c r="H29" s="286">
        <f t="shared" si="7"/>
        <v>0.11018450990547259</v>
      </c>
      <c r="I29" s="286">
        <f t="shared" si="7"/>
        <v>0.10976620792571713</v>
      </c>
      <c r="J29" s="286">
        <f t="shared" si="7"/>
        <v>9.9741269142940944E-2</v>
      </c>
      <c r="K29" s="286">
        <f t="shared" si="7"/>
        <v>0.10444700367721339</v>
      </c>
      <c r="L29" s="288">
        <f t="shared" si="7"/>
        <v>0.11447030283896897</v>
      </c>
      <c r="M29" s="286">
        <f t="shared" si="8"/>
        <v>0.11</v>
      </c>
      <c r="N29" s="286">
        <f t="shared" si="9"/>
        <v>0.11</v>
      </c>
      <c r="O29" s="286">
        <f t="shared" si="10"/>
        <v>0.11</v>
      </c>
      <c r="P29" s="286">
        <f t="shared" si="11"/>
        <v>0.11</v>
      </c>
      <c r="Q29" s="286">
        <f t="shared" si="12"/>
        <v>0.11</v>
      </c>
    </row>
    <row r="30" spans="3:17">
      <c r="C30" s="139"/>
      <c r="D30" s="139"/>
      <c r="E30" s="139"/>
      <c r="F30" s="139"/>
      <c r="G30" s="286"/>
      <c r="H30" s="286"/>
      <c r="I30" s="286"/>
      <c r="J30" s="286"/>
      <c r="K30" s="286"/>
      <c r="L30" s="287"/>
      <c r="M30" s="286"/>
      <c r="N30" s="286"/>
      <c r="O30" s="286"/>
      <c r="P30" s="286"/>
      <c r="Q30" s="286"/>
    </row>
    <row r="31" spans="3:17" ht="15.6">
      <c r="C31" s="139"/>
      <c r="D31" s="285" t="s">
        <v>699</v>
      </c>
      <c r="E31" s="284"/>
      <c r="F31" s="284"/>
      <c r="G31" s="292">
        <f>SUM(G27:G29)</f>
        <v>0.29584749768514024</v>
      </c>
      <c r="H31" s="292">
        <f t="shared" ref="H31:Q31" si="13">SUM(H27:H29)</f>
        <v>0.29177485822062033</v>
      </c>
      <c r="I31" s="292">
        <f t="shared" si="13"/>
        <v>0.2937369885222646</v>
      </c>
      <c r="J31" s="292">
        <f t="shared" si="13"/>
        <v>0.29015670500492324</v>
      </c>
      <c r="K31" s="292">
        <f t="shared" si="13"/>
        <v>0.27507282792771942</v>
      </c>
      <c r="L31" s="293">
        <f t="shared" si="13"/>
        <v>0.26861487837264708</v>
      </c>
      <c r="M31" s="292">
        <f t="shared" si="13"/>
        <v>0.27999999999999997</v>
      </c>
      <c r="N31" s="292">
        <f t="shared" si="13"/>
        <v>0.27699999999999997</v>
      </c>
      <c r="O31" s="292">
        <f t="shared" si="13"/>
        <v>0.27699999999999997</v>
      </c>
      <c r="P31" s="292">
        <f t="shared" si="13"/>
        <v>0.27799999999999997</v>
      </c>
      <c r="Q31" s="292">
        <f t="shared" si="13"/>
        <v>0.27799999999999997</v>
      </c>
    </row>
    <row r="32" spans="3:17">
      <c r="C32" s="216"/>
      <c r="D32" s="216"/>
      <c r="E32" s="216"/>
      <c r="F32" s="216"/>
      <c r="G32" s="281"/>
      <c r="H32" s="281"/>
      <c r="I32" s="281"/>
      <c r="J32" s="281"/>
      <c r="K32" s="281"/>
      <c r="L32" s="290"/>
      <c r="M32" s="281"/>
      <c r="N32" s="281"/>
      <c r="O32" s="281"/>
      <c r="P32" s="281"/>
      <c r="Q32" s="281"/>
    </row>
    <row r="33" spans="3:17">
      <c r="G33" s="128"/>
      <c r="H33" s="128"/>
      <c r="I33" s="128"/>
      <c r="J33" s="128"/>
      <c r="K33" s="128"/>
      <c r="L33" s="294"/>
      <c r="M33" s="128"/>
      <c r="N33" s="128"/>
      <c r="O33" s="128"/>
      <c r="P33" s="128"/>
      <c r="Q33" s="128"/>
    </row>
    <row r="34" spans="3:17" ht="15.6">
      <c r="C34" s="220" t="s">
        <v>692</v>
      </c>
      <c r="D34" s="139"/>
      <c r="E34" s="139"/>
      <c r="F34" s="139"/>
      <c r="G34" s="282"/>
      <c r="H34" s="282"/>
      <c r="I34" s="282"/>
      <c r="J34" s="282"/>
      <c r="K34" s="282"/>
      <c r="L34" s="289"/>
      <c r="M34" s="282"/>
      <c r="N34" s="282"/>
      <c r="O34" s="282"/>
      <c r="P34" s="282"/>
      <c r="Q34" s="282"/>
    </row>
    <row r="35" spans="3:17">
      <c r="C35" s="139"/>
      <c r="D35" s="139"/>
      <c r="E35" s="139"/>
      <c r="F35" s="139"/>
      <c r="G35" s="282"/>
      <c r="H35" s="282"/>
      <c r="I35" s="282"/>
      <c r="J35" s="282"/>
      <c r="K35" s="282"/>
      <c r="L35" s="289"/>
      <c r="M35" s="282"/>
      <c r="N35" s="282"/>
      <c r="O35" s="282"/>
      <c r="P35" s="282"/>
      <c r="Q35" s="282"/>
    </row>
    <row r="36" spans="3:17">
      <c r="C36" s="139"/>
      <c r="D36" s="139" t="s">
        <v>682</v>
      </c>
      <c r="E36" s="139"/>
      <c r="F36" s="139"/>
      <c r="G36" s="286">
        <f>G14</f>
        <v>0.10266840200211089</v>
      </c>
      <c r="H36" s="286">
        <f t="shared" ref="H36:L36" si="14">H14</f>
        <v>0.11014810352096714</v>
      </c>
      <c r="I36" s="286">
        <f t="shared" si="14"/>
        <v>0.10912830007922034</v>
      </c>
      <c r="J36" s="286">
        <f t="shared" si="14"/>
        <v>0.10825424758552783</v>
      </c>
      <c r="K36" s="286">
        <f t="shared" si="14"/>
        <v>9.9180984288270019E-2</v>
      </c>
      <c r="L36" s="288">
        <f t="shared" si="14"/>
        <v>9.8613256501146163E-2</v>
      </c>
      <c r="M36" s="286">
        <f>D55</f>
        <v>9.5000000000000001E-2</v>
      </c>
      <c r="N36" s="286">
        <f t="shared" ref="N36:Q36" si="15">E55</f>
        <v>9.6000000000000002E-2</v>
      </c>
      <c r="O36" s="286">
        <f t="shared" si="15"/>
        <v>9.8000000000000004E-2</v>
      </c>
      <c r="P36" s="286">
        <f t="shared" si="15"/>
        <v>9.8000000000000004E-2</v>
      </c>
      <c r="Q36" s="286">
        <f t="shared" si="15"/>
        <v>9.8000000000000004E-2</v>
      </c>
    </row>
    <row r="37" spans="3:17">
      <c r="C37" s="139"/>
      <c r="D37" s="139" t="s">
        <v>683</v>
      </c>
      <c r="E37" s="139"/>
      <c r="F37" s="139"/>
      <c r="G37" s="286">
        <f t="shared" ref="G37:L38" si="16">G15</f>
        <v>7.8570549803479731E-2</v>
      </c>
      <c r="H37" s="286">
        <f t="shared" si="16"/>
        <v>7.1442244794180626E-2</v>
      </c>
      <c r="I37" s="286">
        <f t="shared" si="16"/>
        <v>7.4842480517327156E-2</v>
      </c>
      <c r="J37" s="286">
        <f t="shared" si="16"/>
        <v>8.2161188276454439E-2</v>
      </c>
      <c r="K37" s="286">
        <f t="shared" si="16"/>
        <v>7.1444839962236009E-2</v>
      </c>
      <c r="L37" s="288">
        <f t="shared" si="16"/>
        <v>5.5531319032531966E-2</v>
      </c>
      <c r="M37" s="286">
        <f t="shared" ref="M37:M38" si="17">D56</f>
        <v>0.08</v>
      </c>
      <c r="N37" s="286">
        <f t="shared" ref="N37:N38" si="18">E56</f>
        <v>7.8E-2</v>
      </c>
      <c r="O37" s="286">
        <f t="shared" ref="O37:O38" si="19">F56</f>
        <v>7.5999999999999998E-2</v>
      </c>
      <c r="P37" s="286">
        <f t="shared" ref="P37:P38" si="20">G56</f>
        <v>7.4999999999999997E-2</v>
      </c>
      <c r="Q37" s="286">
        <f t="shared" ref="Q37:Q38" si="21">H56</f>
        <v>7.4999999999999997E-2</v>
      </c>
    </row>
    <row r="38" spans="3:17">
      <c r="C38" s="139"/>
      <c r="D38" s="139" t="s">
        <v>698</v>
      </c>
      <c r="E38" s="139"/>
      <c r="F38" s="139"/>
      <c r="G38" s="286">
        <f t="shared" si="16"/>
        <v>0.11460854587954959</v>
      </c>
      <c r="H38" s="286">
        <f t="shared" si="16"/>
        <v>0.11018450990547259</v>
      </c>
      <c r="I38" s="286">
        <f t="shared" si="16"/>
        <v>0.10976620792571713</v>
      </c>
      <c r="J38" s="286">
        <f t="shared" si="16"/>
        <v>9.9741269142940944E-2</v>
      </c>
      <c r="K38" s="286">
        <f t="shared" si="16"/>
        <v>0.10444700367721339</v>
      </c>
      <c r="L38" s="288">
        <f t="shared" si="16"/>
        <v>0.11447030283896897</v>
      </c>
      <c r="M38" s="286">
        <f t="shared" si="17"/>
        <v>0.11</v>
      </c>
      <c r="N38" s="286">
        <f t="shared" si="18"/>
        <v>0.11</v>
      </c>
      <c r="O38" s="286">
        <f t="shared" si="19"/>
        <v>0.11</v>
      </c>
      <c r="P38" s="286">
        <f t="shared" si="20"/>
        <v>0.11</v>
      </c>
      <c r="Q38" s="286">
        <f t="shared" si="21"/>
        <v>0.11</v>
      </c>
    </row>
    <row r="39" spans="3:17">
      <c r="C39" s="139"/>
      <c r="D39" s="139"/>
      <c r="E39" s="139"/>
      <c r="F39" s="139"/>
      <c r="G39" s="282"/>
      <c r="H39" s="282"/>
      <c r="I39" s="282"/>
      <c r="J39" s="282"/>
      <c r="K39" s="282"/>
      <c r="L39" s="289"/>
      <c r="M39" s="282"/>
      <c r="N39" s="282"/>
      <c r="O39" s="282"/>
      <c r="P39" s="282"/>
      <c r="Q39" s="282"/>
    </row>
    <row r="40" spans="3:17" ht="15.6">
      <c r="C40" s="139"/>
      <c r="D40" s="285" t="s">
        <v>699</v>
      </c>
      <c r="E40" s="284"/>
      <c r="F40" s="284"/>
      <c r="G40" s="292">
        <f>SUM(G36:G38)</f>
        <v>0.29584749768514024</v>
      </c>
      <c r="H40" s="292">
        <f t="shared" ref="H40:Q40" si="22">SUM(H36:H38)</f>
        <v>0.29177485822062033</v>
      </c>
      <c r="I40" s="292">
        <f t="shared" si="22"/>
        <v>0.2937369885222646</v>
      </c>
      <c r="J40" s="292">
        <f t="shared" si="22"/>
        <v>0.29015670500492324</v>
      </c>
      <c r="K40" s="292">
        <f t="shared" si="22"/>
        <v>0.27507282792771942</v>
      </c>
      <c r="L40" s="293">
        <f t="shared" si="22"/>
        <v>0.26861487837264708</v>
      </c>
      <c r="M40" s="292">
        <f t="shared" si="22"/>
        <v>0.28499999999999998</v>
      </c>
      <c r="N40" s="292">
        <f t="shared" si="22"/>
        <v>0.28399999999999997</v>
      </c>
      <c r="O40" s="292">
        <f t="shared" si="22"/>
        <v>0.28399999999999997</v>
      </c>
      <c r="P40" s="292">
        <f t="shared" si="22"/>
        <v>0.28299999999999997</v>
      </c>
      <c r="Q40" s="292">
        <f t="shared" si="22"/>
        <v>0.28299999999999997</v>
      </c>
    </row>
    <row r="41" spans="3:17">
      <c r="C41" s="216"/>
      <c r="D41" s="216"/>
      <c r="E41" s="216"/>
      <c r="F41" s="216"/>
      <c r="G41" s="281"/>
      <c r="H41" s="281"/>
      <c r="I41" s="281"/>
      <c r="J41" s="281"/>
      <c r="K41" s="281"/>
      <c r="L41" s="290"/>
      <c r="M41" s="281"/>
      <c r="N41" s="281"/>
      <c r="O41" s="281"/>
      <c r="P41" s="281"/>
      <c r="Q41" s="281"/>
    </row>
    <row r="42" spans="3:17">
      <c r="L42" s="291"/>
    </row>
    <row r="43" spans="3:17" ht="15.6">
      <c r="C43" s="220" t="s">
        <v>693</v>
      </c>
      <c r="D43" s="139"/>
      <c r="E43" s="139"/>
      <c r="F43" s="139"/>
      <c r="G43" s="282"/>
      <c r="H43" s="282"/>
      <c r="I43" s="282"/>
      <c r="J43" s="282"/>
      <c r="K43" s="282"/>
      <c r="L43" s="289"/>
      <c r="M43" s="282"/>
      <c r="N43" s="282"/>
      <c r="O43" s="282"/>
      <c r="P43" s="282"/>
      <c r="Q43" s="282"/>
    </row>
    <row r="44" spans="3:17">
      <c r="C44" s="139"/>
      <c r="D44" s="139"/>
      <c r="E44" s="139"/>
      <c r="F44" s="139"/>
      <c r="G44" s="282"/>
      <c r="H44" s="282"/>
      <c r="I44" s="282"/>
      <c r="J44" s="282"/>
      <c r="K44" s="282"/>
      <c r="L44" s="289"/>
      <c r="M44" s="282"/>
      <c r="N44" s="282"/>
      <c r="O44" s="282"/>
      <c r="P44" s="282"/>
      <c r="Q44" s="282"/>
    </row>
    <row r="45" spans="3:17">
      <c r="C45" s="139"/>
      <c r="D45" s="139" t="s">
        <v>682</v>
      </c>
      <c r="E45" s="139"/>
      <c r="F45" s="139"/>
      <c r="G45" s="286">
        <f>G14</f>
        <v>0.10266840200211089</v>
      </c>
      <c r="H45" s="286">
        <f t="shared" ref="H45:L45" si="23">H14</f>
        <v>0.11014810352096714</v>
      </c>
      <c r="I45" s="286">
        <f t="shared" si="23"/>
        <v>0.10912830007922034</v>
      </c>
      <c r="J45" s="286">
        <f t="shared" si="23"/>
        <v>0.10825424758552783</v>
      </c>
      <c r="K45" s="286">
        <f t="shared" si="23"/>
        <v>9.9180984288270019E-2</v>
      </c>
      <c r="L45" s="288">
        <f t="shared" si="23"/>
        <v>9.8613256501146163E-2</v>
      </c>
      <c r="M45" s="286">
        <f>D72</f>
        <v>0.1</v>
      </c>
      <c r="N45" s="286">
        <f t="shared" ref="N45:Q45" si="24">E72</f>
        <v>0.10199999999999999</v>
      </c>
      <c r="O45" s="286">
        <f t="shared" si="24"/>
        <v>0.105</v>
      </c>
      <c r="P45" s="286">
        <f t="shared" si="24"/>
        <v>0.105</v>
      </c>
      <c r="Q45" s="286">
        <f t="shared" si="24"/>
        <v>0.105</v>
      </c>
    </row>
    <row r="46" spans="3:17">
      <c r="C46" s="139"/>
      <c r="D46" s="139" t="s">
        <v>683</v>
      </c>
      <c r="E46" s="139"/>
      <c r="F46" s="139"/>
      <c r="G46" s="286">
        <f t="shared" ref="G46:L47" si="25">G15</f>
        <v>7.8570549803479731E-2</v>
      </c>
      <c r="H46" s="286">
        <f t="shared" si="25"/>
        <v>7.1442244794180626E-2</v>
      </c>
      <c r="I46" s="286">
        <f t="shared" si="25"/>
        <v>7.4842480517327156E-2</v>
      </c>
      <c r="J46" s="286">
        <f t="shared" si="25"/>
        <v>8.2161188276454439E-2</v>
      </c>
      <c r="K46" s="286">
        <f t="shared" si="25"/>
        <v>7.1444839962236009E-2</v>
      </c>
      <c r="L46" s="288">
        <f t="shared" si="25"/>
        <v>5.5531319032531966E-2</v>
      </c>
      <c r="M46" s="286">
        <f t="shared" ref="M46:M47" si="26">D73</f>
        <v>8.3000000000000004E-2</v>
      </c>
      <c r="N46" s="286">
        <f t="shared" ref="N46:N47" si="27">E73</f>
        <v>0.08</v>
      </c>
      <c r="O46" s="286">
        <f t="shared" ref="O46:O47" si="28">F73</f>
        <v>0.08</v>
      </c>
      <c r="P46" s="286">
        <f t="shared" ref="P46:P47" si="29">G73</f>
        <v>0.08</v>
      </c>
      <c r="Q46" s="286">
        <f t="shared" ref="Q46:Q47" si="30">H73</f>
        <v>7.8E-2</v>
      </c>
    </row>
    <row r="47" spans="3:17">
      <c r="C47" s="139"/>
      <c r="D47" s="139" t="s">
        <v>698</v>
      </c>
      <c r="E47" s="139"/>
      <c r="F47" s="139"/>
      <c r="G47" s="286">
        <f t="shared" si="25"/>
        <v>0.11460854587954959</v>
      </c>
      <c r="H47" s="286">
        <f t="shared" si="25"/>
        <v>0.11018450990547259</v>
      </c>
      <c r="I47" s="286">
        <f t="shared" si="25"/>
        <v>0.10976620792571713</v>
      </c>
      <c r="J47" s="286">
        <f t="shared" si="25"/>
        <v>9.9741269142940944E-2</v>
      </c>
      <c r="K47" s="286">
        <f t="shared" si="25"/>
        <v>0.10444700367721339</v>
      </c>
      <c r="L47" s="288">
        <f t="shared" si="25"/>
        <v>0.11447030283896897</v>
      </c>
      <c r="M47" s="286">
        <f t="shared" si="26"/>
        <v>0.11</v>
      </c>
      <c r="N47" s="286">
        <f t="shared" si="27"/>
        <v>0.11</v>
      </c>
      <c r="O47" s="286">
        <f t="shared" si="28"/>
        <v>0.11</v>
      </c>
      <c r="P47" s="286">
        <f t="shared" si="29"/>
        <v>0.11</v>
      </c>
      <c r="Q47" s="286">
        <f t="shared" si="30"/>
        <v>0.11</v>
      </c>
    </row>
    <row r="48" spans="3:17">
      <c r="C48" s="139"/>
      <c r="D48" s="139"/>
      <c r="E48" s="139"/>
      <c r="F48" s="139"/>
      <c r="G48" s="282"/>
      <c r="H48" s="282"/>
      <c r="I48" s="282"/>
      <c r="J48" s="282"/>
      <c r="K48" s="282"/>
      <c r="L48" s="289"/>
      <c r="M48" s="282"/>
      <c r="N48" s="282"/>
      <c r="O48" s="282"/>
      <c r="P48" s="282"/>
      <c r="Q48" s="282"/>
    </row>
    <row r="49" spans="2:17" ht="15.6">
      <c r="C49" s="139"/>
      <c r="D49" s="285" t="s">
        <v>699</v>
      </c>
      <c r="E49" s="284"/>
      <c r="F49" s="284"/>
      <c r="G49" s="292">
        <f>SUM(G45:G47)</f>
        <v>0.29584749768514024</v>
      </c>
      <c r="H49" s="292">
        <f t="shared" ref="H49:Q49" si="31">SUM(H45:H47)</f>
        <v>0.29177485822062033</v>
      </c>
      <c r="I49" s="292">
        <f t="shared" si="31"/>
        <v>0.2937369885222646</v>
      </c>
      <c r="J49" s="292">
        <f t="shared" si="31"/>
        <v>0.29015670500492324</v>
      </c>
      <c r="K49" s="292">
        <f t="shared" si="31"/>
        <v>0.27507282792771942</v>
      </c>
      <c r="L49" s="293">
        <f t="shared" si="31"/>
        <v>0.26861487837264708</v>
      </c>
      <c r="M49" s="292">
        <f t="shared" si="31"/>
        <v>0.29299999999999998</v>
      </c>
      <c r="N49" s="292">
        <f t="shared" si="31"/>
        <v>0.29199999999999998</v>
      </c>
      <c r="O49" s="292">
        <f t="shared" si="31"/>
        <v>0.29499999999999998</v>
      </c>
      <c r="P49" s="292">
        <f t="shared" si="31"/>
        <v>0.29499999999999998</v>
      </c>
      <c r="Q49" s="292">
        <f t="shared" si="31"/>
        <v>0.29299999999999998</v>
      </c>
    </row>
    <row r="50" spans="2:17">
      <c r="C50" s="216"/>
      <c r="D50" s="216"/>
      <c r="E50" s="216"/>
      <c r="F50" s="216"/>
      <c r="G50" s="281"/>
      <c r="H50" s="281"/>
      <c r="I50" s="281"/>
      <c r="J50" s="281"/>
      <c r="K50" s="281"/>
      <c r="L50" s="290"/>
      <c r="M50" s="281"/>
      <c r="N50" s="281"/>
      <c r="O50" s="281"/>
      <c r="P50" s="281"/>
      <c r="Q50" s="281"/>
    </row>
    <row r="52" spans="2:17" ht="15.6">
      <c r="B52" s="3" t="s">
        <v>343</v>
      </c>
      <c r="C52" s="3" t="s">
        <v>478</v>
      </c>
      <c r="D52" s="3" t="s">
        <v>646</v>
      </c>
    </row>
    <row r="54" spans="2:17" ht="15.6">
      <c r="D54" s="221" t="s">
        <v>694</v>
      </c>
      <c r="E54" s="221" t="s">
        <v>695</v>
      </c>
      <c r="F54" s="221" t="s">
        <v>654</v>
      </c>
      <c r="G54" s="221" t="s">
        <v>655</v>
      </c>
      <c r="H54" s="221" t="s">
        <v>656</v>
      </c>
      <c r="I54" s="511" t="s">
        <v>437</v>
      </c>
      <c r="J54" s="511"/>
      <c r="K54" s="511"/>
      <c r="L54" s="511"/>
    </row>
    <row r="55" spans="2:17">
      <c r="B55" s="185" t="s">
        <v>682</v>
      </c>
      <c r="D55" s="202">
        <v>9.5000000000000001E-2</v>
      </c>
      <c r="E55" s="202">
        <v>9.6000000000000002E-2</v>
      </c>
      <c r="F55" s="202">
        <v>9.8000000000000004E-2</v>
      </c>
      <c r="G55" s="202">
        <v>9.8000000000000004E-2</v>
      </c>
      <c r="H55" s="202">
        <v>9.8000000000000004E-2</v>
      </c>
      <c r="I55" s="2" t="s">
        <v>702</v>
      </c>
      <c r="J55" s="37"/>
      <c r="K55" s="37"/>
      <c r="L55" s="37"/>
      <c r="M55" s="37"/>
      <c r="N55" s="37"/>
    </row>
    <row r="56" spans="2:17">
      <c r="B56" s="185" t="s">
        <v>683</v>
      </c>
      <c r="D56" s="202">
        <v>0.08</v>
      </c>
      <c r="E56" s="202">
        <v>7.8E-2</v>
      </c>
      <c r="F56" s="202">
        <v>7.5999999999999998E-2</v>
      </c>
      <c r="G56" s="202">
        <v>7.4999999999999997E-2</v>
      </c>
      <c r="H56" s="202">
        <v>7.4999999999999997E-2</v>
      </c>
      <c r="I56" s="2" t="s">
        <v>703</v>
      </c>
      <c r="J56" s="37"/>
      <c r="K56" s="37"/>
      <c r="L56" s="37"/>
      <c r="M56" s="37"/>
      <c r="N56" s="37"/>
    </row>
    <row r="57" spans="2:17">
      <c r="B57" s="185" t="s">
        <v>684</v>
      </c>
      <c r="C57" s="200"/>
      <c r="D57" s="202">
        <v>0.11</v>
      </c>
      <c r="E57" s="202">
        <v>0.11</v>
      </c>
      <c r="F57" s="202">
        <v>0.11</v>
      </c>
      <c r="G57" s="202">
        <v>0.11</v>
      </c>
      <c r="H57" s="202">
        <v>0.11</v>
      </c>
      <c r="I57" s="2" t="s">
        <v>700</v>
      </c>
      <c r="J57" s="37"/>
      <c r="K57" s="37"/>
      <c r="L57" s="37"/>
      <c r="M57" s="37"/>
      <c r="N57" s="37"/>
    </row>
    <row r="58" spans="2:17">
      <c r="D58" s="37"/>
      <c r="E58" s="37"/>
      <c r="F58" s="37"/>
      <c r="G58" s="37"/>
      <c r="H58" s="37"/>
      <c r="I58" s="37"/>
      <c r="J58" s="37"/>
      <c r="K58" s="37"/>
      <c r="L58" s="37"/>
      <c r="M58" s="37"/>
      <c r="N58" s="37"/>
    </row>
    <row r="59" spans="2:17" ht="15.6">
      <c r="B59" s="296" t="s">
        <v>699</v>
      </c>
      <c r="C59" s="295"/>
      <c r="D59" s="297">
        <f>SUM(D55:D57)</f>
        <v>0.28499999999999998</v>
      </c>
      <c r="E59" s="297">
        <f t="shared" ref="E59:H59" si="32">SUM(E55:E57)</f>
        <v>0.28399999999999997</v>
      </c>
      <c r="F59" s="297">
        <f t="shared" si="32"/>
        <v>0.28399999999999997</v>
      </c>
      <c r="G59" s="297">
        <f t="shared" si="32"/>
        <v>0.28299999999999997</v>
      </c>
      <c r="H59" s="297">
        <f t="shared" si="32"/>
        <v>0.28299999999999997</v>
      </c>
    </row>
    <row r="60" spans="2:17">
      <c r="I60" s="8"/>
      <c r="J60" s="8"/>
    </row>
    <row r="61" spans="2:17" ht="15.6">
      <c r="D61" s="3" t="s">
        <v>647</v>
      </c>
      <c r="I61" s="8"/>
    </row>
    <row r="62" spans="2:17" ht="15.6">
      <c r="B62" s="3"/>
      <c r="I62" s="8"/>
    </row>
    <row r="63" spans="2:17" ht="15.6">
      <c r="D63" s="221" t="s">
        <v>694</v>
      </c>
      <c r="E63" s="221" t="s">
        <v>695</v>
      </c>
      <c r="F63" s="221" t="s">
        <v>654</v>
      </c>
      <c r="G63" s="221" t="s">
        <v>655</v>
      </c>
      <c r="H63" s="221" t="s">
        <v>656</v>
      </c>
    </row>
    <row r="64" spans="2:17">
      <c r="B64" s="185" t="s">
        <v>682</v>
      </c>
      <c r="D64" s="202">
        <f>D55</f>
        <v>9.5000000000000001E-2</v>
      </c>
      <c r="E64" s="202">
        <f>E55-0.3%</f>
        <v>9.2999999999999999E-2</v>
      </c>
      <c r="F64" s="202">
        <f>F55-0.3%</f>
        <v>9.5000000000000001E-2</v>
      </c>
      <c r="G64" s="202">
        <f>G55-0.2%</f>
        <v>9.6000000000000002E-2</v>
      </c>
      <c r="H64" s="202">
        <f>H55-0.2%</f>
        <v>9.6000000000000002E-2</v>
      </c>
      <c r="I64" s="2" t="s">
        <v>706</v>
      </c>
    </row>
    <row r="65" spans="2:16">
      <c r="B65" s="185" t="s">
        <v>683</v>
      </c>
      <c r="D65" s="202">
        <f>D56-0.5%</f>
        <v>7.4999999999999997E-2</v>
      </c>
      <c r="E65" s="202">
        <f>E56-0.4%</f>
        <v>7.3999999999999996E-2</v>
      </c>
      <c r="F65" s="202">
        <f>F56-0.4%</f>
        <v>7.1999999999999995E-2</v>
      </c>
      <c r="G65" s="202">
        <f>G56-0.3%</f>
        <v>7.1999999999999995E-2</v>
      </c>
      <c r="H65" s="202">
        <f>H56-0.3%</f>
        <v>7.1999999999999995E-2</v>
      </c>
      <c r="I65" s="2" t="s">
        <v>705</v>
      </c>
    </row>
    <row r="66" spans="2:16">
      <c r="B66" s="185" t="s">
        <v>684</v>
      </c>
      <c r="C66" s="200"/>
      <c r="D66" s="202">
        <f>D57</f>
        <v>0.11</v>
      </c>
      <c r="E66" s="202">
        <f>E57</f>
        <v>0.11</v>
      </c>
      <c r="F66" s="202">
        <f>F57</f>
        <v>0.11</v>
      </c>
      <c r="G66" s="202">
        <f>G57</f>
        <v>0.11</v>
      </c>
      <c r="H66" s="202">
        <f>H57</f>
        <v>0.11</v>
      </c>
      <c r="I66" s="2" t="s">
        <v>704</v>
      </c>
    </row>
    <row r="67" spans="2:16">
      <c r="D67" s="37"/>
      <c r="E67" s="37"/>
      <c r="F67" s="37"/>
      <c r="G67" s="37"/>
      <c r="H67" s="37"/>
    </row>
    <row r="68" spans="2:16" ht="15.6">
      <c r="B68" s="296" t="s">
        <v>699</v>
      </c>
      <c r="C68" s="295"/>
      <c r="D68" s="297">
        <f>SUM(D64:D66)</f>
        <v>0.27999999999999997</v>
      </c>
      <c r="E68" s="297">
        <f t="shared" ref="E68:H68" si="33">SUM(E64:E66)</f>
        <v>0.27699999999999997</v>
      </c>
      <c r="F68" s="297">
        <f t="shared" si="33"/>
        <v>0.27699999999999997</v>
      </c>
      <c r="G68" s="297">
        <f t="shared" si="33"/>
        <v>0.27799999999999997</v>
      </c>
      <c r="H68" s="297">
        <f t="shared" si="33"/>
        <v>0.27799999999999997</v>
      </c>
    </row>
    <row r="70" spans="2:16" ht="15.6">
      <c r="D70" s="3" t="s">
        <v>648</v>
      </c>
    </row>
    <row r="71" spans="2:16" ht="15.6">
      <c r="D71" s="221" t="s">
        <v>694</v>
      </c>
      <c r="E71" s="221" t="s">
        <v>695</v>
      </c>
      <c r="F71" s="221" t="s">
        <v>654</v>
      </c>
      <c r="G71" s="221" t="s">
        <v>655</v>
      </c>
      <c r="H71" s="221" t="s">
        <v>656</v>
      </c>
    </row>
    <row r="72" spans="2:16">
      <c r="B72" s="185" t="s">
        <v>682</v>
      </c>
      <c r="D72" s="202">
        <v>0.1</v>
      </c>
      <c r="E72" s="202">
        <v>0.10199999999999999</v>
      </c>
      <c r="F72" s="202">
        <v>0.105</v>
      </c>
      <c r="G72" s="202">
        <v>0.105</v>
      </c>
      <c r="H72" s="202">
        <v>0.105</v>
      </c>
      <c r="I72" s="2" t="s">
        <v>709</v>
      </c>
    </row>
    <row r="73" spans="2:16">
      <c r="B73" s="185" t="s">
        <v>683</v>
      </c>
      <c r="D73" s="202">
        <f>D56+0.3%</f>
        <v>8.3000000000000004E-2</v>
      </c>
      <c r="E73" s="202">
        <v>0.08</v>
      </c>
      <c r="F73" s="202">
        <v>0.08</v>
      </c>
      <c r="G73" s="202">
        <v>0.08</v>
      </c>
      <c r="H73" s="202">
        <v>7.8E-2</v>
      </c>
      <c r="I73" s="2" t="s">
        <v>710</v>
      </c>
    </row>
    <row r="74" spans="2:16">
      <c r="B74" s="185" t="s">
        <v>684</v>
      </c>
      <c r="C74" s="200"/>
      <c r="D74" s="202">
        <f t="shared" ref="D74:H74" si="34">D57</f>
        <v>0.11</v>
      </c>
      <c r="E74" s="202">
        <f t="shared" si="34"/>
        <v>0.11</v>
      </c>
      <c r="F74" s="202">
        <f t="shared" si="34"/>
        <v>0.11</v>
      </c>
      <c r="G74" s="202">
        <f t="shared" si="34"/>
        <v>0.11</v>
      </c>
      <c r="H74" s="202">
        <f t="shared" si="34"/>
        <v>0.11</v>
      </c>
      <c r="I74" s="2" t="s">
        <v>704</v>
      </c>
    </row>
    <row r="75" spans="2:16">
      <c r="D75" s="37"/>
      <c r="E75" s="37"/>
      <c r="F75" s="37"/>
      <c r="G75" s="37"/>
      <c r="H75" s="37"/>
    </row>
    <row r="76" spans="2:16" ht="15.6">
      <c r="B76" s="296" t="s">
        <v>699</v>
      </c>
      <c r="C76" s="295"/>
      <c r="D76" s="297">
        <f>SUM(D72:D74)</f>
        <v>0.29299999999999998</v>
      </c>
      <c r="E76" s="297">
        <f t="shared" ref="E76:H76" si="35">SUM(E72:E74)</f>
        <v>0.29199999999999998</v>
      </c>
      <c r="F76" s="297">
        <f t="shared" si="35"/>
        <v>0.29499999999999998</v>
      </c>
      <c r="G76" s="297">
        <f t="shared" si="35"/>
        <v>0.29499999999999998</v>
      </c>
      <c r="H76" s="297">
        <f t="shared" si="35"/>
        <v>0.29299999999999998</v>
      </c>
    </row>
    <row r="79" spans="2:16">
      <c r="L79" s="177"/>
      <c r="M79" s="177"/>
      <c r="N79" s="177"/>
      <c r="O79" s="177"/>
      <c r="P79" s="177"/>
    </row>
    <row r="80" spans="2:16">
      <c r="L80" s="177"/>
      <c r="M80" s="177"/>
      <c r="N80" s="177"/>
      <c r="O80" s="177"/>
      <c r="P80" s="177"/>
    </row>
    <row r="81" spans="12:16">
      <c r="L81" s="177"/>
      <c r="M81" s="177"/>
      <c r="N81" s="177"/>
      <c r="O81" s="177"/>
      <c r="P81" s="177"/>
    </row>
  </sheetData>
  <mergeCells count="1">
    <mergeCell ref="I54:L54"/>
  </mergeCells>
  <hyperlinks>
    <hyperlink ref="D22" location="Forecasting!L15" display="DON'T MANAULLY CHANGE THE CASE NUMBER , USE FORECASTING SHEET" xr:uid="{0444A0E7-6D89-4D16-B23C-9B4BE9582A28}"/>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D27CF-395C-4E98-8B0D-1EA7EC4B3613}">
  <sheetPr codeName="Sheet17"/>
  <dimension ref="B1:R36"/>
  <sheetViews>
    <sheetView showGridLines="0" zoomScaleNormal="100" workbookViewId="0">
      <pane ySplit="3" topLeftCell="A4" activePane="bottomLeft" state="frozen"/>
      <selection pane="bottomLeft" activeCell="B1" sqref="B1"/>
    </sheetView>
  </sheetViews>
  <sheetFormatPr defaultColWidth="11.77734375" defaultRowHeight="15"/>
  <cols>
    <col min="1" max="1" width="2.6640625" style="2" customWidth="1"/>
    <col min="2" max="17" width="15.5546875" style="2" customWidth="1"/>
    <col min="18" max="18" width="54.33203125" style="2" customWidth="1"/>
    <col min="19" max="30" width="15.5546875" style="2" customWidth="1"/>
    <col min="31" max="16384" width="11.77734375" style="2"/>
  </cols>
  <sheetData>
    <row r="1" spans="2:18" ht="23.4">
      <c r="B1" s="456" t="s">
        <v>1017</v>
      </c>
      <c r="L1" s="241"/>
    </row>
    <row r="2" spans="2:18" ht="15.6">
      <c r="E2" s="3" t="s">
        <v>82</v>
      </c>
      <c r="G2" s="119" t="s">
        <v>350</v>
      </c>
      <c r="H2" s="119" t="s">
        <v>350</v>
      </c>
      <c r="I2" s="119" t="s">
        <v>350</v>
      </c>
      <c r="J2" s="119" t="s">
        <v>350</v>
      </c>
      <c r="K2" s="119" t="s">
        <v>350</v>
      </c>
      <c r="L2" s="242" t="s">
        <v>350</v>
      </c>
      <c r="M2" s="119" t="s">
        <v>351</v>
      </c>
      <c r="N2" s="119" t="s">
        <v>351</v>
      </c>
      <c r="O2" s="119" t="s">
        <v>351</v>
      </c>
      <c r="P2" s="119" t="s">
        <v>351</v>
      </c>
      <c r="Q2" s="119" t="s">
        <v>351</v>
      </c>
      <c r="R2" s="119"/>
    </row>
    <row r="3" spans="2:18">
      <c r="C3" s="121" t="s">
        <v>770</v>
      </c>
      <c r="D3" s="120"/>
      <c r="E3" s="120"/>
      <c r="F3" s="120"/>
      <c r="G3" s="127" t="s">
        <v>41</v>
      </c>
      <c r="H3" s="127" t="s">
        <v>42</v>
      </c>
      <c r="I3" s="127" t="s">
        <v>43</v>
      </c>
      <c r="J3" s="127" t="s">
        <v>44</v>
      </c>
      <c r="K3" s="127" t="s">
        <v>45</v>
      </c>
      <c r="L3" s="243" t="s">
        <v>46</v>
      </c>
      <c r="M3" s="127" t="s">
        <v>349</v>
      </c>
      <c r="N3" s="127" t="s">
        <v>352</v>
      </c>
      <c r="O3" s="127" t="s">
        <v>353</v>
      </c>
      <c r="P3" s="127" t="s">
        <v>354</v>
      </c>
      <c r="Q3" s="127" t="s">
        <v>355</v>
      </c>
      <c r="R3" s="237" t="s">
        <v>437</v>
      </c>
    </row>
    <row r="4" spans="2:18" ht="15.6">
      <c r="L4" s="244"/>
    </row>
    <row r="5" spans="2:18" ht="15.6">
      <c r="C5" s="3" t="s">
        <v>660</v>
      </c>
      <c r="G5" s="11"/>
      <c r="H5" s="128">
        <f>G7</f>
        <v>1256.18</v>
      </c>
      <c r="I5" s="128">
        <f t="shared" ref="I5:Q5" si="0">H7</f>
        <v>1300.53</v>
      </c>
      <c r="J5" s="128">
        <f t="shared" si="0"/>
        <v>1379.57</v>
      </c>
      <c r="K5" s="128">
        <f t="shared" si="0"/>
        <v>1734.28</v>
      </c>
      <c r="L5" s="245">
        <f t="shared" si="0"/>
        <v>1911.37</v>
      </c>
      <c r="M5" s="128">
        <f t="shared" si="0"/>
        <v>2024.2</v>
      </c>
      <c r="N5" s="128">
        <f>M7</f>
        <v>2155.5163549344934</v>
      </c>
      <c r="O5" s="128">
        <f t="shared" si="0"/>
        <v>2360.891201065986</v>
      </c>
      <c r="P5" s="128">
        <f t="shared" si="0"/>
        <v>2466.2526599237835</v>
      </c>
      <c r="Q5" s="128">
        <f t="shared" si="0"/>
        <v>2688.8066513251042</v>
      </c>
    </row>
    <row r="6" spans="2:18">
      <c r="F6" s="45"/>
      <c r="G6" s="128"/>
      <c r="H6" s="128"/>
      <c r="I6" s="128"/>
      <c r="J6" s="128"/>
      <c r="K6" s="128"/>
      <c r="L6" s="245"/>
      <c r="M6" s="128"/>
      <c r="N6" s="128"/>
      <c r="O6" s="128"/>
      <c r="P6" s="128"/>
      <c r="Q6" s="128"/>
    </row>
    <row r="7" spans="2:18" ht="15.6">
      <c r="C7" s="3" t="s">
        <v>659</v>
      </c>
      <c r="F7" s="154"/>
      <c r="G7" s="128">
        <f>'BS(OUTPUT)'!G24</f>
        <v>1256.18</v>
      </c>
      <c r="H7" s="128">
        <f>'BS(OUTPUT)'!H24</f>
        <v>1300.53</v>
      </c>
      <c r="I7" s="128">
        <f>'BS(OUTPUT)'!I24</f>
        <v>1379.57</v>
      </c>
      <c r="J7" s="128">
        <f>'BS(OUTPUT)'!J24</f>
        <v>1734.28</v>
      </c>
      <c r="K7" s="128">
        <f>'BS(OUTPUT)'!K24</f>
        <v>1911.37</v>
      </c>
      <c r="L7" s="245">
        <f>'BS(OUTPUT)'!L24</f>
        <v>2024.2</v>
      </c>
      <c r="M7" s="128">
        <f>(M15*2)-M5</f>
        <v>2155.5163549344934</v>
      </c>
      <c r="N7" s="128">
        <f t="shared" ref="N7:Q7" si="1">(N15*2)-N5</f>
        <v>2360.891201065986</v>
      </c>
      <c r="O7" s="128">
        <f t="shared" si="1"/>
        <v>2466.2526599237835</v>
      </c>
      <c r="P7" s="128">
        <f t="shared" si="1"/>
        <v>2688.8066513251042</v>
      </c>
      <c r="Q7" s="128">
        <f t="shared" si="1"/>
        <v>2780.0642745333053</v>
      </c>
    </row>
    <row r="8" spans="2:18">
      <c r="F8" s="45"/>
      <c r="G8" s="128"/>
      <c r="H8" s="128"/>
      <c r="I8" s="128"/>
      <c r="J8" s="128"/>
      <c r="K8" s="128"/>
      <c r="L8" s="245"/>
      <c r="M8" s="128"/>
      <c r="N8" s="128"/>
      <c r="O8" s="128"/>
      <c r="P8" s="128"/>
      <c r="Q8" s="128"/>
    </row>
    <row r="9" spans="2:18" ht="15.6">
      <c r="C9" s="3" t="s">
        <v>661</v>
      </c>
      <c r="F9" s="45"/>
      <c r="G9" s="128" t="s">
        <v>158</v>
      </c>
      <c r="H9" s="128">
        <f>H7-H5</f>
        <v>44.349999999999909</v>
      </c>
      <c r="I9" s="128">
        <f t="shared" ref="I9:Q9" si="2">I7-I5</f>
        <v>79.039999999999964</v>
      </c>
      <c r="J9" s="128">
        <f t="shared" si="2"/>
        <v>354.71000000000004</v>
      </c>
      <c r="K9" s="128">
        <f t="shared" si="2"/>
        <v>177.08999999999992</v>
      </c>
      <c r="L9" s="166">
        <f t="shared" si="2"/>
        <v>112.83000000000015</v>
      </c>
      <c r="M9" s="128">
        <f t="shared" si="2"/>
        <v>131.31635493449335</v>
      </c>
      <c r="N9" s="128">
        <f t="shared" si="2"/>
        <v>205.37484613149263</v>
      </c>
      <c r="O9" s="128">
        <f t="shared" si="2"/>
        <v>105.36145885779752</v>
      </c>
      <c r="P9" s="128">
        <f t="shared" si="2"/>
        <v>222.55399140132067</v>
      </c>
      <c r="Q9" s="128">
        <f t="shared" si="2"/>
        <v>91.257623208201039</v>
      </c>
    </row>
    <row r="10" spans="2:18">
      <c r="F10" s="45"/>
      <c r="G10" s="128"/>
      <c r="H10" s="128"/>
      <c r="I10" s="128"/>
      <c r="J10" s="128"/>
      <c r="K10" s="128"/>
      <c r="L10" s="166"/>
      <c r="M10" s="128"/>
      <c r="N10" s="128"/>
      <c r="O10" s="128"/>
      <c r="P10" s="128"/>
      <c r="Q10" s="128"/>
    </row>
    <row r="11" spans="2:18" ht="15.6">
      <c r="F11" s="246" t="s">
        <v>662</v>
      </c>
      <c r="G11" s="28"/>
      <c r="H11" s="28" t="str">
        <f>IF(H9='CASH FLOW(OUTPUT)'!H17*-1,"OK","ERROR")</f>
        <v>OK</v>
      </c>
      <c r="I11" s="28" t="str">
        <f>IF(I9='CASH FLOW(OUTPUT)'!I17*-1,"OK","ERROR")</f>
        <v>OK</v>
      </c>
      <c r="J11" s="28" t="str">
        <f>IF(J9='CASH FLOW(OUTPUT)'!J17*-1,"OK","ERROR")</f>
        <v>OK</v>
      </c>
      <c r="K11" s="28" t="str">
        <f>IF(K9='CASH FLOW(OUTPUT)'!K17*-1,"OK","ERROR")</f>
        <v>OK</v>
      </c>
      <c r="L11" s="176" t="str">
        <f>IF(L9='CASH FLOW(OUTPUT)'!L17*-1,"OK","ERROR")</f>
        <v>OK</v>
      </c>
      <c r="M11" s="28" t="str">
        <f>IF(M9='CASH FLOW(OUTPUT)'!M17*-1,"OK","ERROR")</f>
        <v>OK</v>
      </c>
      <c r="N11" s="28" t="str">
        <f>IF(N9='CASH FLOW(OUTPUT)'!N17*-1,"OK","ERROR")</f>
        <v>OK</v>
      </c>
      <c r="O11" s="28" t="str">
        <f>IF(O9='CASH FLOW(OUTPUT)'!O17*-1,"OK","ERROR")</f>
        <v>OK</v>
      </c>
      <c r="P11" s="28" t="str">
        <f>IF(P9='CASH FLOW(OUTPUT)'!P17*-1,"OK","ERROR")</f>
        <v>OK</v>
      </c>
      <c r="Q11" s="28" t="str">
        <f>IF(Q9='CASH FLOW(OUTPUT)'!Q17*-1,"OK","ERROR")</f>
        <v>OK</v>
      </c>
    </row>
    <row r="12" spans="2:18">
      <c r="F12" s="45"/>
      <c r="G12" s="128"/>
      <c r="H12" s="128"/>
      <c r="I12" s="128"/>
      <c r="J12" s="128"/>
      <c r="K12" s="128"/>
      <c r="L12" s="166"/>
      <c r="M12" s="128"/>
      <c r="N12" s="128"/>
      <c r="O12" s="128"/>
      <c r="P12" s="128"/>
      <c r="Q12" s="128"/>
    </row>
    <row r="13" spans="2:18" ht="15.6">
      <c r="C13" s="3" t="s">
        <v>663</v>
      </c>
      <c r="F13" s="45"/>
      <c r="H13" s="247">
        <f>'Ratio analysis'!I79</f>
        <v>3.3566341118077525</v>
      </c>
      <c r="I13" s="247">
        <f>'Ratio analysis'!J79</f>
        <v>3.2396477743367784</v>
      </c>
      <c r="J13" s="247">
        <f>'Ratio analysis'!K79</f>
        <v>3.0662427541467956</v>
      </c>
      <c r="K13" s="247">
        <f>'Ratio analysis'!L79</f>
        <v>3.0939283803985571</v>
      </c>
      <c r="L13" s="299">
        <f>'Ratio analysis'!M79</f>
        <v>3.1856478222976596</v>
      </c>
      <c r="M13" s="247">
        <f>AVERAGE(H13:L13)</f>
        <v>3.1884201685975087</v>
      </c>
      <c r="N13" s="247">
        <f>M13</f>
        <v>3.1884201685975087</v>
      </c>
      <c r="O13" s="247">
        <f t="shared" ref="O13:Q13" si="3">N13</f>
        <v>3.1884201685975087</v>
      </c>
      <c r="P13" s="247">
        <f t="shared" si="3"/>
        <v>3.1884201685975087</v>
      </c>
      <c r="Q13" s="247">
        <f t="shared" si="3"/>
        <v>3.1884201685975087</v>
      </c>
      <c r="R13" s="2" t="s">
        <v>719</v>
      </c>
    </row>
    <row r="14" spans="2:18">
      <c r="F14" s="45"/>
      <c r="G14" s="128"/>
      <c r="H14" s="128"/>
      <c r="I14" s="128"/>
      <c r="J14" s="128"/>
      <c r="K14" s="128"/>
      <c r="L14" s="245"/>
      <c r="M14" s="128"/>
      <c r="N14" s="128"/>
      <c r="O14" s="128"/>
      <c r="P14" s="128"/>
      <c r="Q14" s="128"/>
    </row>
    <row r="15" spans="2:18" ht="15.6">
      <c r="C15" s="3" t="s">
        <v>664</v>
      </c>
      <c r="F15" s="45"/>
      <c r="G15" s="128"/>
      <c r="H15" s="128">
        <f>COGS!H10/Inventory!H13</f>
        <v>1278.3550000000002</v>
      </c>
      <c r="I15" s="128">
        <f>COGS!I10/Inventory!I13</f>
        <v>1340.05</v>
      </c>
      <c r="J15" s="128">
        <f>COGS!J10/Inventory!J13</f>
        <v>1556.925</v>
      </c>
      <c r="K15" s="128">
        <f>COGS!K10/Inventory!K13</f>
        <v>1822.8249999999998</v>
      </c>
      <c r="L15" s="166">
        <f>COGS!L10/Inventory!L13</f>
        <v>1967.7850000000001</v>
      </c>
      <c r="M15" s="128">
        <f>COGS!M10/Inventory!M13</f>
        <v>2089.8581774672466</v>
      </c>
      <c r="N15" s="128">
        <f>COGS!N10/Inventory!N13</f>
        <v>2258.2037780002397</v>
      </c>
      <c r="O15" s="128">
        <f>COGS!O10/Inventory!O13</f>
        <v>2413.5719304948848</v>
      </c>
      <c r="P15" s="128">
        <f>COGS!P10/Inventory!P13</f>
        <v>2577.5296556244439</v>
      </c>
      <c r="Q15" s="128">
        <f>COGS!Q10/Inventory!Q13</f>
        <v>2734.4354629292047</v>
      </c>
    </row>
    <row r="16" spans="2:18">
      <c r="F16" s="45"/>
      <c r="G16" s="128"/>
      <c r="H16" s="128"/>
      <c r="I16" s="128"/>
      <c r="J16" s="128"/>
      <c r="K16" s="128"/>
      <c r="L16" s="245"/>
      <c r="M16" s="128"/>
      <c r="N16" s="128"/>
      <c r="O16" s="128"/>
      <c r="P16" s="128"/>
      <c r="Q16" s="128"/>
    </row>
    <row r="17" spans="2:17" ht="15.6">
      <c r="F17" s="246" t="s">
        <v>662</v>
      </c>
      <c r="G17" s="28"/>
      <c r="H17" s="28" t="str">
        <f>IF(H15='Ratio analysis'!I41,"OK","ERROR")</f>
        <v>OK</v>
      </c>
      <c r="I17" s="28" t="str">
        <f>IF(I15='Ratio analysis'!J41,"OK","ERROR")</f>
        <v>OK</v>
      </c>
      <c r="J17" s="28" t="str">
        <f>IF(J15='Ratio analysis'!K41,"OK","ERROR")</f>
        <v>OK</v>
      </c>
      <c r="K17" s="28" t="str">
        <f>IF(K15='Ratio analysis'!L41,"OK","ERROR")</f>
        <v>OK</v>
      </c>
      <c r="L17" s="176" t="str">
        <f>IF(L15='Ratio analysis'!M41,"OK","ERROR")</f>
        <v>OK</v>
      </c>
      <c r="M17" s="28" t="str">
        <f>IF(M15='Ratio analysis'!N41,"OK","ERROR")</f>
        <v>OK</v>
      </c>
      <c r="N17" s="28" t="str">
        <f>IF(N15='Ratio analysis'!O41,"OK","ERROR")</f>
        <v>OK</v>
      </c>
      <c r="O17" s="28" t="str">
        <f>IF(O15='Ratio analysis'!P41,"OK","ERROR")</f>
        <v>OK</v>
      </c>
      <c r="P17" s="28" t="str">
        <f>IF(P15='Ratio analysis'!Q41,"OK","ERROR")</f>
        <v>OK</v>
      </c>
      <c r="Q17" s="28" t="str">
        <f>IF(Q15='Ratio analysis'!R41,"OK","ERROR")</f>
        <v>OK</v>
      </c>
    </row>
    <row r="18" spans="2:17">
      <c r="F18" s="45"/>
      <c r="G18" s="128"/>
      <c r="H18" s="128"/>
      <c r="I18" s="128"/>
      <c r="J18" s="128"/>
      <c r="K18" s="128"/>
      <c r="L18" s="245"/>
      <c r="M18" s="128"/>
      <c r="N18" s="128"/>
      <c r="O18" s="128"/>
      <c r="P18" s="128"/>
      <c r="Q18" s="128"/>
    </row>
    <row r="19" spans="2:17">
      <c r="F19" s="45"/>
      <c r="G19" s="128"/>
      <c r="H19" s="128"/>
      <c r="I19" s="128"/>
      <c r="J19" s="128"/>
      <c r="K19" s="128"/>
      <c r="L19" s="245"/>
      <c r="M19" s="128"/>
      <c r="N19" s="128"/>
      <c r="O19" s="128"/>
      <c r="P19" s="128"/>
      <c r="Q19" s="128"/>
    </row>
    <row r="20" spans="2:17">
      <c r="F20" s="45"/>
      <c r="G20" s="128"/>
      <c r="H20" s="128"/>
      <c r="I20" s="128"/>
      <c r="J20" s="128"/>
      <c r="K20" s="128"/>
      <c r="L20" s="128"/>
      <c r="M20" s="128"/>
      <c r="N20" s="128"/>
      <c r="O20" s="128"/>
      <c r="P20" s="128"/>
      <c r="Q20" s="128"/>
    </row>
    <row r="21" spans="2:17" ht="15.6">
      <c r="B21" s="3" t="s">
        <v>343</v>
      </c>
      <c r="C21" s="2" t="s">
        <v>711</v>
      </c>
      <c r="G21" s="128"/>
      <c r="H21" s="128"/>
      <c r="I21" s="128"/>
      <c r="J21" s="128"/>
      <c r="K21" s="128"/>
      <c r="L21" s="128"/>
      <c r="M21" s="128"/>
      <c r="N21" s="128"/>
      <c r="O21" s="128"/>
      <c r="P21" s="128"/>
      <c r="Q21" s="128"/>
    </row>
    <row r="22" spans="2:17" ht="15.6">
      <c r="B22" s="3"/>
      <c r="F22" s="45"/>
      <c r="G22" s="128"/>
      <c r="H22" s="128"/>
      <c r="I22" s="128"/>
      <c r="J22" s="128"/>
      <c r="K22" s="128"/>
      <c r="L22" s="128"/>
      <c r="M22" s="128"/>
      <c r="N22" s="128"/>
      <c r="O22" s="128"/>
      <c r="P22" s="128"/>
      <c r="Q22" s="128"/>
    </row>
    <row r="23" spans="2:17">
      <c r="F23" s="45"/>
      <c r="G23" s="128"/>
      <c r="H23" s="128"/>
      <c r="I23" s="128"/>
      <c r="J23" s="128"/>
      <c r="K23" s="128"/>
      <c r="L23" s="128"/>
      <c r="M23" s="128"/>
      <c r="N23" s="128"/>
      <c r="O23" s="128"/>
      <c r="P23" s="128"/>
      <c r="Q23" s="128"/>
    </row>
    <row r="24" spans="2:17" ht="15.6">
      <c r="B24" s="3" t="s">
        <v>712</v>
      </c>
      <c r="C24" s="2" t="s">
        <v>713</v>
      </c>
      <c r="E24" s="45"/>
      <c r="F24" s="128"/>
      <c r="G24" s="128"/>
      <c r="H24" s="128"/>
      <c r="I24" s="128"/>
      <c r="J24" s="128"/>
      <c r="K24" s="128"/>
      <c r="L24" s="128"/>
      <c r="M24" s="128"/>
      <c r="N24" s="128"/>
      <c r="O24" s="128"/>
      <c r="P24" s="128"/>
      <c r="Q24" s="128"/>
    </row>
    <row r="25" spans="2:17">
      <c r="J25" s="128"/>
      <c r="K25" s="128"/>
      <c r="L25" s="128"/>
      <c r="M25" s="128"/>
      <c r="N25" s="128"/>
      <c r="O25" s="128"/>
      <c r="P25" s="128"/>
      <c r="Q25" s="128"/>
    </row>
    <row r="26" spans="2:17">
      <c r="F26" s="45"/>
      <c r="G26" s="128"/>
      <c r="H26" s="128"/>
      <c r="I26" s="128"/>
      <c r="J26" s="128"/>
      <c r="K26" s="128"/>
      <c r="L26" s="128"/>
      <c r="M26" s="128"/>
      <c r="N26" s="128"/>
      <c r="O26" s="128"/>
      <c r="P26" s="128"/>
      <c r="Q26" s="128"/>
    </row>
    <row r="27" spans="2:17">
      <c r="F27" s="45"/>
      <c r="G27" s="128"/>
      <c r="H27" s="128"/>
      <c r="I27" s="128"/>
      <c r="J27" s="128"/>
      <c r="K27" s="128"/>
      <c r="L27" s="128"/>
      <c r="M27" s="128"/>
      <c r="N27" s="128"/>
      <c r="O27" s="128"/>
      <c r="P27" s="128"/>
      <c r="Q27" s="128"/>
    </row>
    <row r="28" spans="2:17">
      <c r="F28" s="45"/>
      <c r="G28" s="128"/>
      <c r="H28" s="128"/>
      <c r="I28" s="128"/>
      <c r="J28" s="128"/>
      <c r="K28" s="128"/>
      <c r="L28" s="128"/>
      <c r="M28" s="128"/>
      <c r="N28" s="128"/>
      <c r="O28" s="128"/>
      <c r="P28" s="128"/>
      <c r="Q28" s="128"/>
    </row>
    <row r="29" spans="2:17">
      <c r="F29" s="45"/>
      <c r="G29" s="128"/>
      <c r="H29" s="128"/>
      <c r="I29" s="128"/>
      <c r="J29" s="128"/>
      <c r="K29" s="128"/>
      <c r="L29" s="128"/>
      <c r="M29" s="128"/>
      <c r="N29" s="128"/>
      <c r="O29" s="128"/>
      <c r="P29" s="128"/>
      <c r="Q29" s="128"/>
    </row>
    <row r="30" spans="2:17">
      <c r="F30" s="45"/>
      <c r="G30" s="128"/>
      <c r="H30" s="128"/>
      <c r="I30" s="128"/>
      <c r="J30" s="128"/>
      <c r="K30" s="128"/>
      <c r="L30" s="128"/>
      <c r="M30" s="128"/>
      <c r="N30" s="128"/>
      <c r="O30" s="128"/>
      <c r="P30" s="128"/>
      <c r="Q30" s="128"/>
    </row>
    <row r="31" spans="2:17">
      <c r="F31" s="45"/>
      <c r="G31" s="128"/>
      <c r="H31" s="128"/>
      <c r="I31" s="128"/>
      <c r="J31" s="128"/>
      <c r="K31" s="128"/>
      <c r="L31" s="128"/>
      <c r="M31" s="128"/>
      <c r="N31" s="128"/>
      <c r="O31" s="128"/>
      <c r="P31" s="128"/>
      <c r="Q31" s="128"/>
    </row>
    <row r="32" spans="2:17">
      <c r="F32" s="45"/>
      <c r="G32" s="128"/>
      <c r="H32" s="128"/>
      <c r="I32" s="128"/>
      <c r="J32" s="128"/>
      <c r="K32" s="128"/>
      <c r="L32" s="128"/>
      <c r="M32" s="128"/>
      <c r="N32" s="128"/>
      <c r="O32" s="128"/>
      <c r="P32" s="128"/>
      <c r="Q32" s="128"/>
    </row>
    <row r="33" spans="6:17">
      <c r="F33" s="45"/>
      <c r="G33" s="128"/>
      <c r="H33" s="128"/>
      <c r="I33" s="128"/>
      <c r="J33" s="128"/>
      <c r="K33" s="128"/>
      <c r="L33" s="128"/>
      <c r="M33" s="128"/>
      <c r="N33" s="128"/>
      <c r="O33" s="128"/>
      <c r="P33" s="128"/>
      <c r="Q33" s="128"/>
    </row>
    <row r="34" spans="6:17">
      <c r="F34" s="45"/>
      <c r="G34" s="128"/>
      <c r="H34" s="128"/>
      <c r="I34" s="128"/>
      <c r="J34" s="128"/>
      <c r="K34" s="128"/>
      <c r="L34" s="128"/>
      <c r="M34" s="128"/>
      <c r="N34" s="128"/>
      <c r="O34" s="128"/>
      <c r="P34" s="128"/>
      <c r="Q34" s="128"/>
    </row>
    <row r="35" spans="6:17">
      <c r="F35" s="45"/>
      <c r="G35" s="128"/>
      <c r="H35" s="128"/>
      <c r="I35" s="128"/>
      <c r="J35" s="128"/>
      <c r="K35" s="128"/>
      <c r="L35" s="128"/>
      <c r="M35" s="128"/>
      <c r="N35" s="128"/>
      <c r="O35" s="128"/>
      <c r="P35" s="128"/>
      <c r="Q35" s="128"/>
    </row>
    <row r="36" spans="6:17">
      <c r="F36" s="45"/>
      <c r="G36" s="45"/>
      <c r="H36" s="45"/>
      <c r="I36" s="45"/>
      <c r="J36" s="45"/>
      <c r="K36" s="45"/>
      <c r="L36" s="45"/>
      <c r="M36" s="45"/>
      <c r="N36" s="45"/>
      <c r="O36" s="45"/>
      <c r="P36" s="45"/>
      <c r="Q36" s="45"/>
    </row>
  </sheetData>
  <hyperlinks>
    <hyperlink ref="B1" location="Forecasting!L15" display="Forecasting sheet Link" xr:uid="{9B844D68-0578-4B46-808B-D223942EE8E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43E5-76A1-440B-B1B9-92A5783F95FB}">
  <sheetPr codeName="Sheet18"/>
  <dimension ref="A1:S46"/>
  <sheetViews>
    <sheetView showGridLines="0" zoomScaleNormal="100" workbookViewId="0">
      <pane ySplit="3" topLeftCell="A4" activePane="bottomLeft" state="frozen"/>
      <selection pane="bottomLeft" activeCell="E27" sqref="E27"/>
    </sheetView>
  </sheetViews>
  <sheetFormatPr defaultColWidth="11.77734375" defaultRowHeight="15"/>
  <cols>
    <col min="1" max="1" width="2.6640625" style="2" customWidth="1"/>
    <col min="2" max="17" width="15.5546875" style="2" customWidth="1"/>
    <col min="18" max="18" width="64.77734375" style="2" customWidth="1"/>
    <col min="19" max="30" width="15.5546875" style="2" customWidth="1"/>
    <col min="31" max="16384" width="11.77734375" style="2"/>
  </cols>
  <sheetData>
    <row r="1" spans="2:18" ht="23.4">
      <c r="B1" s="456" t="s">
        <v>1017</v>
      </c>
      <c r="L1" s="241"/>
    </row>
    <row r="2" spans="2:18" ht="15.6">
      <c r="E2" s="3" t="s">
        <v>82</v>
      </c>
      <c r="G2" s="119" t="s">
        <v>350</v>
      </c>
      <c r="H2" s="119" t="s">
        <v>350</v>
      </c>
      <c r="I2" s="119" t="s">
        <v>350</v>
      </c>
      <c r="J2" s="119" t="s">
        <v>350</v>
      </c>
      <c r="K2" s="119" t="s">
        <v>350</v>
      </c>
      <c r="L2" s="242" t="s">
        <v>350</v>
      </c>
      <c r="M2" s="119" t="s">
        <v>351</v>
      </c>
      <c r="N2" s="119" t="s">
        <v>351</v>
      </c>
      <c r="O2" s="119" t="s">
        <v>351</v>
      </c>
      <c r="P2" s="119" t="s">
        <v>351</v>
      </c>
      <c r="Q2" s="119" t="s">
        <v>351</v>
      </c>
      <c r="R2" s="119"/>
    </row>
    <row r="3" spans="2:18">
      <c r="C3" s="121" t="s">
        <v>721</v>
      </c>
      <c r="D3" s="120"/>
      <c r="E3" s="120"/>
      <c r="F3" s="120"/>
      <c r="G3" s="127" t="s">
        <v>41</v>
      </c>
      <c r="H3" s="127" t="s">
        <v>42</v>
      </c>
      <c r="I3" s="127" t="s">
        <v>43</v>
      </c>
      <c r="J3" s="127" t="s">
        <v>44</v>
      </c>
      <c r="K3" s="127" t="s">
        <v>45</v>
      </c>
      <c r="L3" s="243" t="s">
        <v>46</v>
      </c>
      <c r="M3" s="127" t="s">
        <v>349</v>
      </c>
      <c r="N3" s="127" t="s">
        <v>352</v>
      </c>
      <c r="O3" s="127" t="s">
        <v>353</v>
      </c>
      <c r="P3" s="127" t="s">
        <v>354</v>
      </c>
      <c r="Q3" s="127" t="s">
        <v>355</v>
      </c>
      <c r="R3" s="237" t="s">
        <v>437</v>
      </c>
    </row>
    <row r="4" spans="2:18" ht="15.6">
      <c r="L4" s="244"/>
    </row>
    <row r="5" spans="2:18" ht="15.6">
      <c r="B5" s="125" t="s">
        <v>714</v>
      </c>
      <c r="D5" s="59"/>
      <c r="E5" s="59"/>
      <c r="F5" s="59"/>
      <c r="G5" s="62"/>
      <c r="H5" s="63"/>
      <c r="I5" s="63"/>
      <c r="J5" s="63"/>
      <c r="K5" s="63"/>
      <c r="L5" s="300"/>
      <c r="M5" s="63"/>
      <c r="N5" s="63"/>
      <c r="O5" s="63"/>
      <c r="P5" s="63"/>
      <c r="Q5" s="63"/>
      <c r="R5" s="59"/>
    </row>
    <row r="6" spans="2:18">
      <c r="C6" s="59"/>
      <c r="D6" s="59"/>
      <c r="E6" s="59"/>
      <c r="F6" s="74"/>
      <c r="G6" s="63"/>
      <c r="H6" s="63"/>
      <c r="I6" s="63"/>
      <c r="J6" s="63"/>
      <c r="K6" s="63"/>
      <c r="L6" s="300"/>
      <c r="M6" s="63"/>
      <c r="N6" s="63"/>
      <c r="O6" s="63"/>
      <c r="P6" s="63"/>
      <c r="Q6" s="63"/>
      <c r="R6" s="59"/>
    </row>
    <row r="7" spans="2:18" ht="15.6">
      <c r="C7" s="125" t="s">
        <v>715</v>
      </c>
      <c r="D7" s="59"/>
      <c r="E7" s="59"/>
      <c r="F7" s="301"/>
      <c r="G7" s="63"/>
      <c r="H7" s="63">
        <f>G9</f>
        <v>706.08</v>
      </c>
      <c r="I7" s="63">
        <f t="shared" ref="I7:Q7" si="0">H9</f>
        <v>833.56</v>
      </c>
      <c r="J7" s="63">
        <f t="shared" si="0"/>
        <v>813.89</v>
      </c>
      <c r="K7" s="63">
        <f t="shared" si="0"/>
        <v>561.58000000000004</v>
      </c>
      <c r="L7" s="172">
        <f t="shared" si="0"/>
        <v>646.15</v>
      </c>
      <c r="M7" s="63">
        <f t="shared" si="0"/>
        <v>848.75</v>
      </c>
      <c r="N7" s="63">
        <f t="shared" si="0"/>
        <v>984.18329700525373</v>
      </c>
      <c r="O7" s="63">
        <f t="shared" si="0"/>
        <v>1023.0456933367236</v>
      </c>
      <c r="P7" s="63">
        <f t="shared" si="0"/>
        <v>1134.7254712809022</v>
      </c>
      <c r="Q7" s="63">
        <f t="shared" si="0"/>
        <v>1174.0896748599575</v>
      </c>
      <c r="R7" s="59"/>
    </row>
    <row r="8" spans="2:18">
      <c r="C8" s="59"/>
      <c r="D8" s="59"/>
      <c r="E8" s="59"/>
      <c r="F8" s="74"/>
      <c r="G8" s="63"/>
      <c r="H8" s="63"/>
      <c r="I8" s="63"/>
      <c r="J8" s="63"/>
      <c r="K8" s="63"/>
      <c r="L8" s="172"/>
      <c r="M8" s="63"/>
      <c r="N8" s="63"/>
      <c r="O8" s="63"/>
      <c r="P8" s="63"/>
      <c r="Q8" s="63"/>
      <c r="R8" s="59"/>
    </row>
    <row r="9" spans="2:18" ht="15.6">
      <c r="C9" s="125" t="s">
        <v>716</v>
      </c>
      <c r="D9" s="59"/>
      <c r="E9" s="59"/>
      <c r="F9" s="74"/>
      <c r="G9" s="63">
        <f>'BS(OUTPUT)'!G27</f>
        <v>706.08</v>
      </c>
      <c r="H9" s="63">
        <f>'BS(OUTPUT)'!H27</f>
        <v>833.56</v>
      </c>
      <c r="I9" s="63">
        <f>'BS(OUTPUT)'!I27</f>
        <v>813.89</v>
      </c>
      <c r="J9" s="63">
        <f>'BS(OUTPUT)'!J27</f>
        <v>561.58000000000004</v>
      </c>
      <c r="K9" s="63">
        <f>'BS(OUTPUT)'!K27</f>
        <v>646.15</v>
      </c>
      <c r="L9" s="172">
        <f>'BS(OUTPUT)'!L27</f>
        <v>848.75</v>
      </c>
      <c r="M9" s="63">
        <f>(M17*2)-M7</f>
        <v>984.18329700525373</v>
      </c>
      <c r="N9" s="63">
        <f t="shared" ref="N9:Q9" si="1">(N17*2)-N7</f>
        <v>1023.0456933367236</v>
      </c>
      <c r="O9" s="63">
        <f t="shared" si="1"/>
        <v>1134.7254712809022</v>
      </c>
      <c r="P9" s="63">
        <f t="shared" si="1"/>
        <v>1174.0896748599575</v>
      </c>
      <c r="Q9" s="63">
        <f t="shared" si="1"/>
        <v>1284.7984557800582</v>
      </c>
      <c r="R9" s="59"/>
    </row>
    <row r="10" spans="2:18">
      <c r="C10" s="59"/>
      <c r="D10" s="59"/>
      <c r="E10" s="59"/>
      <c r="F10" s="74"/>
      <c r="G10" s="63"/>
      <c r="H10" s="63"/>
      <c r="I10" s="63"/>
      <c r="J10" s="63"/>
      <c r="K10" s="63"/>
      <c r="L10" s="172"/>
      <c r="M10" s="63"/>
      <c r="N10" s="63"/>
      <c r="O10" s="63"/>
      <c r="P10" s="63"/>
      <c r="Q10" s="63"/>
      <c r="R10" s="59"/>
    </row>
    <row r="11" spans="2:18" ht="15.6">
      <c r="C11" s="125" t="s">
        <v>717</v>
      </c>
      <c r="D11" s="59"/>
      <c r="E11" s="59"/>
      <c r="F11" s="302"/>
      <c r="G11" s="63" t="s">
        <v>158</v>
      </c>
      <c r="H11" s="63">
        <f>H9-H7</f>
        <v>127.4799999999999</v>
      </c>
      <c r="I11" s="63">
        <f t="shared" ref="I11:Q11" si="2">I9-I7</f>
        <v>-19.669999999999959</v>
      </c>
      <c r="J11" s="63">
        <f t="shared" si="2"/>
        <v>-252.30999999999995</v>
      </c>
      <c r="K11" s="63">
        <f t="shared" si="2"/>
        <v>84.569999999999936</v>
      </c>
      <c r="L11" s="172">
        <f t="shared" si="2"/>
        <v>202.60000000000002</v>
      </c>
      <c r="M11" s="63">
        <f t="shared" si="2"/>
        <v>135.43329700525373</v>
      </c>
      <c r="N11" s="63">
        <f t="shared" si="2"/>
        <v>38.862396331469881</v>
      </c>
      <c r="O11" s="63">
        <f t="shared" si="2"/>
        <v>111.67977794417857</v>
      </c>
      <c r="P11" s="63">
        <f t="shared" si="2"/>
        <v>39.364203579055356</v>
      </c>
      <c r="Q11" s="63">
        <f t="shared" si="2"/>
        <v>110.70878092010071</v>
      </c>
      <c r="R11" s="59"/>
    </row>
    <row r="12" spans="2:18">
      <c r="C12" s="59"/>
      <c r="D12" s="59"/>
      <c r="E12" s="59"/>
      <c r="F12" s="74"/>
      <c r="G12" s="63"/>
      <c r="H12" s="63"/>
      <c r="I12" s="63"/>
      <c r="J12" s="63"/>
      <c r="K12" s="63"/>
      <c r="L12" s="172"/>
      <c r="M12" s="63"/>
      <c r="N12" s="63"/>
      <c r="O12" s="63"/>
      <c r="P12" s="63"/>
      <c r="Q12" s="63"/>
      <c r="R12" s="59"/>
    </row>
    <row r="13" spans="2:18" ht="15.6">
      <c r="C13" s="125"/>
      <c r="D13" s="59"/>
      <c r="E13" s="59"/>
      <c r="F13" s="74"/>
      <c r="G13" s="305" t="s">
        <v>662</v>
      </c>
      <c r="H13" s="303" t="str">
        <f>IF(H11='CASH FLOW(OUTPUT)'!H18*-1,"OK","ERROR")</f>
        <v>OK</v>
      </c>
      <c r="I13" s="303" t="str">
        <f>IF(I11='CASH FLOW(OUTPUT)'!I18*-1,"OK","ERROR")</f>
        <v>OK</v>
      </c>
      <c r="J13" s="303" t="str">
        <f>IF(J11='CASH FLOW(OUTPUT)'!J18*-1,"OK","ERROR")</f>
        <v>OK</v>
      </c>
      <c r="K13" s="303" t="str">
        <f>IF(K11='CASH FLOW(OUTPUT)'!K18*-1,"OK","ERROR")</f>
        <v>OK</v>
      </c>
      <c r="L13" s="304" t="str">
        <f>IF(L11='CASH FLOW(OUTPUT)'!L18*-1,"OK","ERROR")</f>
        <v>OK</v>
      </c>
      <c r="M13" s="303" t="str">
        <f>IF(M11='CASH FLOW(OUTPUT)'!M18*-1,"OK","ERROR")</f>
        <v>OK</v>
      </c>
      <c r="N13" s="303" t="str">
        <f>IF(N11='CASH FLOW(OUTPUT)'!N18*-1,"OK","ERROR")</f>
        <v>OK</v>
      </c>
      <c r="O13" s="303" t="str">
        <f>IF(O11='CASH FLOW(OUTPUT)'!O18*-1,"OK","ERROR")</f>
        <v>OK</v>
      </c>
      <c r="P13" s="303" t="str">
        <f>IF(P11='CASH FLOW(OUTPUT)'!P18*-1,"OK","ERROR")</f>
        <v>OK</v>
      </c>
      <c r="Q13" s="303" t="str">
        <f>IF(Q11='CASH FLOW(OUTPUT)'!Q18*-1,"OK","ERROR")</f>
        <v>OK</v>
      </c>
      <c r="R13" s="59"/>
    </row>
    <row r="14" spans="2:18">
      <c r="C14" s="59"/>
      <c r="D14" s="59"/>
      <c r="E14" s="59"/>
      <c r="F14" s="74"/>
      <c r="G14" s="63"/>
      <c r="H14" s="63"/>
      <c r="I14" s="63"/>
      <c r="J14" s="63"/>
      <c r="K14" s="63"/>
      <c r="L14" s="172"/>
      <c r="M14" s="63"/>
      <c r="N14" s="63"/>
      <c r="O14" s="63"/>
      <c r="P14" s="63"/>
      <c r="Q14" s="63"/>
      <c r="R14" s="59"/>
    </row>
    <row r="15" spans="2:18" ht="15.6">
      <c r="C15" s="125" t="s">
        <v>718</v>
      </c>
      <c r="D15" s="59"/>
      <c r="E15" s="59"/>
      <c r="F15" s="74"/>
      <c r="G15" s="63"/>
      <c r="H15" s="306">
        <f>'Ratio analysis'!I80</f>
        <v>11.061014263074485</v>
      </c>
      <c r="I15" s="306">
        <f>'Ratio analysis'!J80</f>
        <v>10.543130292269872</v>
      </c>
      <c r="J15" s="306">
        <f>'Ratio analysis'!K80</f>
        <v>13.881218783397674</v>
      </c>
      <c r="K15" s="306">
        <f>'Ratio analysis'!L80</f>
        <v>18.031646146075698</v>
      </c>
      <c r="L15" s="307">
        <f>'Ratio analysis'!M80</f>
        <v>15.425633821660311</v>
      </c>
      <c r="M15" s="306">
        <f>AVERAGE(H15:L15)</f>
        <v>13.78852866129561</v>
      </c>
      <c r="N15" s="306">
        <f>M15</f>
        <v>13.78852866129561</v>
      </c>
      <c r="O15" s="306">
        <f t="shared" ref="O15:Q15" si="3">N15</f>
        <v>13.78852866129561</v>
      </c>
      <c r="P15" s="306">
        <f t="shared" si="3"/>
        <v>13.78852866129561</v>
      </c>
      <c r="Q15" s="306">
        <f t="shared" si="3"/>
        <v>13.78852866129561</v>
      </c>
      <c r="R15" s="59" t="s">
        <v>720</v>
      </c>
    </row>
    <row r="16" spans="2:18">
      <c r="C16" s="59"/>
      <c r="D16" s="59"/>
      <c r="E16" s="59"/>
      <c r="F16" s="74"/>
      <c r="G16" s="63"/>
      <c r="H16" s="63"/>
      <c r="I16" s="63"/>
      <c r="J16" s="63"/>
      <c r="K16" s="63"/>
      <c r="L16" s="172"/>
      <c r="M16" s="63"/>
      <c r="N16" s="63"/>
      <c r="O16" s="63"/>
      <c r="P16" s="63"/>
      <c r="Q16" s="63"/>
      <c r="R16" s="59"/>
    </row>
    <row r="17" spans="1:19" ht="15.6">
      <c r="C17" s="125" t="s">
        <v>511</v>
      </c>
      <c r="D17" s="59"/>
      <c r="E17" s="59"/>
      <c r="F17" s="302"/>
      <c r="G17" s="63"/>
      <c r="H17" s="63">
        <f>'Revenue '!H5/'TR&amp;TP'!H15</f>
        <v>769.81999999999994</v>
      </c>
      <c r="I17" s="63">
        <f>'Revenue '!I5/'TR&amp;TP'!I15</f>
        <v>823.72499999999991</v>
      </c>
      <c r="J17" s="63">
        <f>'Revenue '!J5/'TR&amp;TP'!J15</f>
        <v>687.73500000000001</v>
      </c>
      <c r="K17" s="63">
        <f>'Revenue '!K5/'TR&amp;TP'!K15</f>
        <v>603.86500000000001</v>
      </c>
      <c r="L17" s="172">
        <f>'Revenue '!L5/'TR&amp;TP'!L15</f>
        <v>747.45</v>
      </c>
      <c r="M17" s="63">
        <f>'Revenue '!M5/'TR&amp;TP'!M15</f>
        <v>916.46664850262687</v>
      </c>
      <c r="N17" s="63">
        <f>'Revenue '!N5/'TR&amp;TP'!N15</f>
        <v>1003.6144951709887</v>
      </c>
      <c r="O17" s="63">
        <f>'Revenue '!O5/'TR&amp;TP'!O15</f>
        <v>1078.8855823088129</v>
      </c>
      <c r="P17" s="63">
        <f>'Revenue '!P5/'TR&amp;TP'!P15</f>
        <v>1154.4075730704299</v>
      </c>
      <c r="Q17" s="63">
        <f>'Revenue '!Q5/'TR&amp;TP'!Q15</f>
        <v>1229.4440653200079</v>
      </c>
      <c r="R17" s="59"/>
    </row>
    <row r="18" spans="1:19">
      <c r="C18" s="59"/>
      <c r="D18" s="59"/>
      <c r="E18" s="59"/>
      <c r="F18" s="74"/>
      <c r="G18" s="63"/>
      <c r="H18" s="63"/>
      <c r="I18" s="63"/>
      <c r="J18" s="63"/>
      <c r="K18" s="63"/>
      <c r="L18" s="172"/>
      <c r="M18" s="63"/>
      <c r="N18" s="63"/>
      <c r="O18" s="63"/>
      <c r="P18" s="63"/>
      <c r="Q18" s="63"/>
      <c r="R18" s="59"/>
    </row>
    <row r="19" spans="1:19" ht="15.6">
      <c r="C19" s="59"/>
      <c r="D19" s="59"/>
      <c r="E19" s="59"/>
      <c r="F19" s="74"/>
      <c r="G19" s="305" t="s">
        <v>662</v>
      </c>
      <c r="H19" s="28" t="str">
        <f>IF(H17='Ratio analysis'!I42,"OK","ERROR")</f>
        <v>OK</v>
      </c>
      <c r="I19" s="28" t="str">
        <f>IF(I17='Ratio analysis'!J42,"OK","ERROR")</f>
        <v>OK</v>
      </c>
      <c r="J19" s="28" t="str">
        <f>IF(J17='Ratio analysis'!K42,"OK","ERROR")</f>
        <v>OK</v>
      </c>
      <c r="K19" s="28" t="str">
        <f>IF(K17='Ratio analysis'!L42,"OK","ERROR")</f>
        <v>OK</v>
      </c>
      <c r="L19" s="176" t="str">
        <f>IF(L17='Ratio analysis'!M42,"OK","ERROR")</f>
        <v>OK</v>
      </c>
      <c r="M19" s="28" t="str">
        <f>IF(M17='Ratio analysis'!N42,"OK","ERROR")</f>
        <v>OK</v>
      </c>
      <c r="N19" s="28" t="str">
        <f>IF(N17='Ratio analysis'!O42,"OK","ERROR")</f>
        <v>OK</v>
      </c>
      <c r="O19" s="28" t="str">
        <f>IF(O17='Ratio analysis'!P42,"OK","ERROR")</f>
        <v>OK</v>
      </c>
      <c r="P19" s="28" t="str">
        <f>IF(P17='Ratio analysis'!Q42,"OK","ERROR")</f>
        <v>OK</v>
      </c>
      <c r="Q19" s="28" t="str">
        <f>IF(Q17='Ratio analysis'!R42,"OK","ERROR")</f>
        <v>OK</v>
      </c>
      <c r="R19" s="59"/>
    </row>
    <row r="20" spans="1:19">
      <c r="F20" s="45"/>
      <c r="G20" s="128"/>
      <c r="H20" s="128"/>
      <c r="I20" s="128"/>
      <c r="J20" s="128"/>
      <c r="K20" s="128"/>
      <c r="L20" s="166"/>
      <c r="M20" s="128"/>
      <c r="N20" s="128"/>
      <c r="O20" s="128"/>
      <c r="P20" s="128"/>
      <c r="Q20" s="128"/>
    </row>
    <row r="21" spans="1:19">
      <c r="A21" s="308"/>
      <c r="B21" s="308"/>
      <c r="C21" s="308"/>
      <c r="D21" s="308"/>
      <c r="E21" s="308"/>
      <c r="F21" s="309"/>
      <c r="G21" s="310"/>
      <c r="H21" s="310"/>
      <c r="I21" s="310"/>
      <c r="J21" s="310"/>
      <c r="K21" s="310"/>
      <c r="L21" s="311"/>
      <c r="M21" s="310"/>
      <c r="N21" s="310"/>
      <c r="O21" s="310"/>
      <c r="P21" s="310"/>
      <c r="Q21" s="310"/>
      <c r="R21" s="308"/>
      <c r="S21" s="308"/>
    </row>
    <row r="22" spans="1:19" ht="15.6">
      <c r="B22" s="3"/>
      <c r="G22" s="128"/>
      <c r="H22" s="128"/>
      <c r="I22" s="128"/>
      <c r="J22" s="128"/>
      <c r="K22" s="128"/>
      <c r="L22" s="166"/>
      <c r="M22" s="128"/>
      <c r="N22" s="128"/>
      <c r="O22" s="128"/>
      <c r="P22" s="128"/>
      <c r="Q22" s="128"/>
    </row>
    <row r="23" spans="1:19" ht="15.6">
      <c r="B23" s="3" t="s">
        <v>307</v>
      </c>
      <c r="F23" s="45"/>
      <c r="G23" s="128"/>
      <c r="H23" s="128"/>
      <c r="I23" s="128"/>
      <c r="J23" s="128"/>
      <c r="K23" s="128"/>
      <c r="L23" s="166"/>
      <c r="M23" s="128"/>
      <c r="N23" s="128"/>
      <c r="O23" s="128"/>
      <c r="P23" s="128"/>
      <c r="Q23" s="128"/>
    </row>
    <row r="24" spans="1:19">
      <c r="F24" s="45"/>
      <c r="G24" s="128"/>
      <c r="H24" s="128"/>
      <c r="I24" s="128"/>
      <c r="J24" s="128"/>
      <c r="K24" s="128"/>
      <c r="L24" s="166"/>
      <c r="M24" s="128"/>
      <c r="N24" s="128"/>
      <c r="O24" s="128"/>
      <c r="P24" s="128"/>
      <c r="Q24" s="128"/>
    </row>
    <row r="25" spans="1:19" ht="15.6">
      <c r="C25" s="125" t="s">
        <v>722</v>
      </c>
      <c r="D25" s="59"/>
      <c r="E25" s="59"/>
      <c r="F25" s="301"/>
      <c r="G25" s="63"/>
      <c r="H25" s="63">
        <f>G27</f>
        <v>1410.32</v>
      </c>
      <c r="I25" s="63">
        <f t="shared" ref="I25:Q25" si="4">H27</f>
        <v>1455.4299999999998</v>
      </c>
      <c r="J25" s="63">
        <f t="shared" si="4"/>
        <v>1482.15</v>
      </c>
      <c r="K25" s="63">
        <f t="shared" si="4"/>
        <v>1915.2600000000002</v>
      </c>
      <c r="L25" s="172">
        <f t="shared" si="4"/>
        <v>2017.95</v>
      </c>
      <c r="M25" s="63">
        <f t="shared" si="4"/>
        <v>2186.6099999999997</v>
      </c>
      <c r="N25" s="63">
        <f t="shared" si="4"/>
        <v>2374.1253924087587</v>
      </c>
      <c r="O25" s="63">
        <f t="shared" si="4"/>
        <v>2553.993656357783</v>
      </c>
      <c r="P25" s="63">
        <f t="shared" si="4"/>
        <v>2713.1881286152175</v>
      </c>
      <c r="Q25" s="63">
        <f t="shared" si="4"/>
        <v>2911.8015726650256</v>
      </c>
      <c r="R25" s="59"/>
    </row>
    <row r="26" spans="1:19">
      <c r="C26" s="59"/>
      <c r="D26" s="59"/>
      <c r="E26" s="59"/>
      <c r="F26" s="74"/>
      <c r="G26" s="63"/>
      <c r="H26" s="63"/>
      <c r="I26" s="63"/>
      <c r="J26" s="63"/>
      <c r="K26" s="63"/>
      <c r="L26" s="172"/>
      <c r="M26" s="63"/>
      <c r="N26" s="63"/>
      <c r="O26" s="63"/>
      <c r="P26" s="63"/>
      <c r="Q26" s="63"/>
      <c r="R26" s="59"/>
    </row>
    <row r="27" spans="1:19" ht="15.6">
      <c r="C27" s="125" t="s">
        <v>723</v>
      </c>
      <c r="D27" s="59"/>
      <c r="E27" s="59"/>
      <c r="F27" s="74"/>
      <c r="G27" s="63">
        <f>'BS(OUTPUT)'!G63</f>
        <v>1410.32</v>
      </c>
      <c r="H27" s="63">
        <f>'BS(OUTPUT)'!H63</f>
        <v>1455.4299999999998</v>
      </c>
      <c r="I27" s="63">
        <f>'BS(OUTPUT)'!I63</f>
        <v>1482.15</v>
      </c>
      <c r="J27" s="63">
        <f>'BS(OUTPUT)'!J63</f>
        <v>1915.2600000000002</v>
      </c>
      <c r="K27" s="63">
        <f>'BS(OUTPUT)'!K63</f>
        <v>2017.95</v>
      </c>
      <c r="L27" s="172">
        <f>'BS(OUTPUT)'!L63</f>
        <v>2186.6099999999997</v>
      </c>
      <c r="M27" s="63">
        <f>(M35*2)-M25</f>
        <v>2374.1253924087587</v>
      </c>
      <c r="N27" s="63">
        <f t="shared" ref="N27:Q27" si="5">(N35*2)-N25</f>
        <v>2553.993656357783</v>
      </c>
      <c r="O27" s="63">
        <f t="shared" si="5"/>
        <v>2713.1881286152175</v>
      </c>
      <c r="P27" s="63">
        <f t="shared" si="5"/>
        <v>2911.8015726650256</v>
      </c>
      <c r="Q27" s="63">
        <f t="shared" si="5"/>
        <v>3055.606516793383</v>
      </c>
      <c r="R27" s="59"/>
    </row>
    <row r="28" spans="1:19">
      <c r="C28" s="59"/>
      <c r="D28" s="59"/>
      <c r="E28" s="59"/>
      <c r="F28" s="74"/>
      <c r="G28" s="63"/>
      <c r="H28" s="63"/>
      <c r="I28" s="63"/>
      <c r="J28" s="63"/>
      <c r="K28" s="63"/>
      <c r="L28" s="172"/>
      <c r="M28" s="63"/>
      <c r="N28" s="63"/>
      <c r="O28" s="63"/>
      <c r="P28" s="63"/>
      <c r="Q28" s="63"/>
      <c r="R28" s="59"/>
    </row>
    <row r="29" spans="1:19" ht="15.6">
      <c r="C29" s="125" t="s">
        <v>724</v>
      </c>
      <c r="D29" s="59"/>
      <c r="E29" s="59"/>
      <c r="F29" s="302"/>
      <c r="G29" s="63"/>
      <c r="H29" s="63">
        <f>H27-H25</f>
        <v>45.1099999999999</v>
      </c>
      <c r="I29" s="63">
        <f t="shared" ref="I29:Q29" si="6">I27-I25</f>
        <v>26.720000000000255</v>
      </c>
      <c r="J29" s="63">
        <f t="shared" si="6"/>
        <v>433.11000000000013</v>
      </c>
      <c r="K29" s="63">
        <f t="shared" si="6"/>
        <v>102.68999999999983</v>
      </c>
      <c r="L29" s="172">
        <f t="shared" si="6"/>
        <v>168.65999999999963</v>
      </c>
      <c r="M29" s="63">
        <f t="shared" si="6"/>
        <v>187.515392408759</v>
      </c>
      <c r="N29" s="63">
        <f t="shared" si="6"/>
        <v>179.86826394902437</v>
      </c>
      <c r="O29" s="63">
        <f t="shared" si="6"/>
        <v>159.19447225743443</v>
      </c>
      <c r="P29" s="63">
        <f t="shared" si="6"/>
        <v>198.61344404980809</v>
      </c>
      <c r="Q29" s="63">
        <f t="shared" si="6"/>
        <v>143.80494412835742</v>
      </c>
      <c r="R29" s="59"/>
    </row>
    <row r="30" spans="1:19">
      <c r="C30" s="59"/>
      <c r="D30" s="59"/>
      <c r="E30" s="59"/>
      <c r="F30" s="74"/>
      <c r="G30" s="63"/>
      <c r="H30" s="63"/>
      <c r="I30" s="63"/>
      <c r="J30" s="63"/>
      <c r="K30" s="63"/>
      <c r="L30" s="172"/>
      <c r="M30" s="63"/>
      <c r="N30" s="63"/>
      <c r="O30" s="63"/>
      <c r="P30" s="63"/>
      <c r="Q30" s="63"/>
      <c r="R30" s="59"/>
    </row>
    <row r="31" spans="1:19" ht="15.6">
      <c r="C31" s="125"/>
      <c r="D31" s="59"/>
      <c r="E31" s="59"/>
      <c r="F31" s="74"/>
      <c r="G31" s="305" t="s">
        <v>662</v>
      </c>
      <c r="H31" s="303" t="str">
        <f>IF(H29='CASH FLOW(OUTPUT)'!H19,"OK","ERROR")</f>
        <v>OK</v>
      </c>
      <c r="I31" s="303" t="str">
        <f>IF(I29='CASH FLOW(OUTPUT)'!I19,"OK","ERROR")</f>
        <v>OK</v>
      </c>
      <c r="J31" s="303" t="str">
        <f>IF(J29='CASH FLOW(OUTPUT)'!J19,"OK","ERROR")</f>
        <v>OK</v>
      </c>
      <c r="K31" s="303" t="str">
        <f>IF(K29='CASH FLOW(OUTPUT)'!K19,"OK","ERROR")</f>
        <v>OK</v>
      </c>
      <c r="L31" s="304" t="str">
        <f>IF(L29='CASH FLOW(OUTPUT)'!L19,"OK","ERROR")</f>
        <v>OK</v>
      </c>
      <c r="M31" s="303" t="str">
        <f>IF(M29='CASH FLOW(OUTPUT)'!M19,"OK","ERROR")</f>
        <v>OK</v>
      </c>
      <c r="N31" s="303" t="str">
        <f>IF(N29='CASH FLOW(OUTPUT)'!N19,"OK","ERROR")</f>
        <v>OK</v>
      </c>
      <c r="O31" s="303" t="str">
        <f>IF(O29='CASH FLOW(OUTPUT)'!O19,"OK","ERROR")</f>
        <v>OK</v>
      </c>
      <c r="P31" s="303" t="str">
        <f>IF(P29='CASH FLOW(OUTPUT)'!P19,"OK","ERROR")</f>
        <v>OK</v>
      </c>
      <c r="Q31" s="303" t="str">
        <f>IF(Q29='CASH FLOW(OUTPUT)'!Q19,"OK","ERROR")</f>
        <v>OK</v>
      </c>
      <c r="R31" s="59"/>
    </row>
    <row r="32" spans="1:19">
      <c r="C32" s="59"/>
      <c r="D32" s="59"/>
      <c r="E32" s="59"/>
      <c r="F32" s="74"/>
      <c r="G32" s="63"/>
      <c r="H32" s="63"/>
      <c r="I32" s="63"/>
      <c r="J32" s="63"/>
      <c r="K32" s="63"/>
      <c r="L32" s="172"/>
      <c r="M32" s="63"/>
      <c r="N32" s="63"/>
      <c r="O32" s="63"/>
      <c r="P32" s="63"/>
      <c r="Q32" s="63"/>
      <c r="R32" s="59"/>
    </row>
    <row r="33" spans="2:18" ht="15.6">
      <c r="C33" s="125" t="s">
        <v>725</v>
      </c>
      <c r="D33" s="59"/>
      <c r="E33" s="59"/>
      <c r="F33" s="74"/>
      <c r="G33" s="63"/>
      <c r="H33" s="306">
        <f>'Ratio analysis'!I81</f>
        <v>2.9946575939980802</v>
      </c>
      <c r="I33" s="306">
        <f>'Ratio analysis'!J81</f>
        <v>2.9556914194677253</v>
      </c>
      <c r="J33" s="306">
        <f>'Ratio analysis'!K81</f>
        <v>2.8103231579350147</v>
      </c>
      <c r="K33" s="306">
        <f>'Ratio analysis'!L81</f>
        <v>2.8677289033639188</v>
      </c>
      <c r="L33" s="307">
        <f>'Ratio analysis'!M81</f>
        <v>2.9818435222710584</v>
      </c>
      <c r="M33" s="306">
        <f>AVERAGE(H33:L33)</f>
        <v>2.9220489194071595</v>
      </c>
      <c r="N33" s="306">
        <f>M33</f>
        <v>2.9220489194071595</v>
      </c>
      <c r="O33" s="306">
        <f t="shared" ref="O33:Q33" si="7">N33</f>
        <v>2.9220489194071595</v>
      </c>
      <c r="P33" s="306">
        <f t="shared" si="7"/>
        <v>2.9220489194071595</v>
      </c>
      <c r="Q33" s="306">
        <f t="shared" si="7"/>
        <v>2.9220489194071595</v>
      </c>
      <c r="R33" s="59" t="s">
        <v>727</v>
      </c>
    </row>
    <row r="34" spans="2:18">
      <c r="C34" s="59"/>
      <c r="D34" s="59"/>
      <c r="E34" s="59"/>
      <c r="F34" s="74"/>
      <c r="G34" s="63"/>
      <c r="H34" s="63"/>
      <c r="I34" s="63"/>
      <c r="J34" s="63"/>
      <c r="K34" s="63"/>
      <c r="L34" s="172"/>
      <c r="M34" s="63"/>
      <c r="N34" s="63"/>
      <c r="O34" s="63"/>
      <c r="P34" s="63"/>
      <c r="Q34" s="63"/>
      <c r="R34" s="59"/>
    </row>
    <row r="35" spans="2:18" ht="15.6">
      <c r="C35" s="125" t="s">
        <v>726</v>
      </c>
      <c r="D35" s="59"/>
      <c r="E35" s="59"/>
      <c r="F35" s="302"/>
      <c r="G35" s="63"/>
      <c r="H35" s="63">
        <f>COGS!H10/'TR&amp;TP'!H33</f>
        <v>1432.8750000000005</v>
      </c>
      <c r="I35" s="63">
        <f>COGS!I10/'TR&amp;TP'!I33</f>
        <v>1468.79</v>
      </c>
      <c r="J35" s="63">
        <f>COGS!J10/'TR&amp;TP'!J33</f>
        <v>1698.7050000000002</v>
      </c>
      <c r="K35" s="63">
        <f>COGS!K10/'TR&amp;TP'!K33</f>
        <v>1966.605</v>
      </c>
      <c r="L35" s="172">
        <f>COGS!L10/'TR&amp;TP'!L33</f>
        <v>2102.2799999999997</v>
      </c>
      <c r="M35" s="63">
        <f>COGS!M10/'TR&amp;TP'!M33</f>
        <v>2280.3676962043792</v>
      </c>
      <c r="N35" s="63">
        <f>COGS!N10/'TR&amp;TP'!N33</f>
        <v>2464.0595243832709</v>
      </c>
      <c r="O35" s="63">
        <f>COGS!O10/'TR&amp;TP'!O33</f>
        <v>2633.5908924865003</v>
      </c>
      <c r="P35" s="63">
        <f>COGS!P10/'TR&amp;TP'!P33</f>
        <v>2812.4948506401215</v>
      </c>
      <c r="Q35" s="63">
        <f>COGS!Q10/'TR&amp;TP'!Q33</f>
        <v>2983.7040447292043</v>
      </c>
      <c r="R35" s="59"/>
    </row>
    <row r="36" spans="2:18">
      <c r="C36" s="59"/>
      <c r="D36" s="59"/>
      <c r="E36" s="59"/>
      <c r="F36" s="74"/>
      <c r="G36" s="63"/>
      <c r="H36" s="63"/>
      <c r="I36" s="63"/>
      <c r="J36" s="63"/>
      <c r="K36" s="63"/>
      <c r="L36" s="172"/>
      <c r="M36" s="63"/>
      <c r="N36" s="63"/>
      <c r="O36" s="63"/>
      <c r="P36" s="63"/>
      <c r="Q36" s="63"/>
      <c r="R36" s="59"/>
    </row>
    <row r="37" spans="2:18" ht="15.6">
      <c r="C37" s="59"/>
      <c r="D37" s="59"/>
      <c r="E37" s="59"/>
      <c r="F37" s="74"/>
      <c r="G37" s="305" t="s">
        <v>662</v>
      </c>
      <c r="H37" s="28" t="str">
        <f>IF(H35='Ratio analysis'!I43,"OK","ERROR")</f>
        <v>OK</v>
      </c>
      <c r="I37" s="28" t="str">
        <f>IF(I35='Ratio analysis'!J43,"OK","ERROR")</f>
        <v>OK</v>
      </c>
      <c r="J37" s="28" t="str">
        <f>IF(J35='Ratio analysis'!K43,"OK","ERROR")</f>
        <v>OK</v>
      </c>
      <c r="K37" s="28" t="str">
        <f>IF(K35='Ratio analysis'!L43,"OK","ERROR")</f>
        <v>OK</v>
      </c>
      <c r="L37" s="176" t="str">
        <f>IF(L35='Ratio analysis'!M43,"OK","ERROR")</f>
        <v>OK</v>
      </c>
      <c r="M37" s="28" t="str">
        <f>IF(M35='Ratio analysis'!N43,"OK","ERROR")</f>
        <v>OK</v>
      </c>
      <c r="N37" s="28" t="str">
        <f>IF(N35='Ratio analysis'!O43,"OK","ERROR")</f>
        <v>OK</v>
      </c>
      <c r="O37" s="28" t="str">
        <f>IF(O35='Ratio analysis'!P43,"OK","ERROR")</f>
        <v>OK</v>
      </c>
      <c r="P37" s="28" t="str">
        <f>IF(P35='Ratio analysis'!Q43,"OK","ERROR")</f>
        <v>OK</v>
      </c>
      <c r="Q37" s="28" t="str">
        <f>IF(Q35='Ratio analysis'!R43,"OK","ERROR")</f>
        <v>OK</v>
      </c>
      <c r="R37" s="59"/>
    </row>
    <row r="41" spans="2:18" ht="15.6">
      <c r="B41" s="3" t="s">
        <v>343</v>
      </c>
      <c r="C41" s="2" t="s">
        <v>728</v>
      </c>
    </row>
    <row r="43" spans="2:18">
      <c r="C43" s="2" t="s">
        <v>729</v>
      </c>
    </row>
    <row r="46" spans="2:18" ht="15.6">
      <c r="B46" s="3" t="s">
        <v>712</v>
      </c>
      <c r="C46" s="2" t="s">
        <v>730</v>
      </c>
      <c r="E46" s="45"/>
      <c r="F46" s="128"/>
      <c r="G46" s="128"/>
      <c r="H46" s="128"/>
      <c r="I46" s="128"/>
    </row>
  </sheetData>
  <hyperlinks>
    <hyperlink ref="B1" location="Forecasting!L15" display="Forecasting sheet Link" xr:uid="{CC6C379E-77B5-41FA-B895-A4A02EA0598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E368F-D041-4AD0-B102-2A698C814C68}">
  <sheetPr codeName="Sheet19"/>
  <dimension ref="B1:AH118"/>
  <sheetViews>
    <sheetView showGridLines="0" zoomScaleNormal="100" workbookViewId="0">
      <pane ySplit="3" topLeftCell="A4" activePane="bottomLeft" state="frozen"/>
      <selection pane="bottomLeft" activeCell="B1" sqref="B1"/>
    </sheetView>
  </sheetViews>
  <sheetFormatPr defaultColWidth="11.77734375" defaultRowHeight="15"/>
  <cols>
    <col min="1" max="1" width="2.6640625" style="2" customWidth="1"/>
    <col min="2" max="17" width="15.5546875" style="2" customWidth="1"/>
    <col min="18" max="19" width="32.44140625" style="2" customWidth="1"/>
    <col min="20" max="20" width="59.21875" style="2" customWidth="1"/>
    <col min="21" max="32" width="15.5546875" style="2" customWidth="1"/>
    <col min="33" max="16384" width="11.77734375" style="2"/>
  </cols>
  <sheetData>
    <row r="1" spans="2:20" ht="23.4">
      <c r="B1" s="456" t="s">
        <v>1017</v>
      </c>
      <c r="L1" s="157"/>
    </row>
    <row r="2" spans="2:20" ht="15.6">
      <c r="E2" s="3" t="s">
        <v>82</v>
      </c>
      <c r="G2" s="119" t="s">
        <v>350</v>
      </c>
      <c r="H2" s="119" t="s">
        <v>350</v>
      </c>
      <c r="I2" s="119" t="s">
        <v>350</v>
      </c>
      <c r="J2" s="119" t="s">
        <v>350</v>
      </c>
      <c r="K2" s="119" t="s">
        <v>350</v>
      </c>
      <c r="L2" s="155" t="s">
        <v>350</v>
      </c>
      <c r="M2" s="119" t="s">
        <v>351</v>
      </c>
      <c r="N2" s="119" t="s">
        <v>351</v>
      </c>
      <c r="O2" s="119" t="s">
        <v>351</v>
      </c>
      <c r="P2" s="119" t="s">
        <v>351</v>
      </c>
      <c r="Q2" s="119" t="s">
        <v>351</v>
      </c>
      <c r="R2" s="119"/>
      <c r="S2" s="119"/>
      <c r="T2" s="119"/>
    </row>
    <row r="3" spans="2:20">
      <c r="C3" s="121" t="s">
        <v>731</v>
      </c>
      <c r="D3" s="120"/>
      <c r="E3" s="120"/>
      <c r="F3" s="120"/>
      <c r="G3" s="127" t="s">
        <v>41</v>
      </c>
      <c r="H3" s="127" t="s">
        <v>42</v>
      </c>
      <c r="I3" s="127" t="s">
        <v>43</v>
      </c>
      <c r="J3" s="127" t="s">
        <v>44</v>
      </c>
      <c r="K3" s="127" t="s">
        <v>45</v>
      </c>
      <c r="L3" s="156" t="s">
        <v>46</v>
      </c>
      <c r="M3" s="127" t="s">
        <v>349</v>
      </c>
      <c r="N3" s="127" t="s">
        <v>352</v>
      </c>
      <c r="O3" s="127" t="s">
        <v>353</v>
      </c>
      <c r="P3" s="127" t="s">
        <v>354</v>
      </c>
      <c r="Q3" s="127" t="s">
        <v>355</v>
      </c>
      <c r="R3" s="339" t="s">
        <v>741</v>
      </c>
      <c r="S3" s="156" t="s">
        <v>748</v>
      </c>
      <c r="T3" s="237" t="s">
        <v>437</v>
      </c>
    </row>
    <row r="4" spans="2:20" ht="15.6">
      <c r="L4" s="210"/>
      <c r="R4" s="316"/>
      <c r="S4" s="157"/>
    </row>
    <row r="5" spans="2:20" ht="15.6">
      <c r="B5" s="206" t="s">
        <v>117</v>
      </c>
      <c r="F5" s="11"/>
      <c r="G5" s="11"/>
      <c r="H5" s="11"/>
      <c r="I5" s="11"/>
      <c r="J5" s="11"/>
      <c r="K5" s="11"/>
      <c r="L5" s="277"/>
      <c r="M5" s="11"/>
      <c r="N5" s="11"/>
      <c r="O5" s="11"/>
      <c r="P5" s="11"/>
      <c r="Q5" s="11"/>
      <c r="R5" s="317"/>
      <c r="S5" s="277"/>
    </row>
    <row r="6" spans="2:20" ht="15.6">
      <c r="C6" s="3" t="s">
        <v>732</v>
      </c>
      <c r="F6" s="11"/>
      <c r="G6" s="128" t="s">
        <v>158</v>
      </c>
      <c r="H6" s="128">
        <f>G12</f>
        <v>1552.1</v>
      </c>
      <c r="I6" s="128">
        <f t="shared" ref="I6:Q6" si="0">H12</f>
        <v>1547.9700000000005</v>
      </c>
      <c r="J6" s="128">
        <f t="shared" si="0"/>
        <v>1820.9800000000005</v>
      </c>
      <c r="K6" s="128">
        <f t="shared" si="0"/>
        <v>1811.7000000000003</v>
      </c>
      <c r="L6" s="166">
        <f t="shared" si="0"/>
        <v>1967.9500000000003</v>
      </c>
      <c r="M6" s="128">
        <f t="shared" si="0"/>
        <v>2237.62</v>
      </c>
      <c r="N6" s="128">
        <f t="shared" si="0"/>
        <v>2408.7652533803307</v>
      </c>
      <c r="O6" s="128">
        <f t="shared" si="0"/>
        <v>2596.1849018234561</v>
      </c>
      <c r="P6" s="128">
        <f t="shared" si="0"/>
        <v>2797.6610238998155</v>
      </c>
      <c r="Q6" s="128">
        <f t="shared" si="0"/>
        <v>3013.2404745215199</v>
      </c>
      <c r="R6" s="318"/>
      <c r="S6" s="166"/>
    </row>
    <row r="7" spans="2:20">
      <c r="F7" s="11"/>
      <c r="G7" s="128"/>
      <c r="H7" s="128"/>
      <c r="I7" s="128"/>
      <c r="J7" s="128"/>
      <c r="K7" s="128"/>
      <c r="L7" s="166"/>
      <c r="M7" s="128"/>
      <c r="N7" s="128"/>
      <c r="O7" s="128"/>
      <c r="P7" s="128"/>
      <c r="Q7" s="128"/>
      <c r="R7" s="318"/>
      <c r="S7" s="166"/>
    </row>
    <row r="8" spans="2:20" ht="15.6">
      <c r="C8" s="3" t="s">
        <v>161</v>
      </c>
      <c r="D8" s="101" t="s">
        <v>733</v>
      </c>
      <c r="F8" s="11"/>
      <c r="G8" s="128" t="s">
        <v>158</v>
      </c>
      <c r="H8" s="128">
        <f>BS!H99</f>
        <v>140.27000000000044</v>
      </c>
      <c r="I8" s="128">
        <f>BS!I99</f>
        <v>469.82999999999993</v>
      </c>
      <c r="J8" s="128">
        <f>BS!J99</f>
        <v>140.53999999999996</v>
      </c>
      <c r="K8" s="128">
        <f>BS!K99</f>
        <v>343.32999999999993</v>
      </c>
      <c r="L8" s="166">
        <f>BS!L99</f>
        <v>506.69999999999982</v>
      </c>
      <c r="M8" s="128">
        <f>$S$19*'Revenue '!M5</f>
        <v>406.32457335612531</v>
      </c>
      <c r="N8" s="128">
        <f>$S$19*'Revenue '!N5</f>
        <v>444.96243505494698</v>
      </c>
      <c r="O8" s="128">
        <f>$S$19*'Revenue '!O5</f>
        <v>478.33461768406806</v>
      </c>
      <c r="P8" s="128">
        <f>$S$19*'Revenue '!P5</f>
        <v>511.81804092195279</v>
      </c>
      <c r="Q8" s="128">
        <f>$S$19*'Revenue '!Q5</f>
        <v>545.08621358187975</v>
      </c>
      <c r="R8" s="318"/>
      <c r="S8" s="166"/>
      <c r="T8" s="2" t="s">
        <v>735</v>
      </c>
    </row>
    <row r="9" spans="2:20" ht="15.6">
      <c r="C9" s="3" t="s">
        <v>617</v>
      </c>
      <c r="D9" s="101" t="s">
        <v>442</v>
      </c>
      <c r="F9" s="11"/>
      <c r="G9" s="128" t="s">
        <v>158</v>
      </c>
      <c r="H9" s="128">
        <f>BS!H118</f>
        <v>168.6</v>
      </c>
      <c r="I9" s="128">
        <f>BS!I118</f>
        <v>210.25</v>
      </c>
      <c r="J9" s="128">
        <f>BS!J118</f>
        <v>230.42</v>
      </c>
      <c r="K9" s="128">
        <f>BS!K118</f>
        <v>242.14000000000001</v>
      </c>
      <c r="L9" s="166">
        <f>BS!L118</f>
        <v>276.52</v>
      </c>
      <c r="M9" s="128">
        <f>$S$29*'Revenue '!M5</f>
        <v>289.04435339131771</v>
      </c>
      <c r="N9" s="128">
        <f>$S$29*'Revenue '!N5</f>
        <v>316.52990677272936</v>
      </c>
      <c r="O9" s="128">
        <f>$S$29*'Revenue '!O5</f>
        <v>340.26964978068406</v>
      </c>
      <c r="P9" s="128">
        <f>$S$29*'Revenue '!P5</f>
        <v>364.08852526533195</v>
      </c>
      <c r="Q9" s="128">
        <f>$S$29*'Revenue '!Q5</f>
        <v>387.75427940757851</v>
      </c>
      <c r="R9" s="318"/>
      <c r="S9" s="166"/>
      <c r="T9" s="2" t="s">
        <v>735</v>
      </c>
    </row>
    <row r="10" spans="2:20" ht="15.6">
      <c r="C10" s="3" t="s">
        <v>161</v>
      </c>
      <c r="D10" s="101" t="s">
        <v>750</v>
      </c>
      <c r="F10" s="11"/>
      <c r="G10" s="128" t="s">
        <v>158</v>
      </c>
      <c r="H10" s="128">
        <f>BS!H119</f>
        <v>24.200000000000017</v>
      </c>
      <c r="I10" s="128">
        <f>BS!I119</f>
        <v>13.430000000000064</v>
      </c>
      <c r="J10" s="128">
        <f>BS!J119</f>
        <v>80.599999999999824</v>
      </c>
      <c r="K10" s="128">
        <f>BS!K119</f>
        <v>55.060000000000088</v>
      </c>
      <c r="L10" s="166">
        <f>BS!L119</f>
        <v>39.490000000000009</v>
      </c>
      <c r="M10" s="128">
        <f>$S$37*'Revenue '!M5</f>
        <v>53.865033415523044</v>
      </c>
      <c r="N10" s="128">
        <f>$S$37*'Revenue '!N5</f>
        <v>58.987120160907466</v>
      </c>
      <c r="O10" s="128">
        <f>$S$37*'Revenue '!O5</f>
        <v>63.411154172975529</v>
      </c>
      <c r="P10" s="128">
        <f>$S$37*'Revenue '!P5</f>
        <v>67.849934965083818</v>
      </c>
      <c r="Q10" s="128">
        <f>$S$37*'Revenue '!Q5</f>
        <v>72.260180737814267</v>
      </c>
      <c r="R10" s="318"/>
      <c r="S10" s="166"/>
      <c r="T10" s="2" t="s">
        <v>735</v>
      </c>
    </row>
    <row r="11" spans="2:20">
      <c r="F11" s="11"/>
      <c r="G11" s="128"/>
      <c r="H11" s="128"/>
      <c r="I11" s="128"/>
      <c r="J11" s="128"/>
      <c r="K11" s="128"/>
      <c r="L11" s="166"/>
      <c r="M11" s="128"/>
      <c r="N11" s="128"/>
      <c r="O11" s="128"/>
      <c r="P11" s="128"/>
      <c r="Q11" s="128"/>
      <c r="R11" s="318"/>
      <c r="S11" s="166"/>
    </row>
    <row r="12" spans="2:20" ht="15.6">
      <c r="C12" s="12" t="s">
        <v>734</v>
      </c>
      <c r="D12" s="13"/>
      <c r="E12" s="13"/>
      <c r="F12" s="14"/>
      <c r="G12" s="134">
        <f>'BS(OUTPUT)'!G7</f>
        <v>1552.1</v>
      </c>
      <c r="H12" s="134">
        <f t="shared" ref="H12:Q12" si="1">H6+H8-H9+H10</f>
        <v>1547.9700000000005</v>
      </c>
      <c r="I12" s="134">
        <f t="shared" si="1"/>
        <v>1820.9800000000005</v>
      </c>
      <c r="J12" s="134">
        <f t="shared" si="1"/>
        <v>1811.7000000000003</v>
      </c>
      <c r="K12" s="134">
        <f t="shared" si="1"/>
        <v>1967.9500000000003</v>
      </c>
      <c r="L12" s="170">
        <f t="shared" si="1"/>
        <v>2237.62</v>
      </c>
      <c r="M12" s="134">
        <f t="shared" si="1"/>
        <v>2408.7652533803307</v>
      </c>
      <c r="N12" s="134">
        <f t="shared" si="1"/>
        <v>2596.1849018234561</v>
      </c>
      <c r="O12" s="134">
        <f t="shared" si="1"/>
        <v>2797.6610238998155</v>
      </c>
      <c r="P12" s="134">
        <f t="shared" si="1"/>
        <v>3013.2404745215199</v>
      </c>
      <c r="Q12" s="134">
        <f t="shared" si="1"/>
        <v>3242.8325894336353</v>
      </c>
      <c r="R12" s="318"/>
      <c r="S12" s="166"/>
    </row>
    <row r="13" spans="2:20">
      <c r="F13" s="11"/>
      <c r="G13" s="128"/>
      <c r="H13" s="128"/>
      <c r="I13" s="128"/>
      <c r="J13" s="128"/>
      <c r="K13" s="128"/>
      <c r="L13" s="166"/>
      <c r="M13" s="128"/>
      <c r="N13" s="128"/>
      <c r="O13" s="128"/>
      <c r="P13" s="128"/>
      <c r="Q13" s="128"/>
      <c r="R13" s="318"/>
      <c r="S13" s="166"/>
    </row>
    <row r="14" spans="2:20" ht="15.6">
      <c r="C14" s="3" t="s">
        <v>736</v>
      </c>
      <c r="F14" s="11"/>
      <c r="G14" s="128" t="s">
        <v>158</v>
      </c>
      <c r="H14" s="128">
        <f>H12-G12</f>
        <v>-4.129999999999427</v>
      </c>
      <c r="I14" s="128">
        <f t="shared" ref="I14:Q14" si="2">I12-H12</f>
        <v>273.01</v>
      </c>
      <c r="J14" s="128">
        <f t="shared" si="2"/>
        <v>-9.2800000000002001</v>
      </c>
      <c r="K14" s="128">
        <f t="shared" si="2"/>
        <v>156.25</v>
      </c>
      <c r="L14" s="166">
        <f t="shared" si="2"/>
        <v>269.66999999999962</v>
      </c>
      <c r="M14" s="128">
        <f t="shared" si="2"/>
        <v>171.14525338033081</v>
      </c>
      <c r="N14" s="128">
        <f t="shared" si="2"/>
        <v>187.41964844312542</v>
      </c>
      <c r="O14" s="128">
        <f t="shared" si="2"/>
        <v>201.47612207635939</v>
      </c>
      <c r="P14" s="128">
        <f t="shared" si="2"/>
        <v>215.57945062170438</v>
      </c>
      <c r="Q14" s="128">
        <f t="shared" si="2"/>
        <v>229.59211491211545</v>
      </c>
      <c r="R14" s="318"/>
      <c r="S14" s="166"/>
    </row>
    <row r="15" spans="2:20">
      <c r="F15" s="11"/>
      <c r="G15" s="128"/>
      <c r="H15" s="128"/>
      <c r="I15" s="128"/>
      <c r="J15" s="128"/>
      <c r="K15" s="128"/>
      <c r="L15" s="166"/>
      <c r="M15" s="128"/>
      <c r="N15" s="128"/>
      <c r="O15" s="128"/>
      <c r="P15" s="128"/>
      <c r="Q15" s="128"/>
      <c r="R15" s="318"/>
      <c r="S15" s="166"/>
    </row>
    <row r="16" spans="2:20" ht="16.2" thickBot="1">
      <c r="C16" s="46"/>
      <c r="D16" s="46"/>
      <c r="E16" s="46"/>
      <c r="F16" s="312"/>
      <c r="G16" s="313"/>
      <c r="H16" s="314"/>
      <c r="I16" s="314"/>
      <c r="J16" s="314"/>
      <c r="K16" s="314"/>
      <c r="L16" s="315"/>
      <c r="M16" s="314"/>
      <c r="N16" s="314"/>
      <c r="O16" s="314"/>
      <c r="P16" s="314"/>
      <c r="Q16" s="314"/>
      <c r="R16" s="319"/>
      <c r="S16" s="337"/>
    </row>
    <row r="17" spans="3:34" ht="15.6" thickTop="1">
      <c r="F17" s="11"/>
      <c r="G17" s="128"/>
      <c r="H17" s="128"/>
      <c r="I17" s="128"/>
      <c r="J17" s="128"/>
      <c r="K17" s="128"/>
      <c r="L17" s="166"/>
      <c r="M17" s="128"/>
      <c r="N17" s="128"/>
      <c r="O17" s="128"/>
      <c r="P17" s="128"/>
      <c r="Q17" s="128"/>
      <c r="R17" s="318"/>
      <c r="S17" s="166"/>
    </row>
    <row r="18" spans="3:34" ht="15.6">
      <c r="F18" s="11"/>
      <c r="G18" s="128"/>
      <c r="H18" s="128"/>
      <c r="I18" s="128"/>
      <c r="J18" s="128"/>
      <c r="K18" s="128"/>
      <c r="L18" s="166"/>
      <c r="M18" s="128"/>
      <c r="N18" s="128"/>
      <c r="O18" s="128"/>
      <c r="P18" s="128"/>
      <c r="Q18" s="128"/>
      <c r="R18" s="320"/>
      <c r="S18" s="338"/>
    </row>
    <row r="19" spans="3:34" ht="15.6">
      <c r="C19" s="340" t="s">
        <v>737</v>
      </c>
      <c r="D19" s="341"/>
      <c r="E19" s="341"/>
      <c r="F19" s="342"/>
      <c r="G19" s="343"/>
      <c r="H19" s="344">
        <f>H8/'P&amp;L(OUTPUT)'!H7</f>
        <v>1.6473301788962811E-2</v>
      </c>
      <c r="I19" s="344">
        <f>I8/'P&amp;L(OUTPUT)'!I7</f>
        <v>5.4098960924114294E-2</v>
      </c>
      <c r="J19" s="344">
        <f>J8/'P&amp;L(OUTPUT)'!J7</f>
        <v>1.4721471518655853E-2</v>
      </c>
      <c r="K19" s="344">
        <f>K8/'P&amp;L(OUTPUT)'!K7</f>
        <v>3.1530911001149811E-2</v>
      </c>
      <c r="L19" s="345">
        <f>L8/'P&amp;L(OUTPUT)'!L7</f>
        <v>4.3946646498795726E-2</v>
      </c>
      <c r="M19" s="344">
        <f>M8/'P&amp;L(OUTPUT)'!M7</f>
        <v>3.2154258346335701E-2</v>
      </c>
      <c r="N19" s="344">
        <f>N8/'P&amp;L(OUTPUT)'!N7</f>
        <v>3.2154258346335701E-2</v>
      </c>
      <c r="O19" s="344">
        <f>O8/'P&amp;L(OUTPUT)'!O7</f>
        <v>3.2154258346335701E-2</v>
      </c>
      <c r="P19" s="344">
        <f>P8/'P&amp;L(OUTPUT)'!P7</f>
        <v>3.2154258346335701E-2</v>
      </c>
      <c r="Q19" s="344">
        <f>Q8/'P&amp;L(OUTPUT)'!Q7</f>
        <v>3.2154258346335701E-2</v>
      </c>
      <c r="R19" s="346">
        <f>_xlfn.STDEV.S(H19:L19)</f>
        <v>1.7108575383500919E-2</v>
      </c>
      <c r="S19" s="348">
        <f>AVERAGE(H19:L19)</f>
        <v>3.2154258346335701E-2</v>
      </c>
      <c r="T19" s="341"/>
      <c r="U19" s="341"/>
      <c r="V19" s="342"/>
      <c r="W19" s="343"/>
      <c r="X19" s="344"/>
      <c r="Y19" s="344"/>
      <c r="Z19" s="344"/>
      <c r="AA19" s="344"/>
      <c r="AB19" s="345"/>
      <c r="AC19" s="344"/>
      <c r="AD19" s="344"/>
      <c r="AE19" s="344"/>
      <c r="AF19" s="344"/>
      <c r="AG19" s="344"/>
      <c r="AH19" s="346"/>
    </row>
    <row r="20" spans="3:34">
      <c r="F20" s="11"/>
      <c r="G20" s="128"/>
      <c r="H20" s="128"/>
      <c r="I20" s="128"/>
      <c r="J20" s="128"/>
      <c r="K20" s="128"/>
      <c r="L20" s="166"/>
      <c r="M20" s="128"/>
      <c r="N20" s="128"/>
      <c r="O20" s="128"/>
      <c r="P20" s="128"/>
      <c r="Q20" s="128"/>
      <c r="R20" s="321"/>
      <c r="S20" s="178"/>
    </row>
    <row r="21" spans="3:34" ht="15.6">
      <c r="C21" s="3" t="s">
        <v>738</v>
      </c>
      <c r="F21" s="11"/>
      <c r="G21" s="128"/>
      <c r="H21" s="177">
        <f>H8/'P&amp;L(OUTPUT)'!H22</f>
        <v>8.0635333072731269E-2</v>
      </c>
      <c r="I21" s="177">
        <f>I8/'P&amp;L(OUTPUT)'!I22</f>
        <v>0.26213072223617045</v>
      </c>
      <c r="J21" s="177">
        <f>J8/'P&amp;L(OUTPUT)'!J22</f>
        <v>7.0175964207961308E-2</v>
      </c>
      <c r="K21" s="177">
        <f>K8/'P&amp;L(OUTPUT)'!K22</f>
        <v>0.15233316029301489</v>
      </c>
      <c r="L21" s="178">
        <f>L8/'P&amp;L(OUTPUT)'!L22</f>
        <v>0.23413673918267006</v>
      </c>
      <c r="M21" s="177">
        <f>M8/'P&amp;L(OUTPUT)'!M22</f>
        <v>0.17893299024115583</v>
      </c>
      <c r="N21" s="177">
        <f>N8/'P&amp;L(OUTPUT)'!N22</f>
        <v>0.17130665075298721</v>
      </c>
      <c r="O21" s="177">
        <f>O8/'P&amp;L(OUTPUT)'!O22</f>
        <v>0.17130665075298723</v>
      </c>
      <c r="P21" s="177">
        <f>P8/'P&amp;L(OUTPUT)'!P22</f>
        <v>0.17039882536478912</v>
      </c>
      <c r="Q21" s="177">
        <f>Q8/'P&amp;L(OUTPUT)'!Q22</f>
        <v>0.16686174544024751</v>
      </c>
      <c r="R21" s="321">
        <f>_xlfn.STDEV.S(H21:L21)</f>
        <v>8.7110216890450287E-2</v>
      </c>
      <c r="S21" s="178">
        <f>AVERAGE(H21:L21)</f>
        <v>0.15988238379850958</v>
      </c>
    </row>
    <row r="22" spans="3:34">
      <c r="F22" s="11"/>
      <c r="G22" s="128"/>
      <c r="H22" s="128"/>
      <c r="I22" s="128"/>
      <c r="J22" s="128"/>
      <c r="K22" s="128"/>
      <c r="L22" s="166"/>
      <c r="M22" s="128"/>
      <c r="N22" s="128"/>
      <c r="O22" s="128"/>
      <c r="P22" s="128"/>
      <c r="Q22" s="128"/>
      <c r="R22" s="321"/>
      <c r="S22" s="178"/>
    </row>
    <row r="23" spans="3:34" ht="15.6">
      <c r="C23" s="3" t="s">
        <v>739</v>
      </c>
      <c r="F23" s="11"/>
      <c r="G23" s="128"/>
      <c r="H23" s="177">
        <f>H8/'CASH FLOW(OUTPUT)'!H25</f>
        <v>9.3627558955259052E-2</v>
      </c>
      <c r="I23" s="177">
        <f>I8/'CASH FLOW(OUTPUT)'!I25</f>
        <v>0.29116340177116246</v>
      </c>
      <c r="J23" s="177">
        <f>J8/'CASH FLOW(OUTPUT)'!J25</f>
        <v>6.6427815170536197E-2</v>
      </c>
      <c r="K23" s="177">
        <f>K8/'CASH FLOW(OUTPUT)'!K25</f>
        <v>0.19030225094643946</v>
      </c>
      <c r="L23" s="178">
        <f>L8/'CASH FLOW(OUTPUT)'!L25</f>
        <v>0.34005342066762412</v>
      </c>
      <c r="M23" s="177">
        <f>M8/'CASH FLOW(OUTPUT)'!M25</f>
        <v>0.24805262150098564</v>
      </c>
      <c r="N23" s="177">
        <f>N8/'CASH FLOW(OUTPUT)'!N25</f>
        <v>0.23405435938493171</v>
      </c>
      <c r="O23" s="177">
        <f>O8/'CASH FLOW(OUTPUT)'!O25</f>
        <v>0.23276421057778954</v>
      </c>
      <c r="P23" s="177">
        <f>P8/'CASH FLOW(OUTPUT)'!P25</f>
        <v>0.23162870803076854</v>
      </c>
      <c r="Q23" s="177">
        <f>Q8/'CASH FLOW(OUTPUT)'!Q25</f>
        <v>0.2257530611522941</v>
      </c>
      <c r="R23" s="321">
        <f>_xlfn.STDEV.S(H23:L23)</f>
        <v>0.11948692122668407</v>
      </c>
      <c r="S23" s="178">
        <f t="shared" ref="S23" si="3">AVERAGE(H23:L23)</f>
        <v>0.19631488950220427</v>
      </c>
    </row>
    <row r="24" spans="3:34">
      <c r="F24" s="11"/>
      <c r="G24" s="128"/>
      <c r="H24" s="128"/>
      <c r="I24" s="128"/>
      <c r="J24" s="128"/>
      <c r="K24" s="128"/>
      <c r="L24" s="166"/>
      <c r="M24" s="128"/>
      <c r="N24" s="128"/>
      <c r="O24" s="128"/>
      <c r="P24" s="128"/>
      <c r="Q24" s="128"/>
      <c r="R24" s="322"/>
      <c r="S24" s="178"/>
    </row>
    <row r="25" spans="3:34" ht="15.6">
      <c r="C25" s="3" t="s">
        <v>740</v>
      </c>
      <c r="F25" s="11"/>
      <c r="G25" s="128"/>
      <c r="H25" s="177">
        <f>H8/'P&amp;L(OUTPUT)'!H47</f>
        <v>9.7053186557715332E-2</v>
      </c>
      <c r="I25" s="177">
        <f>I8/'P&amp;L(OUTPUT)'!I47</f>
        <v>0.32448391842147073</v>
      </c>
      <c r="J25" s="177">
        <f>J8/'P&amp;L(OUTPUT)'!J47</f>
        <v>8.2867520460388186E-2</v>
      </c>
      <c r="K25" s="177">
        <f>K8/'P&amp;L(OUTPUT)'!K47</f>
        <v>0.19685224471073898</v>
      </c>
      <c r="L25" s="178">
        <f>L8/'P&amp;L(OUTPUT)'!L47</f>
        <v>0.29754075257199225</v>
      </c>
      <c r="M25" s="177">
        <f>M8/'P&amp;L(OUTPUT)'!M47</f>
        <v>0.22299462924136909</v>
      </c>
      <c r="N25" s="177">
        <f>N8/'P&amp;L(OUTPUT)'!N47</f>
        <v>0.21388331905376742</v>
      </c>
      <c r="O25" s="177">
        <f>O8/'P&amp;L(OUTPUT)'!O47</f>
        <v>0.21387630914335606</v>
      </c>
      <c r="P25" s="177">
        <f>P8/'P&amp;L(OUTPUT)'!P47</f>
        <v>0.21278468686098581</v>
      </c>
      <c r="Q25" s="177">
        <f>Q8/'P&amp;L(OUTPUT)'!Q47</f>
        <v>0.20854549538702177</v>
      </c>
      <c r="R25" s="321">
        <f>_xlfn.STDEV.S(H25:L25)</f>
        <v>0.11106093793502472</v>
      </c>
      <c r="S25" s="178">
        <f t="shared" ref="S25" si="4">AVERAGE(H25:L25)</f>
        <v>0.19975952454446108</v>
      </c>
    </row>
    <row r="26" spans="3:34">
      <c r="F26" s="11"/>
      <c r="G26" s="128"/>
      <c r="H26" s="128"/>
      <c r="I26" s="128"/>
      <c r="J26" s="128"/>
      <c r="K26" s="128"/>
      <c r="L26" s="166"/>
      <c r="M26" s="128"/>
      <c r="N26" s="128"/>
      <c r="O26" s="128"/>
      <c r="P26" s="128"/>
      <c r="Q26" s="128"/>
      <c r="R26" s="318"/>
      <c r="S26" s="178"/>
      <c r="T26" s="8"/>
    </row>
    <row r="27" spans="3:34" ht="15.6">
      <c r="C27" s="3" t="s">
        <v>754</v>
      </c>
      <c r="F27" s="11"/>
      <c r="G27" s="128"/>
      <c r="H27" s="128">
        <f>'Ratio analysis'!I84</f>
        <v>5.4934178905637614</v>
      </c>
      <c r="I27" s="128">
        <f>'Ratio analysis'!J84</f>
        <v>5.1556953947075499</v>
      </c>
      <c r="J27" s="128">
        <f>'Ratio analysis'!K84</f>
        <v>5.255954281687349</v>
      </c>
      <c r="K27" s="128">
        <f>'Ratio analysis'!L84</f>
        <v>5.7617398436363159</v>
      </c>
      <c r="L27" s="166">
        <f>'Ratio analysis'!M84</f>
        <v>5.4831521054220955</v>
      </c>
      <c r="M27" s="128">
        <f>'Ratio analysis'!N84</f>
        <v>5.4393796299205057</v>
      </c>
      <c r="N27" s="128">
        <f>'Ratio analysis'!O84</f>
        <v>5.5298721475452712</v>
      </c>
      <c r="O27" s="128">
        <f>'Ratio analysis'!P84</f>
        <v>5.5160065670318108</v>
      </c>
      <c r="P27" s="128">
        <f>'Ratio analysis'!Q84</f>
        <v>5.4785240852637767</v>
      </c>
      <c r="Q27" s="128">
        <f>'Ratio analysis'!R84</f>
        <v>5.4194458916396817</v>
      </c>
      <c r="R27" s="321">
        <f>_xlfn.STDEV.S(H27:L27)</f>
        <v>0.2358141361485932</v>
      </c>
      <c r="S27" s="163">
        <f t="shared" ref="S27" si="5">AVERAGE(H27:L27)</f>
        <v>5.4299919032034145</v>
      </c>
    </row>
    <row r="28" spans="3:34">
      <c r="F28" s="11"/>
      <c r="G28" s="128"/>
      <c r="H28" s="128"/>
      <c r="I28" s="128"/>
      <c r="J28" s="128"/>
      <c r="K28" s="128"/>
      <c r="L28" s="166"/>
      <c r="M28" s="128"/>
      <c r="N28" s="128"/>
      <c r="O28" s="128"/>
      <c r="P28" s="128"/>
      <c r="Q28" s="128"/>
      <c r="R28" s="318"/>
      <c r="S28" s="178"/>
    </row>
    <row r="29" spans="3:34" ht="15.6">
      <c r="C29" s="340" t="s">
        <v>742</v>
      </c>
      <c r="D29" s="341"/>
      <c r="E29" s="341"/>
      <c r="F29" s="342"/>
      <c r="G29" s="343"/>
      <c r="H29" s="344">
        <f>H9/'P&amp;L(OUTPUT)'!H7</f>
        <v>1.9800375572960157E-2</v>
      </c>
      <c r="I29" s="344">
        <f>I9/'P&amp;L(OUTPUT)'!I7</f>
        <v>2.4209408795298367E-2</v>
      </c>
      <c r="J29" s="344">
        <f>J9/'P&amp;L(OUTPUT)'!J7</f>
        <v>2.4136341734229984E-2</v>
      </c>
      <c r="K29" s="344">
        <f>K9/'P&amp;L(OUTPUT)'!K7</f>
        <v>2.2237773540961805E-2</v>
      </c>
      <c r="L29" s="345">
        <f>L9/'P&amp;L(OUTPUT)'!L7</f>
        <v>2.3982882750832834E-2</v>
      </c>
      <c r="M29" s="344">
        <f>M9/'P&amp;L(OUTPUT)'!M7</f>
        <v>2.2873356478856625E-2</v>
      </c>
      <c r="N29" s="344">
        <f>N9/'P&amp;L(OUTPUT)'!N7</f>
        <v>2.2873356478856632E-2</v>
      </c>
      <c r="O29" s="344">
        <f>O9/'P&amp;L(OUTPUT)'!O7</f>
        <v>2.2873356478856629E-2</v>
      </c>
      <c r="P29" s="344">
        <f>P9/'P&amp;L(OUTPUT)'!P7</f>
        <v>2.2873356478856629E-2</v>
      </c>
      <c r="Q29" s="344">
        <f>Q9/'P&amp;L(OUTPUT)'!Q7</f>
        <v>2.2873356478856629E-2</v>
      </c>
      <c r="R29" s="346">
        <f>_xlfn.STDEV.S(H29:L29)</f>
        <v>1.9012097079696762E-3</v>
      </c>
      <c r="S29" s="348">
        <f t="shared" ref="S29" si="6">AVERAGE(H29:L29)</f>
        <v>2.2873356478856629E-2</v>
      </c>
      <c r="T29" s="341"/>
      <c r="U29" s="341"/>
      <c r="V29" s="342"/>
      <c r="W29" s="343"/>
      <c r="X29" s="344"/>
      <c r="Y29" s="344"/>
      <c r="Z29" s="344"/>
      <c r="AA29" s="344"/>
      <c r="AB29" s="345"/>
      <c r="AC29" s="344"/>
      <c r="AD29" s="344"/>
      <c r="AE29" s="344"/>
      <c r="AF29" s="344"/>
      <c r="AG29" s="344"/>
      <c r="AH29" s="346"/>
    </row>
    <row r="30" spans="3:34">
      <c r="F30" s="11"/>
      <c r="G30" s="128"/>
      <c r="H30" s="128"/>
      <c r="I30" s="128"/>
      <c r="J30" s="128"/>
      <c r="K30" s="128"/>
      <c r="L30" s="166"/>
      <c r="M30" s="128"/>
      <c r="N30" s="128"/>
      <c r="O30" s="128"/>
      <c r="P30" s="128"/>
      <c r="Q30" s="166"/>
      <c r="R30" s="318"/>
      <c r="S30" s="178"/>
    </row>
    <row r="31" spans="3:34" ht="15.6">
      <c r="C31" s="3" t="s">
        <v>743</v>
      </c>
      <c r="F31" s="11"/>
      <c r="G31" s="128"/>
      <c r="H31" s="177">
        <f>H9/'P&amp;L(OUTPUT)'!H22</f>
        <v>9.692106049805696E-2</v>
      </c>
      <c r="I31" s="177">
        <f>I9/'P&amp;L(OUTPUT)'!I22</f>
        <v>0.11730409797193632</v>
      </c>
      <c r="J31" s="177">
        <f>J9/'P&amp;L(OUTPUT)'!J22</f>
        <v>0.11505582519423969</v>
      </c>
      <c r="K31" s="177">
        <f>K9/'P&amp;L(OUTPUT)'!K22</f>
        <v>0.10743585306658501</v>
      </c>
      <c r="L31" s="178">
        <f>L9/'P&amp;L(OUTPUT)'!L22</f>
        <v>0.12777479991867366</v>
      </c>
      <c r="M31" s="177">
        <f>M9/'P&amp;L(OUTPUT)'!M22</f>
        <v>0.12728634657126672</v>
      </c>
      <c r="N31" s="177">
        <f>N9/'P&amp;L(OUTPUT)'!N22</f>
        <v>0.12186124922139921</v>
      </c>
      <c r="O31" s="177">
        <f>O9/'P&amp;L(OUTPUT)'!O22</f>
        <v>0.1218612492213992</v>
      </c>
      <c r="P31" s="177">
        <f>P9/'P&amp;L(OUTPUT)'!P22</f>
        <v>0.12121545563782</v>
      </c>
      <c r="Q31" s="177">
        <f>Q9/'P&amp;L(OUTPUT)'!Q22</f>
        <v>0.11869930710356316</v>
      </c>
      <c r="R31" s="321">
        <f>_xlfn.STDEV.S(H31:L31)</f>
        <v>1.1516148761225298E-2</v>
      </c>
      <c r="S31" s="178">
        <f t="shared" ref="S31" si="7">AVERAGE(H31:L31)</f>
        <v>0.11289832732989832</v>
      </c>
    </row>
    <row r="32" spans="3:34">
      <c r="F32" s="11"/>
      <c r="G32" s="128"/>
      <c r="H32" s="128"/>
      <c r="I32" s="128"/>
      <c r="J32" s="128"/>
      <c r="K32" s="128"/>
      <c r="L32" s="166"/>
      <c r="M32" s="128"/>
      <c r="N32" s="128"/>
      <c r="O32" s="128"/>
      <c r="P32" s="128"/>
      <c r="Q32" s="166"/>
      <c r="R32" s="318"/>
      <c r="S32" s="178"/>
    </row>
    <row r="33" spans="2:20" ht="15.6">
      <c r="C33" s="3" t="s">
        <v>744</v>
      </c>
      <c r="F33" s="11"/>
      <c r="G33" s="128"/>
      <c r="H33" s="128">
        <f t="shared" ref="H33:Q33" si="8">H9/H8</f>
        <v>1.2019676338490017</v>
      </c>
      <c r="I33" s="128">
        <f t="shared" si="8"/>
        <v>0.44750228806163939</v>
      </c>
      <c r="J33" s="128">
        <f t="shared" si="8"/>
        <v>1.6395332289739579</v>
      </c>
      <c r="K33" s="128">
        <f t="shared" si="8"/>
        <v>0.70526898319401177</v>
      </c>
      <c r="L33" s="166">
        <f t="shared" si="8"/>
        <v>0.54572725478586948</v>
      </c>
      <c r="M33" s="128">
        <f t="shared" si="8"/>
        <v>0.71136321144422454</v>
      </c>
      <c r="N33" s="128">
        <f t="shared" si="8"/>
        <v>0.71136321144422476</v>
      </c>
      <c r="O33" s="128">
        <f t="shared" si="8"/>
        <v>0.71136321144422465</v>
      </c>
      <c r="P33" s="128">
        <f t="shared" si="8"/>
        <v>0.71136321144422465</v>
      </c>
      <c r="Q33" s="128">
        <f t="shared" si="8"/>
        <v>0.71136321144422465</v>
      </c>
      <c r="R33" s="321">
        <f>_xlfn.STDEV.S(H33:L33)</f>
        <v>0.50148713459180816</v>
      </c>
      <c r="S33" s="178">
        <f t="shared" ref="S33" si="9">AVERAGE(H33:L33)</f>
        <v>0.90799987777289604</v>
      </c>
    </row>
    <row r="34" spans="2:20">
      <c r="F34" s="11"/>
      <c r="G34" s="128"/>
      <c r="H34" s="128"/>
      <c r="I34" s="128"/>
      <c r="J34" s="128"/>
      <c r="K34" s="128"/>
      <c r="L34" s="166"/>
      <c r="M34" s="128"/>
      <c r="N34" s="128"/>
      <c r="O34" s="128"/>
      <c r="P34" s="128"/>
      <c r="Q34" s="166"/>
      <c r="R34" s="318"/>
      <c r="S34" s="178"/>
    </row>
    <row r="35" spans="2:20" ht="15.6">
      <c r="C35" s="3" t="s">
        <v>752</v>
      </c>
      <c r="F35" s="11"/>
      <c r="G35" s="128"/>
      <c r="H35" s="177">
        <f t="shared" ref="H35:Q35" si="10">H10/H9</f>
        <v>0.14353499406880199</v>
      </c>
      <c r="I35" s="177">
        <f t="shared" si="10"/>
        <v>6.3876337693222651E-2</v>
      </c>
      <c r="J35" s="177">
        <f t="shared" si="10"/>
        <v>0.34979602465063719</v>
      </c>
      <c r="K35" s="177">
        <f t="shared" si="10"/>
        <v>0.22738911373585563</v>
      </c>
      <c r="L35" s="178">
        <f t="shared" si="10"/>
        <v>0.14281064660784035</v>
      </c>
      <c r="M35" s="177">
        <f t="shared" si="10"/>
        <v>0.1863555983140027</v>
      </c>
      <c r="N35" s="177">
        <f t="shared" si="10"/>
        <v>0.18635559831400267</v>
      </c>
      <c r="O35" s="177">
        <f t="shared" si="10"/>
        <v>0.18635559831400267</v>
      </c>
      <c r="P35" s="177">
        <f t="shared" si="10"/>
        <v>0.1863555983140027</v>
      </c>
      <c r="Q35" s="177">
        <f t="shared" si="10"/>
        <v>0.1863555983140027</v>
      </c>
      <c r="R35" s="321">
        <f>_xlfn.STDEV.S(H35:L35)</f>
        <v>0.10853989783586265</v>
      </c>
      <c r="S35" s="178">
        <f t="shared" ref="S35" si="11">AVERAGE(H35:L35)</f>
        <v>0.18548142335127157</v>
      </c>
    </row>
    <row r="36" spans="2:20">
      <c r="G36" s="119"/>
      <c r="H36" s="119"/>
      <c r="I36" s="119"/>
      <c r="J36" s="119"/>
      <c r="K36" s="119"/>
      <c r="L36" s="155"/>
      <c r="M36" s="119"/>
      <c r="N36" s="119"/>
      <c r="O36" s="119"/>
      <c r="P36" s="119"/>
      <c r="Q36" s="155"/>
      <c r="R36" s="155"/>
      <c r="S36" s="178"/>
    </row>
    <row r="37" spans="2:20" ht="15.6">
      <c r="C37" s="340" t="s">
        <v>753</v>
      </c>
      <c r="D37" s="341"/>
      <c r="E37" s="341"/>
      <c r="F37" s="342"/>
      <c r="G37" s="343"/>
      <c r="H37" s="344">
        <f>H10/'P&amp;L(OUTPUT)'!H7</f>
        <v>2.8420467904248883E-3</v>
      </c>
      <c r="I37" s="344">
        <f>I10/'P&amp;L(OUTPUT)'!I7</f>
        <v>1.5464083715617531E-3</v>
      </c>
      <c r="J37" s="344">
        <f>J10/'P&amp;L(OUTPUT)'!J7</f>
        <v>8.4427963882429159E-3</v>
      </c>
      <c r="K37" s="344">
        <f>K10/'P&amp;L(OUTPUT)'!K7</f>
        <v>5.0566276169379653E-3</v>
      </c>
      <c r="L37" s="345">
        <f>L10/'P&amp;L(OUTPUT)'!L7</f>
        <v>3.425010993166458E-3</v>
      </c>
      <c r="M37" s="344">
        <f>M10/'P&amp;L(OUTPUT)'!M7</f>
        <v>4.2625780320667966E-3</v>
      </c>
      <c r="N37" s="344">
        <f>N10/'P&amp;L(OUTPUT)'!N7</f>
        <v>4.2625780320667966E-3</v>
      </c>
      <c r="O37" s="344">
        <f>O10/'P&amp;L(OUTPUT)'!O7</f>
        <v>4.2625780320667966E-3</v>
      </c>
      <c r="P37" s="344">
        <f>P10/'P&amp;L(OUTPUT)'!P7</f>
        <v>4.2625780320667966E-3</v>
      </c>
      <c r="Q37" s="344">
        <f>Q10/'P&amp;L(OUTPUT)'!Q7</f>
        <v>4.2625780320667966E-3</v>
      </c>
      <c r="R37" s="346">
        <f>_xlfn.STDEV.S(H37:L37)</f>
        <v>2.6552657788970441E-3</v>
      </c>
      <c r="S37" s="348">
        <f t="shared" ref="S37" si="12">AVERAGE(H37:L37)</f>
        <v>4.2625780320667966E-3</v>
      </c>
    </row>
    <row r="38" spans="2:20">
      <c r="L38" s="157"/>
      <c r="Q38" s="157"/>
      <c r="R38" s="157"/>
      <c r="S38" s="316"/>
    </row>
    <row r="39" spans="2:20" ht="15.6" thickBot="1">
      <c r="B39" s="46"/>
      <c r="C39" s="46"/>
      <c r="D39" s="46"/>
      <c r="E39" s="46"/>
      <c r="F39" s="46"/>
      <c r="G39" s="46"/>
      <c r="H39" s="46"/>
      <c r="I39" s="46"/>
      <c r="J39" s="46"/>
      <c r="K39" s="46"/>
      <c r="L39" s="323"/>
      <c r="M39" s="46"/>
      <c r="N39" s="46"/>
      <c r="O39" s="46"/>
      <c r="P39" s="46"/>
      <c r="Q39" s="323"/>
      <c r="R39" s="324"/>
      <c r="S39" s="324"/>
    </row>
    <row r="40" spans="2:20" ht="15.6" thickTop="1">
      <c r="L40" s="325"/>
      <c r="Q40" s="325"/>
      <c r="R40" s="326"/>
      <c r="S40" s="157"/>
    </row>
    <row r="41" spans="2:20" ht="15.6">
      <c r="B41" s="3" t="s">
        <v>745</v>
      </c>
      <c r="H41" s="128"/>
      <c r="I41" s="128"/>
      <c r="J41" s="128"/>
      <c r="K41" s="128"/>
      <c r="L41" s="166"/>
      <c r="M41" s="128"/>
      <c r="N41" s="128"/>
      <c r="O41" s="128"/>
      <c r="P41" s="128"/>
      <c r="Q41" s="128"/>
      <c r="R41" s="316"/>
      <c r="S41" s="157"/>
    </row>
    <row r="42" spans="2:20">
      <c r="H42" s="128"/>
      <c r="I42" s="128"/>
      <c r="J42" s="128"/>
      <c r="K42" s="128"/>
      <c r="L42" s="166"/>
      <c r="M42" s="128"/>
      <c r="N42" s="128"/>
      <c r="O42" s="128"/>
      <c r="P42" s="128"/>
      <c r="Q42" s="128"/>
      <c r="R42" s="316"/>
      <c r="S42" s="157"/>
    </row>
    <row r="43" spans="2:20" ht="15.6">
      <c r="C43" s="3" t="s">
        <v>732</v>
      </c>
      <c r="H43" s="128">
        <f>G49</f>
        <v>54.16</v>
      </c>
      <c r="I43" s="128">
        <f>H49</f>
        <v>52.099999999999994</v>
      </c>
      <c r="J43" s="128">
        <f>I49</f>
        <v>51.54999999999999</v>
      </c>
      <c r="K43" s="128">
        <f t="shared" ref="K43:Q43" si="13">J49</f>
        <v>50.499999999999993</v>
      </c>
      <c r="L43" s="166">
        <f t="shared" si="13"/>
        <v>49.069999999999993</v>
      </c>
      <c r="M43" s="128">
        <f t="shared" si="13"/>
        <v>47.05</v>
      </c>
      <c r="N43" s="128">
        <f t="shared" si="13"/>
        <v>46.037992193415185</v>
      </c>
      <c r="O43" s="128">
        <f t="shared" si="13"/>
        <v>45.047751863994847</v>
      </c>
      <c r="P43" s="128">
        <f t="shared" si="13"/>
        <v>44.078810810743875</v>
      </c>
      <c r="Q43" s="128">
        <f t="shared" si="13"/>
        <v>43.130710903295459</v>
      </c>
      <c r="R43" s="327"/>
      <c r="S43" s="155"/>
    </row>
    <row r="44" spans="2:20">
      <c r="H44" s="128"/>
      <c r="I44" s="128"/>
      <c r="J44" s="128"/>
      <c r="K44" s="128"/>
      <c r="L44" s="166"/>
      <c r="M44" s="128"/>
      <c r="N44" s="128"/>
      <c r="O44" s="128"/>
      <c r="P44" s="128"/>
      <c r="Q44" s="128"/>
      <c r="R44" s="327"/>
      <c r="S44" s="155"/>
    </row>
    <row r="45" spans="2:20" ht="15.6">
      <c r="C45" s="3" t="s">
        <v>161</v>
      </c>
      <c r="D45" s="101" t="s">
        <v>733</v>
      </c>
      <c r="H45" s="128">
        <f>BS!H132</f>
        <v>-1.4100000000000037</v>
      </c>
      <c r="I45" s="128">
        <f>BS!I132</f>
        <v>0.78000000000000114</v>
      </c>
      <c r="J45" s="128">
        <f>BS!J132</f>
        <v>-9.9999999999980105E-3</v>
      </c>
      <c r="K45" s="128">
        <f>BS!K132</f>
        <v>-0.93999999999999773</v>
      </c>
      <c r="L45" s="166">
        <f>BS!L132</f>
        <v>-1.9299999999999997</v>
      </c>
      <c r="M45" s="136">
        <v>0</v>
      </c>
      <c r="N45" s="136">
        <v>0</v>
      </c>
      <c r="O45" s="136">
        <v>0</v>
      </c>
      <c r="P45" s="136">
        <v>0</v>
      </c>
      <c r="Q45" s="136">
        <v>0</v>
      </c>
      <c r="R45" s="327"/>
      <c r="S45" s="155"/>
      <c r="T45" s="2" t="s">
        <v>735</v>
      </c>
    </row>
    <row r="46" spans="2:20" ht="15.6">
      <c r="C46" s="3" t="s">
        <v>617</v>
      </c>
      <c r="D46" s="101" t="s">
        <v>442</v>
      </c>
      <c r="H46" s="128">
        <f>BS!H151</f>
        <v>1.1200000000000001</v>
      </c>
      <c r="I46" s="128">
        <f>BS!I151</f>
        <v>1.0900000000000001</v>
      </c>
      <c r="J46" s="128">
        <f>BS!J151</f>
        <v>1.1000000000000001</v>
      </c>
      <c r="K46" s="128">
        <f>BS!K151</f>
        <v>1.1000000000000001</v>
      </c>
      <c r="L46" s="166">
        <f>BS!L151</f>
        <v>1.1200000000000001</v>
      </c>
      <c r="M46" s="128">
        <f>$S$56*M43</f>
        <v>1.0120078065848144</v>
      </c>
      <c r="N46" s="128">
        <f t="shared" ref="N46:Q46" si="14">$S$56*N43</f>
        <v>0.99024032942033813</v>
      </c>
      <c r="O46" s="128">
        <f t="shared" si="14"/>
        <v>0.96894105325097568</v>
      </c>
      <c r="P46" s="128">
        <f t="shared" si="14"/>
        <v>0.94809990744841466</v>
      </c>
      <c r="Q46" s="128">
        <f t="shared" si="14"/>
        <v>0.92770703799548937</v>
      </c>
      <c r="R46" s="327"/>
      <c r="S46" s="155"/>
      <c r="T46" s="2" t="s">
        <v>735</v>
      </c>
    </row>
    <row r="47" spans="2:20" ht="15.6">
      <c r="C47" s="3" t="s">
        <v>161</v>
      </c>
      <c r="D47" s="101" t="s">
        <v>750</v>
      </c>
      <c r="H47" s="128">
        <f>BS!H152</f>
        <v>0.46999999999999975</v>
      </c>
      <c r="I47" s="128">
        <f>BS!I152</f>
        <v>-0.24</v>
      </c>
      <c r="J47" s="128">
        <f>BS!J152</f>
        <v>6.0000000000000941E-2</v>
      </c>
      <c r="K47" s="128">
        <f>BS!K152</f>
        <v>0.60999999999999988</v>
      </c>
      <c r="L47" s="166">
        <f>BS!L152</f>
        <v>1.0300000000000002</v>
      </c>
      <c r="M47" s="128">
        <f>BS!M152</f>
        <v>0</v>
      </c>
      <c r="N47" s="128">
        <f>BS!N152</f>
        <v>0</v>
      </c>
      <c r="O47" s="128">
        <f>BS!O152</f>
        <v>0</v>
      </c>
      <c r="P47" s="128">
        <f>BS!P152</f>
        <v>0</v>
      </c>
      <c r="Q47" s="166">
        <f>BS!Q152</f>
        <v>0</v>
      </c>
      <c r="R47" s="155"/>
      <c r="S47" s="155"/>
      <c r="T47" s="2" t="s">
        <v>735</v>
      </c>
    </row>
    <row r="48" spans="2:20">
      <c r="H48" s="128"/>
      <c r="I48" s="128"/>
      <c r="J48" s="128"/>
      <c r="K48" s="128"/>
      <c r="L48" s="166"/>
      <c r="M48" s="128"/>
      <c r="N48" s="128"/>
      <c r="O48" s="128"/>
      <c r="P48" s="128"/>
      <c r="Q48" s="166"/>
      <c r="R48" s="155"/>
      <c r="S48" s="155"/>
    </row>
    <row r="49" spans="2:20" ht="15.6">
      <c r="C49" s="12" t="s">
        <v>734</v>
      </c>
      <c r="D49" s="13"/>
      <c r="E49" s="13"/>
      <c r="F49" s="14"/>
      <c r="G49" s="134">
        <f>BS!G141</f>
        <v>54.16</v>
      </c>
      <c r="H49" s="134">
        <f>H43+H45-H46+H47</f>
        <v>52.099999999999994</v>
      </c>
      <c r="I49" s="134">
        <f t="shared" ref="I49:Q49" si="15">I43+I45-I46+I47</f>
        <v>51.54999999999999</v>
      </c>
      <c r="J49" s="134">
        <f>J43+J45-J46+J47</f>
        <v>50.499999999999993</v>
      </c>
      <c r="K49" s="134">
        <f t="shared" si="15"/>
        <v>49.069999999999993</v>
      </c>
      <c r="L49" s="170">
        <f t="shared" si="15"/>
        <v>47.05</v>
      </c>
      <c r="M49" s="134">
        <f t="shared" si="15"/>
        <v>46.037992193415185</v>
      </c>
      <c r="N49" s="134">
        <f t="shared" si="15"/>
        <v>45.047751863994847</v>
      </c>
      <c r="O49" s="134">
        <f t="shared" si="15"/>
        <v>44.078810810743875</v>
      </c>
      <c r="P49" s="134">
        <f t="shared" si="15"/>
        <v>43.130710903295459</v>
      </c>
      <c r="Q49" s="170">
        <f t="shared" si="15"/>
        <v>42.203003865299969</v>
      </c>
      <c r="R49" s="155"/>
      <c r="S49" s="155"/>
    </row>
    <row r="50" spans="2:20">
      <c r="H50" s="128"/>
      <c r="I50" s="128"/>
      <c r="J50" s="128"/>
      <c r="K50" s="128"/>
      <c r="L50" s="166"/>
      <c r="M50" s="128"/>
      <c r="N50" s="128"/>
      <c r="O50" s="128"/>
      <c r="P50" s="128"/>
      <c r="Q50" s="347"/>
      <c r="R50" s="155"/>
      <c r="S50" s="155"/>
    </row>
    <row r="51" spans="2:20" ht="15.6">
      <c r="C51" s="3" t="s">
        <v>736</v>
      </c>
      <c r="F51" s="11"/>
      <c r="G51" s="128" t="s">
        <v>158</v>
      </c>
      <c r="H51" s="128">
        <f>H49-G49</f>
        <v>-2.0600000000000023</v>
      </c>
      <c r="I51" s="128">
        <f t="shared" ref="I51" si="16">I49-H49</f>
        <v>-0.55000000000000426</v>
      </c>
      <c r="J51" s="128">
        <f t="shared" ref="J51" si="17">J49-I49</f>
        <v>-1.0499999999999972</v>
      </c>
      <c r="K51" s="128">
        <f t="shared" ref="K51" si="18">K49-J49</f>
        <v>-1.4299999999999997</v>
      </c>
      <c r="L51" s="166">
        <f t="shared" ref="L51" si="19">L49-K49</f>
        <v>-2.019999999999996</v>
      </c>
      <c r="M51" s="128">
        <f t="shared" ref="M51" si="20">M49-L49</f>
        <v>-1.0120078065848119</v>
      </c>
      <c r="N51" s="128">
        <f t="shared" ref="N51" si="21">N49-M49</f>
        <v>-0.99024032942033813</v>
      </c>
      <c r="O51" s="128">
        <f t="shared" ref="O51" si="22">O49-N49</f>
        <v>-0.96894105325097257</v>
      </c>
      <c r="P51" s="128">
        <f t="shared" ref="P51" si="23">P49-O49</f>
        <v>-0.94809990744841599</v>
      </c>
      <c r="Q51" s="166">
        <f t="shared" ref="Q51" si="24">Q49-P49</f>
        <v>-0.92770703799548926</v>
      </c>
      <c r="R51" s="155"/>
      <c r="S51" s="155"/>
    </row>
    <row r="52" spans="2:20">
      <c r="H52" s="128"/>
      <c r="I52" s="128"/>
      <c r="J52" s="128"/>
      <c r="K52" s="128"/>
      <c r="L52" s="166"/>
      <c r="M52" s="128"/>
      <c r="N52" s="128"/>
      <c r="O52" s="128"/>
      <c r="P52" s="128"/>
      <c r="Q52" s="166"/>
      <c r="R52" s="119"/>
      <c r="S52" s="327"/>
    </row>
    <row r="53" spans="2:20" ht="15.6" thickBot="1">
      <c r="C53" s="328"/>
      <c r="D53" s="328"/>
      <c r="E53" s="328"/>
      <c r="F53" s="328"/>
      <c r="G53" s="328"/>
      <c r="H53" s="329"/>
      <c r="I53" s="329"/>
      <c r="J53" s="329"/>
      <c r="K53" s="329"/>
      <c r="L53" s="330"/>
      <c r="M53" s="329"/>
      <c r="N53" s="329"/>
      <c r="O53" s="329"/>
      <c r="P53" s="329"/>
      <c r="Q53" s="329"/>
      <c r="R53" s="327"/>
      <c r="S53" s="155"/>
    </row>
    <row r="54" spans="2:20" ht="15.6" thickTop="1">
      <c r="H54" s="128"/>
      <c r="I54" s="128"/>
      <c r="J54" s="128"/>
      <c r="K54" s="128"/>
      <c r="L54" s="166"/>
      <c r="M54" s="128"/>
      <c r="N54" s="128"/>
      <c r="O54" s="128"/>
      <c r="P54" s="128"/>
      <c r="Q54" s="166"/>
      <c r="R54" s="155"/>
      <c r="S54" s="155"/>
    </row>
    <row r="55" spans="2:20">
      <c r="H55" s="128"/>
      <c r="I55" s="128"/>
      <c r="J55" s="128"/>
      <c r="K55" s="128"/>
      <c r="L55" s="166"/>
      <c r="M55" s="128"/>
      <c r="N55" s="128"/>
      <c r="O55" s="128"/>
      <c r="P55" s="128"/>
      <c r="Q55" s="166"/>
      <c r="R55" s="155"/>
      <c r="S55" s="155"/>
    </row>
    <row r="56" spans="2:20" ht="15.6">
      <c r="C56" s="340" t="s">
        <v>746</v>
      </c>
      <c r="D56" s="341"/>
      <c r="E56" s="341"/>
      <c r="F56" s="342"/>
      <c r="G56" s="343"/>
      <c r="H56" s="344">
        <f>H46/H43</f>
        <v>2.0679468242245203E-2</v>
      </c>
      <c r="I56" s="344">
        <f t="shared" ref="I56:Q56" si="25">I46/I43</f>
        <v>2.0921305182341653E-2</v>
      </c>
      <c r="J56" s="344">
        <f t="shared" si="25"/>
        <v>2.1338506304558687E-2</v>
      </c>
      <c r="K56" s="344">
        <f t="shared" si="25"/>
        <v>2.1782178217821788E-2</v>
      </c>
      <c r="L56" s="345">
        <f t="shared" si="25"/>
        <v>2.2824536376604854E-2</v>
      </c>
      <c r="M56" s="344">
        <f t="shared" si="25"/>
        <v>2.1509198864714439E-2</v>
      </c>
      <c r="N56" s="344">
        <f t="shared" si="25"/>
        <v>2.1509198864714439E-2</v>
      </c>
      <c r="O56" s="344">
        <f t="shared" si="25"/>
        <v>2.1509198864714439E-2</v>
      </c>
      <c r="P56" s="344">
        <f t="shared" si="25"/>
        <v>2.1509198864714439E-2</v>
      </c>
      <c r="Q56" s="345">
        <f t="shared" si="25"/>
        <v>2.1509198864714439E-2</v>
      </c>
      <c r="R56" s="345">
        <f>_xlfn.STDEV.S(H56:L56)</f>
        <v>8.4673465960986263E-4</v>
      </c>
      <c r="S56" s="348">
        <f t="shared" ref="S56" si="26">AVERAGE(H56:L56)</f>
        <v>2.1509198864714439E-2</v>
      </c>
    </row>
    <row r="57" spans="2:20">
      <c r="H57" s="128"/>
      <c r="I57" s="128"/>
      <c r="J57" s="128"/>
      <c r="K57" s="128"/>
      <c r="L57" s="166"/>
      <c r="M57" s="128"/>
      <c r="N57" s="128"/>
      <c r="O57" s="128"/>
      <c r="P57" s="128"/>
      <c r="Q57" s="166"/>
      <c r="R57" s="155"/>
      <c r="S57" s="155"/>
    </row>
    <row r="58" spans="2:20" ht="16.2" thickBot="1">
      <c r="B58" s="46"/>
      <c r="C58" s="332"/>
      <c r="D58" s="46"/>
      <c r="E58" s="46"/>
      <c r="F58" s="46"/>
      <c r="G58" s="46"/>
      <c r="H58" s="333"/>
      <c r="I58" s="333"/>
      <c r="J58" s="333"/>
      <c r="K58" s="333"/>
      <c r="L58" s="335"/>
      <c r="M58" s="334"/>
      <c r="N58" s="334"/>
      <c r="O58" s="334"/>
      <c r="P58" s="334"/>
      <c r="Q58" s="336"/>
      <c r="R58" s="335"/>
      <c r="S58" s="335"/>
    </row>
    <row r="59" spans="2:20" ht="15.6" thickTop="1">
      <c r="H59" s="128"/>
      <c r="I59" s="128"/>
      <c r="J59" s="128"/>
      <c r="K59" s="128"/>
      <c r="L59" s="166"/>
      <c r="M59" s="128"/>
      <c r="N59" s="128"/>
      <c r="O59" s="128"/>
      <c r="P59" s="128"/>
      <c r="Q59" s="166"/>
      <c r="R59" s="155"/>
      <c r="S59" s="155"/>
    </row>
    <row r="60" spans="2:20" ht="15.6">
      <c r="B60" s="3" t="s">
        <v>747</v>
      </c>
      <c r="G60" s="119"/>
      <c r="H60" s="128"/>
      <c r="I60" s="128"/>
      <c r="J60" s="128"/>
      <c r="K60" s="128"/>
      <c r="L60" s="166"/>
      <c r="M60" s="128"/>
      <c r="N60" s="128"/>
      <c r="O60" s="128"/>
      <c r="P60" s="128"/>
      <c r="Q60" s="166"/>
      <c r="R60" s="155"/>
      <c r="S60" s="155"/>
    </row>
    <row r="61" spans="2:20">
      <c r="G61" s="119"/>
      <c r="H61" s="128"/>
      <c r="I61" s="128"/>
      <c r="J61" s="128"/>
      <c r="K61" s="128"/>
      <c r="L61" s="166"/>
      <c r="M61" s="128"/>
      <c r="N61" s="128"/>
      <c r="O61" s="128"/>
      <c r="P61" s="128"/>
      <c r="Q61" s="166"/>
      <c r="R61" s="155"/>
      <c r="S61" s="155"/>
    </row>
    <row r="62" spans="2:20" ht="15.6">
      <c r="C62" s="3" t="s">
        <v>732</v>
      </c>
      <c r="G62" s="119"/>
      <c r="H62" s="128">
        <f>G67</f>
        <v>10.310000000000002</v>
      </c>
      <c r="I62" s="128">
        <f t="shared" ref="I62:Q62" si="27">H67</f>
        <v>32.919999999999995</v>
      </c>
      <c r="J62" s="128">
        <f t="shared" si="27"/>
        <v>44.179999999999993</v>
      </c>
      <c r="K62" s="128">
        <f t="shared" si="27"/>
        <v>44.709999999999994</v>
      </c>
      <c r="L62" s="166">
        <f t="shared" si="27"/>
        <v>39.730000000000004</v>
      </c>
      <c r="M62" s="128">
        <f t="shared" si="27"/>
        <v>888.7299999999999</v>
      </c>
      <c r="N62" s="128">
        <f t="shared" si="27"/>
        <v>877.60504952992585</v>
      </c>
      <c r="O62" s="128">
        <f t="shared" si="27"/>
        <v>865.42221497935293</v>
      </c>
      <c r="P62" s="128">
        <f t="shared" si="27"/>
        <v>852.325667837487</v>
      </c>
      <c r="Q62" s="166">
        <f t="shared" si="27"/>
        <v>838.31236239569046</v>
      </c>
      <c r="R62" s="155"/>
      <c r="S62" s="155"/>
    </row>
    <row r="63" spans="2:20" ht="15.6">
      <c r="B63" s="221" t="s">
        <v>161</v>
      </c>
      <c r="C63" s="2" t="s">
        <v>733</v>
      </c>
      <c r="G63" s="119"/>
      <c r="H63" s="128">
        <f>BS!H166</f>
        <v>29.72999999999999</v>
      </c>
      <c r="I63" s="128">
        <f>BS!I166</f>
        <v>20.03</v>
      </c>
      <c r="J63" s="128">
        <f>BS!J166</f>
        <v>8.980000000000004</v>
      </c>
      <c r="K63" s="128">
        <f>BS!K166</f>
        <v>4.75</v>
      </c>
      <c r="L63" s="166">
        <f>BS!L166</f>
        <v>882.95999999999992</v>
      </c>
      <c r="M63" s="136">
        <v>0</v>
      </c>
      <c r="N63" s="136">
        <v>0</v>
      </c>
      <c r="O63" s="136">
        <v>0</v>
      </c>
      <c r="P63" s="136">
        <v>0</v>
      </c>
      <c r="Q63" s="351">
        <v>0</v>
      </c>
      <c r="R63" s="155"/>
      <c r="S63" s="155"/>
    </row>
    <row r="64" spans="2:20" ht="15.6">
      <c r="B64" s="221" t="s">
        <v>755</v>
      </c>
      <c r="C64" s="2" t="s">
        <v>765</v>
      </c>
      <c r="G64" s="119"/>
      <c r="H64" s="128">
        <f>BS!H185</f>
        <v>7.18</v>
      </c>
      <c r="I64" s="128">
        <f>BS!I185</f>
        <v>9.11</v>
      </c>
      <c r="J64" s="128">
        <f>BS!J185</f>
        <v>8.61</v>
      </c>
      <c r="K64" s="128">
        <f>BS!K185</f>
        <v>9.65</v>
      </c>
      <c r="L64" s="166">
        <f>BS!L185</f>
        <v>33.32</v>
      </c>
      <c r="M64" s="128">
        <f>$S$73*'Revenue '!M5</f>
        <v>11.124950470074051</v>
      </c>
      <c r="N64" s="128">
        <f>$S$73*'Revenue '!N5</f>
        <v>12.182834550572975</v>
      </c>
      <c r="O64" s="128">
        <f>$S$73*'Revenue '!O5</f>
        <v>13.096547141865949</v>
      </c>
      <c r="P64" s="128">
        <f>$S$73*'Revenue '!P5</f>
        <v>14.013305441796565</v>
      </c>
      <c r="Q64" s="166">
        <f>$S$73*'Revenue '!Q5</f>
        <v>14.924170295513342</v>
      </c>
      <c r="R64" s="178"/>
      <c r="S64" s="155"/>
      <c r="T64" s="2" t="s">
        <v>749</v>
      </c>
    </row>
    <row r="65" spans="2:20" ht="15.6">
      <c r="B65" s="221" t="s">
        <v>161</v>
      </c>
      <c r="C65" s="2" t="s">
        <v>750</v>
      </c>
      <c r="G65" s="119"/>
      <c r="H65" s="128">
        <f>BS!H186</f>
        <v>6.0000000000002274E-2</v>
      </c>
      <c r="I65" s="128">
        <f>BS!I186</f>
        <v>0.33999999999999631</v>
      </c>
      <c r="J65" s="128">
        <f>BS!J186</f>
        <v>0.15999999999999659</v>
      </c>
      <c r="K65" s="128">
        <f>BS!K186</f>
        <v>-7.9999999999989413E-2</v>
      </c>
      <c r="L65" s="166">
        <f>BS!L186</f>
        <v>-0.64000000000000767</v>
      </c>
      <c r="M65" s="136">
        <f>BS!M186</f>
        <v>0</v>
      </c>
      <c r="N65" s="136">
        <f>BS!N186</f>
        <v>0</v>
      </c>
      <c r="O65" s="136">
        <f>BS!O186</f>
        <v>0</v>
      </c>
      <c r="P65" s="136">
        <f>BS!P186</f>
        <v>0</v>
      </c>
      <c r="Q65" s="351">
        <f>BS!Q186</f>
        <v>0</v>
      </c>
      <c r="R65" s="155"/>
      <c r="S65" s="155"/>
    </row>
    <row r="66" spans="2:20" ht="15.6">
      <c r="B66" s="221"/>
      <c r="G66" s="119"/>
      <c r="H66" s="128"/>
      <c r="I66" s="128"/>
      <c r="J66" s="128"/>
      <c r="K66" s="128"/>
      <c r="L66" s="166"/>
      <c r="M66" s="128"/>
      <c r="N66" s="128"/>
      <c r="O66" s="128"/>
      <c r="P66" s="128"/>
      <c r="Q66" s="166"/>
      <c r="R66" s="155"/>
      <c r="S66" s="155"/>
    </row>
    <row r="67" spans="2:20" ht="15.6">
      <c r="C67" s="12" t="s">
        <v>756</v>
      </c>
      <c r="D67" s="13"/>
      <c r="E67" s="13"/>
      <c r="F67" s="13"/>
      <c r="G67" s="183">
        <f>BS!G175</f>
        <v>10.310000000000002</v>
      </c>
      <c r="H67" s="134">
        <f>H62+H63-H64+H65</f>
        <v>32.919999999999995</v>
      </c>
      <c r="I67" s="134">
        <f t="shared" ref="I67:P67" si="28">I62+I63-I64+I65</f>
        <v>44.179999999999993</v>
      </c>
      <c r="J67" s="134">
        <f t="shared" si="28"/>
        <v>44.709999999999994</v>
      </c>
      <c r="K67" s="134">
        <f t="shared" si="28"/>
        <v>39.730000000000004</v>
      </c>
      <c r="L67" s="170">
        <f t="shared" si="28"/>
        <v>888.7299999999999</v>
      </c>
      <c r="M67" s="134">
        <f t="shared" si="28"/>
        <v>877.60504952992585</v>
      </c>
      <c r="N67" s="134">
        <f t="shared" si="28"/>
        <v>865.42221497935293</v>
      </c>
      <c r="O67" s="134">
        <f t="shared" si="28"/>
        <v>852.325667837487</v>
      </c>
      <c r="P67" s="134">
        <f t="shared" si="28"/>
        <v>838.31236239569046</v>
      </c>
      <c r="Q67" s="170">
        <f>Q62+Q63-Q64+Q65</f>
        <v>823.38819210017709</v>
      </c>
      <c r="R67" s="350"/>
      <c r="S67" s="155"/>
    </row>
    <row r="68" spans="2:20">
      <c r="G68" s="119"/>
      <c r="H68" s="128"/>
      <c r="I68" s="128"/>
      <c r="J68" s="128"/>
      <c r="K68" s="128"/>
      <c r="L68" s="166"/>
      <c r="M68" s="128"/>
      <c r="N68" s="128"/>
      <c r="O68" s="128"/>
      <c r="P68" s="128"/>
      <c r="Q68" s="166"/>
      <c r="R68" s="155"/>
      <c r="S68" s="155"/>
    </row>
    <row r="69" spans="2:20" ht="15.6">
      <c r="C69" s="3" t="s">
        <v>736</v>
      </c>
      <c r="G69" s="119"/>
      <c r="H69" s="128">
        <f>H67-G67</f>
        <v>22.609999999999992</v>
      </c>
      <c r="I69" s="128">
        <f t="shared" ref="I69:Q69" si="29">I67-H67</f>
        <v>11.259999999999998</v>
      </c>
      <c r="J69" s="128">
        <f t="shared" si="29"/>
        <v>0.53000000000000114</v>
      </c>
      <c r="K69" s="128">
        <f t="shared" si="29"/>
        <v>-4.9799999999999898</v>
      </c>
      <c r="L69" s="166">
        <f t="shared" si="29"/>
        <v>848.99999999999989</v>
      </c>
      <c r="M69" s="128">
        <f t="shared" si="29"/>
        <v>-11.124950470074054</v>
      </c>
      <c r="N69" s="128">
        <f t="shared" si="29"/>
        <v>-12.18283455057292</v>
      </c>
      <c r="O69" s="128">
        <f t="shared" si="29"/>
        <v>-13.096547141865926</v>
      </c>
      <c r="P69" s="128">
        <f t="shared" si="29"/>
        <v>-14.013305441796547</v>
      </c>
      <c r="Q69" s="166">
        <f t="shared" si="29"/>
        <v>-14.924170295513363</v>
      </c>
      <c r="R69" s="155"/>
      <c r="S69" s="155"/>
    </row>
    <row r="70" spans="2:20">
      <c r="G70" s="119"/>
      <c r="H70" s="128"/>
      <c r="I70" s="128"/>
      <c r="J70" s="128"/>
      <c r="K70" s="128"/>
      <c r="L70" s="359"/>
      <c r="M70" s="128"/>
      <c r="N70" s="128"/>
      <c r="O70" s="128"/>
      <c r="P70" s="128"/>
      <c r="Q70" s="359"/>
      <c r="R70" s="155"/>
      <c r="S70" s="155"/>
    </row>
    <row r="71" spans="2:20" ht="15.6" thickBot="1">
      <c r="C71" s="328"/>
      <c r="D71" s="328"/>
      <c r="E71" s="328"/>
      <c r="F71" s="328"/>
      <c r="G71" s="328"/>
      <c r="H71" s="329"/>
      <c r="I71" s="329"/>
      <c r="J71" s="329"/>
      <c r="K71" s="329"/>
      <c r="L71" s="330"/>
      <c r="M71" s="329"/>
      <c r="N71" s="329"/>
      <c r="O71" s="329"/>
      <c r="P71" s="329"/>
      <c r="Q71" s="330"/>
      <c r="R71" s="331"/>
      <c r="S71" s="157"/>
    </row>
    <row r="72" spans="2:20" ht="15.6" thickTop="1">
      <c r="G72" s="119"/>
      <c r="H72" s="128"/>
      <c r="I72" s="128"/>
      <c r="J72" s="128"/>
      <c r="K72" s="128"/>
      <c r="L72" s="353"/>
      <c r="M72" s="128"/>
      <c r="N72" s="128"/>
      <c r="O72" s="128"/>
      <c r="P72" s="128"/>
      <c r="Q72" s="166"/>
      <c r="R72" s="155"/>
      <c r="S72" s="157"/>
    </row>
    <row r="73" spans="2:20" ht="15.6">
      <c r="C73" s="340" t="s">
        <v>758</v>
      </c>
      <c r="D73" s="341"/>
      <c r="E73" s="341"/>
      <c r="F73" s="341"/>
      <c r="G73" s="354"/>
      <c r="H73" s="344">
        <f>(H64-H65)/'Revenue '!H5</f>
        <v>8.3617244412500754E-4</v>
      </c>
      <c r="I73" s="344">
        <f>(I64-I65)/'Revenue '!I5</f>
        <v>1.0098288472521605E-3</v>
      </c>
      <c r="J73" s="344">
        <f>(J64-J65)/'Revenue '!J5</f>
        <v>8.8513187941256604E-4</v>
      </c>
      <c r="K73" s="344">
        <f>(K64-K65)/'Revenue '!K5</f>
        <v>8.935885708827874E-4</v>
      </c>
      <c r="L73" s="345">
        <f>(L64-L65-25)/'Revenue '!L5</f>
        <v>7.7711062291140748E-4</v>
      </c>
      <c r="M73" s="344">
        <f>M64/'Revenue '!M5</f>
        <v>8.8036647291678586E-4</v>
      </c>
      <c r="N73" s="344">
        <f>N64/'Revenue '!N5</f>
        <v>8.8036647291678575E-4</v>
      </c>
      <c r="O73" s="344">
        <f>O64/'Revenue '!O5</f>
        <v>8.8036647291678586E-4</v>
      </c>
      <c r="P73" s="344">
        <f>P64/'Revenue '!P5</f>
        <v>8.8036647291678575E-4</v>
      </c>
      <c r="Q73" s="345">
        <f>Q64/'Revenue '!Q5</f>
        <v>8.8036647291678575E-4</v>
      </c>
      <c r="R73" s="345">
        <f>_xlfn.STDEV.S(H73:L73)</f>
        <v>8.5983896869453073E-5</v>
      </c>
      <c r="S73" s="345">
        <f t="shared" ref="S73" si="30">AVERAGE(H73:L73)</f>
        <v>8.8036647291678575E-4</v>
      </c>
      <c r="T73" s="2" t="s">
        <v>759</v>
      </c>
    </row>
    <row r="74" spans="2:20">
      <c r="G74" s="119"/>
      <c r="H74" s="128"/>
      <c r="I74" s="128"/>
      <c r="J74" s="128"/>
      <c r="K74" s="128"/>
      <c r="L74" s="166"/>
      <c r="M74" s="128"/>
      <c r="N74" s="128"/>
      <c r="O74" s="128"/>
      <c r="P74" s="128"/>
      <c r="Q74" s="166"/>
      <c r="R74" s="155"/>
      <c r="S74" s="157"/>
    </row>
    <row r="75" spans="2:20" ht="15.6" thickBot="1">
      <c r="B75" s="46"/>
      <c r="C75" s="46"/>
      <c r="D75" s="46"/>
      <c r="E75" s="46"/>
      <c r="F75" s="46"/>
      <c r="G75" s="355"/>
      <c r="H75" s="334"/>
      <c r="I75" s="334"/>
      <c r="J75" s="334"/>
      <c r="K75" s="334"/>
      <c r="L75" s="336"/>
      <c r="M75" s="334"/>
      <c r="N75" s="334"/>
      <c r="O75" s="334"/>
      <c r="P75" s="334"/>
      <c r="Q75" s="336"/>
      <c r="R75" s="356"/>
      <c r="S75" s="323"/>
    </row>
    <row r="76" spans="2:20" ht="15.6" thickTop="1">
      <c r="F76" s="119"/>
      <c r="G76" s="119"/>
      <c r="H76" s="119"/>
      <c r="I76" s="119"/>
      <c r="J76" s="119"/>
      <c r="K76" s="119"/>
      <c r="L76" s="155"/>
      <c r="M76" s="119"/>
      <c r="N76" s="119"/>
      <c r="O76" s="119"/>
      <c r="P76" s="119"/>
      <c r="Q76" s="155"/>
      <c r="R76" s="155"/>
      <c r="S76" s="316"/>
    </row>
    <row r="77" spans="2:20" ht="15.6">
      <c r="B77" s="3" t="s">
        <v>757</v>
      </c>
      <c r="F77" s="119"/>
      <c r="G77" s="119"/>
      <c r="H77" s="119"/>
      <c r="I77" s="119"/>
      <c r="J77" s="119"/>
      <c r="K77" s="119"/>
      <c r="L77" s="155"/>
      <c r="M77" s="119"/>
      <c r="N77" s="119"/>
      <c r="O77" s="119"/>
      <c r="P77" s="119"/>
      <c r="Q77" s="155"/>
      <c r="R77" s="155"/>
      <c r="S77" s="316"/>
    </row>
    <row r="78" spans="2:20">
      <c r="F78" s="119"/>
      <c r="G78" s="119"/>
      <c r="H78" s="119"/>
      <c r="I78" s="119"/>
      <c r="J78" s="119"/>
      <c r="K78" s="119"/>
      <c r="L78" s="155"/>
      <c r="M78" s="119"/>
      <c r="N78" s="119"/>
      <c r="O78" s="119"/>
      <c r="P78" s="119"/>
      <c r="Q78" s="155"/>
      <c r="R78" s="155"/>
      <c r="S78" s="316"/>
    </row>
    <row r="79" spans="2:20" ht="15.6">
      <c r="C79" s="3" t="s">
        <v>732</v>
      </c>
      <c r="F79" s="119"/>
      <c r="G79" s="119"/>
      <c r="H79" s="207">
        <f t="shared" ref="H79:Q79" si="31">H62+H43+H6</f>
        <v>1616.57</v>
      </c>
      <c r="I79" s="207">
        <f t="shared" si="31"/>
        <v>1632.9900000000005</v>
      </c>
      <c r="J79" s="207">
        <f t="shared" si="31"/>
        <v>1916.7100000000005</v>
      </c>
      <c r="K79" s="207">
        <f t="shared" si="31"/>
        <v>1906.9100000000003</v>
      </c>
      <c r="L79" s="205">
        <f t="shared" si="31"/>
        <v>2056.7500000000005</v>
      </c>
      <c r="M79" s="207">
        <f t="shared" si="31"/>
        <v>3173.3999999999996</v>
      </c>
      <c r="N79" s="207">
        <f t="shared" si="31"/>
        <v>3332.4082951036717</v>
      </c>
      <c r="O79" s="207">
        <f t="shared" si="31"/>
        <v>3506.6548686668038</v>
      </c>
      <c r="P79" s="207">
        <f t="shared" si="31"/>
        <v>3694.0655025480464</v>
      </c>
      <c r="Q79" s="205">
        <f t="shared" si="31"/>
        <v>3894.6835478205057</v>
      </c>
      <c r="R79" s="157"/>
      <c r="S79" s="316"/>
    </row>
    <row r="80" spans="2:20">
      <c r="F80" s="119"/>
      <c r="G80" s="119"/>
      <c r="H80" s="119"/>
      <c r="I80" s="119"/>
      <c r="J80" s="119"/>
      <c r="K80" s="119"/>
      <c r="L80" s="155"/>
      <c r="M80" s="119"/>
      <c r="N80" s="119"/>
      <c r="O80" s="119"/>
      <c r="P80" s="119"/>
      <c r="Q80" s="155"/>
      <c r="R80" s="157"/>
      <c r="S80" s="316"/>
    </row>
    <row r="81" spans="2:19" ht="15.6">
      <c r="C81" s="3" t="s">
        <v>161</v>
      </c>
      <c r="D81" s="101" t="s">
        <v>733</v>
      </c>
      <c r="F81" s="119"/>
      <c r="G81" s="119"/>
      <c r="H81" s="207">
        <f>H63+H45+H8</f>
        <v>168.59000000000043</v>
      </c>
      <c r="I81" s="207">
        <f t="shared" ref="I81:Q81" si="32">I63+I45+I8</f>
        <v>490.63999999999993</v>
      </c>
      <c r="J81" s="207">
        <f t="shared" si="32"/>
        <v>149.50999999999996</v>
      </c>
      <c r="K81" s="207">
        <f t="shared" si="32"/>
        <v>347.13999999999993</v>
      </c>
      <c r="L81" s="205">
        <f t="shared" si="32"/>
        <v>1387.7299999999998</v>
      </c>
      <c r="M81" s="207">
        <f t="shared" si="32"/>
        <v>406.32457335612531</v>
      </c>
      <c r="N81" s="207">
        <f t="shared" si="32"/>
        <v>444.96243505494698</v>
      </c>
      <c r="O81" s="207">
        <f t="shared" si="32"/>
        <v>478.33461768406806</v>
      </c>
      <c r="P81" s="207">
        <f t="shared" si="32"/>
        <v>511.81804092195279</v>
      </c>
      <c r="Q81" s="205">
        <f t="shared" si="32"/>
        <v>545.08621358187975</v>
      </c>
      <c r="R81" s="157"/>
      <c r="S81" s="316"/>
    </row>
    <row r="82" spans="2:19" ht="15.6">
      <c r="C82" s="3" t="s">
        <v>617</v>
      </c>
      <c r="D82" s="101" t="s">
        <v>767</v>
      </c>
      <c r="F82" s="119"/>
      <c r="G82" s="119"/>
      <c r="H82" s="207">
        <f>H64+H46+H9</f>
        <v>176.9</v>
      </c>
      <c r="I82" s="207">
        <f t="shared" ref="I82:Q82" si="33">I64+I46+I9</f>
        <v>220.45</v>
      </c>
      <c r="J82" s="207">
        <f t="shared" si="33"/>
        <v>240.13</v>
      </c>
      <c r="K82" s="207">
        <f t="shared" si="33"/>
        <v>252.89000000000001</v>
      </c>
      <c r="L82" s="205">
        <f t="shared" si="33"/>
        <v>310.95999999999998</v>
      </c>
      <c r="M82" s="207">
        <f t="shared" si="33"/>
        <v>301.18131166797656</v>
      </c>
      <c r="N82" s="207">
        <f t="shared" si="33"/>
        <v>329.70298165272266</v>
      </c>
      <c r="O82" s="207">
        <f t="shared" si="33"/>
        <v>354.33513797580099</v>
      </c>
      <c r="P82" s="207">
        <f t="shared" si="33"/>
        <v>379.04993061457691</v>
      </c>
      <c r="Q82" s="205">
        <f t="shared" si="33"/>
        <v>403.60615674108732</v>
      </c>
      <c r="R82" s="157"/>
      <c r="S82" s="316"/>
    </row>
    <row r="83" spans="2:19" ht="15.6">
      <c r="C83" s="3" t="s">
        <v>161</v>
      </c>
      <c r="D83" s="101" t="s">
        <v>750</v>
      </c>
      <c r="F83" s="119"/>
      <c r="G83" s="119"/>
      <c r="H83" s="207">
        <f>H47+H10+H65</f>
        <v>24.730000000000018</v>
      </c>
      <c r="I83" s="207">
        <f t="shared" ref="I83:Q83" si="34">I47+I10+I65</f>
        <v>13.53000000000006</v>
      </c>
      <c r="J83" s="207">
        <f t="shared" si="34"/>
        <v>80.819999999999823</v>
      </c>
      <c r="K83" s="207">
        <f t="shared" si="34"/>
        <v>55.590000000000096</v>
      </c>
      <c r="L83" s="205">
        <f t="shared" si="34"/>
        <v>39.880000000000003</v>
      </c>
      <c r="M83" s="207">
        <f t="shared" si="34"/>
        <v>53.865033415523044</v>
      </c>
      <c r="N83" s="207">
        <f t="shared" si="34"/>
        <v>58.987120160907466</v>
      </c>
      <c r="O83" s="207">
        <f t="shared" si="34"/>
        <v>63.411154172975529</v>
      </c>
      <c r="P83" s="207">
        <f t="shared" si="34"/>
        <v>67.849934965083818</v>
      </c>
      <c r="Q83" s="205">
        <f t="shared" si="34"/>
        <v>72.260180737814267</v>
      </c>
      <c r="R83" s="157"/>
      <c r="S83" s="316"/>
    </row>
    <row r="84" spans="2:19">
      <c r="F84" s="119"/>
      <c r="G84" s="119"/>
      <c r="H84" s="119"/>
      <c r="I84" s="119"/>
      <c r="J84" s="119"/>
      <c r="K84" s="119"/>
      <c r="L84" s="155"/>
      <c r="M84" s="119"/>
      <c r="N84" s="119"/>
      <c r="O84" s="119"/>
      <c r="P84" s="119"/>
      <c r="Q84" s="418"/>
      <c r="R84" s="157"/>
      <c r="S84" s="316"/>
    </row>
    <row r="85" spans="2:19" ht="15.6">
      <c r="C85" s="12" t="s">
        <v>734</v>
      </c>
      <c r="D85" s="13"/>
      <c r="E85" s="13"/>
      <c r="F85" s="183"/>
      <c r="G85" s="349">
        <f>G67+G49+G12</f>
        <v>1616.57</v>
      </c>
      <c r="H85" s="349">
        <f>H79+H81-H82+H83</f>
        <v>1632.9900000000002</v>
      </c>
      <c r="I85" s="349">
        <f t="shared" ref="I85:Q85" si="35">I79+I81-I82+I83</f>
        <v>1916.7100000000005</v>
      </c>
      <c r="J85" s="349">
        <f t="shared" si="35"/>
        <v>1906.9099999999999</v>
      </c>
      <c r="K85" s="349">
        <f t="shared" si="35"/>
        <v>2056.75</v>
      </c>
      <c r="L85" s="352">
        <f t="shared" si="35"/>
        <v>3173.4000000000005</v>
      </c>
      <c r="M85" s="349">
        <f t="shared" si="35"/>
        <v>3332.4082951036717</v>
      </c>
      <c r="N85" s="349">
        <f t="shared" si="35"/>
        <v>3506.6548686668038</v>
      </c>
      <c r="O85" s="349">
        <f t="shared" si="35"/>
        <v>3694.0655025480464</v>
      </c>
      <c r="P85" s="349">
        <f t="shared" si="35"/>
        <v>3894.6835478205062</v>
      </c>
      <c r="Q85" s="352">
        <f t="shared" si="35"/>
        <v>4108.4237853991126</v>
      </c>
      <c r="R85" s="157"/>
      <c r="S85" s="316"/>
    </row>
    <row r="86" spans="2:19">
      <c r="F86" s="119"/>
      <c r="G86" s="119"/>
      <c r="H86" s="119"/>
      <c r="I86" s="119"/>
      <c r="J86" s="119"/>
      <c r="K86" s="119"/>
      <c r="L86" s="155"/>
      <c r="M86" s="119"/>
      <c r="N86" s="119"/>
      <c r="O86" s="119"/>
      <c r="P86" s="119"/>
      <c r="Q86" s="155"/>
      <c r="R86" s="157"/>
      <c r="S86" s="316"/>
    </row>
    <row r="87" spans="2:19" ht="15.6">
      <c r="C87" s="3" t="s">
        <v>736</v>
      </c>
      <c r="F87" s="119"/>
      <c r="G87" s="119"/>
      <c r="H87" s="128">
        <f>H69+H51+H14</f>
        <v>16.420000000000563</v>
      </c>
      <c r="I87" s="128">
        <f t="shared" ref="I87:Q87" si="36">I69+I51+I14</f>
        <v>283.71999999999997</v>
      </c>
      <c r="J87" s="128">
        <f t="shared" si="36"/>
        <v>-9.8000000000001961</v>
      </c>
      <c r="K87" s="128">
        <f t="shared" si="36"/>
        <v>149.84</v>
      </c>
      <c r="L87" s="166">
        <f t="shared" si="36"/>
        <v>1116.6499999999996</v>
      </c>
      <c r="M87" s="128">
        <f t="shared" si="36"/>
        <v>159.00829510367194</v>
      </c>
      <c r="N87" s="128">
        <f t="shared" si="36"/>
        <v>174.24657356313216</v>
      </c>
      <c r="O87" s="128">
        <f t="shared" si="36"/>
        <v>187.41063388124249</v>
      </c>
      <c r="P87" s="128">
        <f t="shared" si="36"/>
        <v>200.61804527245943</v>
      </c>
      <c r="Q87" s="166">
        <f t="shared" si="36"/>
        <v>213.74023757860658</v>
      </c>
      <c r="R87" s="157"/>
      <c r="S87" s="316"/>
    </row>
    <row r="88" spans="2:19" ht="15.6" thickBot="1">
      <c r="B88" s="46"/>
      <c r="C88" s="46"/>
      <c r="D88" s="46"/>
      <c r="E88" s="46"/>
      <c r="F88" s="355"/>
      <c r="G88" s="355"/>
      <c r="H88" s="334"/>
      <c r="I88" s="334"/>
      <c r="J88" s="334"/>
      <c r="K88" s="334"/>
      <c r="L88" s="336"/>
      <c r="M88" s="334"/>
      <c r="N88" s="334"/>
      <c r="O88" s="334"/>
      <c r="P88" s="334"/>
      <c r="Q88" s="336"/>
      <c r="R88" s="323"/>
      <c r="S88" s="324"/>
    </row>
    <row r="89" spans="2:19" ht="15.6" thickTop="1">
      <c r="F89" s="119"/>
      <c r="G89" s="119"/>
      <c r="H89" s="128"/>
      <c r="I89" s="128"/>
      <c r="J89" s="128"/>
      <c r="K89" s="128"/>
      <c r="L89" s="128"/>
      <c r="M89" s="128"/>
      <c r="N89" s="128"/>
      <c r="O89" s="128"/>
      <c r="P89" s="128"/>
      <c r="Q89" s="128"/>
    </row>
    <row r="90" spans="2:19">
      <c r="F90" s="119"/>
      <c r="G90" s="119"/>
      <c r="H90" s="128"/>
      <c r="I90" s="128"/>
      <c r="J90" s="128"/>
      <c r="K90" s="128"/>
      <c r="L90" s="128"/>
      <c r="M90" s="128"/>
      <c r="N90" s="128"/>
      <c r="O90" s="128"/>
      <c r="P90" s="128"/>
      <c r="Q90" s="128"/>
    </row>
    <row r="91" spans="2:19" ht="15.6">
      <c r="C91" s="3" t="s">
        <v>332</v>
      </c>
      <c r="F91" s="119"/>
      <c r="G91" s="119"/>
      <c r="H91" s="128"/>
      <c r="I91" s="128"/>
      <c r="J91" s="128"/>
      <c r="K91" s="128"/>
      <c r="L91" s="128"/>
      <c r="M91" s="128"/>
      <c r="N91" s="128"/>
      <c r="O91" s="128"/>
      <c r="P91" s="128"/>
      <c r="Q91" s="128"/>
    </row>
    <row r="92" spans="2:19">
      <c r="F92" s="119"/>
      <c r="G92" s="119"/>
      <c r="H92" s="128"/>
      <c r="I92" s="128"/>
      <c r="J92" s="128"/>
      <c r="K92" s="128"/>
      <c r="L92" s="128"/>
      <c r="M92" s="128"/>
      <c r="N92" s="128"/>
      <c r="O92" s="128"/>
      <c r="P92" s="128"/>
      <c r="Q92" s="128"/>
    </row>
    <row r="93" spans="2:19" ht="15.6">
      <c r="C93" s="2">
        <v>1</v>
      </c>
      <c r="D93" s="3" t="s">
        <v>117</v>
      </c>
      <c r="F93" s="119"/>
      <c r="G93" s="119"/>
      <c r="H93" s="128"/>
      <c r="I93" s="128"/>
      <c r="J93" s="128"/>
      <c r="K93" s="128"/>
      <c r="L93" s="128"/>
      <c r="M93" s="128"/>
      <c r="N93" s="128"/>
      <c r="O93" s="128"/>
      <c r="P93" s="128"/>
      <c r="Q93" s="128"/>
    </row>
    <row r="94" spans="2:19">
      <c r="D94" s="2" t="s">
        <v>760</v>
      </c>
      <c r="F94" s="119"/>
      <c r="G94" s="119"/>
      <c r="H94" s="128"/>
      <c r="I94" s="128"/>
      <c r="J94" s="128"/>
      <c r="K94" s="128"/>
      <c r="L94" s="128"/>
      <c r="M94" s="128"/>
      <c r="N94" s="128"/>
      <c r="O94" s="128"/>
      <c r="P94" s="128"/>
      <c r="Q94" s="128"/>
    </row>
    <row r="95" spans="2:19">
      <c r="F95" s="119"/>
      <c r="G95" s="119"/>
      <c r="H95" s="128"/>
      <c r="I95" s="128"/>
      <c r="J95" s="128"/>
      <c r="K95" s="128"/>
      <c r="L95" s="128"/>
      <c r="M95" s="128"/>
      <c r="N95" s="128"/>
      <c r="O95" s="128"/>
      <c r="P95" s="128"/>
      <c r="Q95" s="128"/>
    </row>
    <row r="96" spans="2:19" ht="15.6">
      <c r="C96" s="2">
        <v>2</v>
      </c>
      <c r="D96" s="3" t="s">
        <v>745</v>
      </c>
      <c r="F96" s="119"/>
      <c r="G96" s="119"/>
      <c r="H96" s="128"/>
      <c r="I96" s="128"/>
      <c r="J96" s="128"/>
      <c r="K96" s="128"/>
      <c r="L96" s="128"/>
      <c r="M96" s="128"/>
      <c r="N96" s="128"/>
      <c r="O96" s="128"/>
      <c r="P96" s="128"/>
      <c r="Q96" s="128"/>
    </row>
    <row r="97" spans="3:17">
      <c r="D97" s="2" t="s">
        <v>761</v>
      </c>
      <c r="F97" s="119"/>
      <c r="G97" s="119"/>
      <c r="H97" s="128"/>
      <c r="I97" s="128"/>
      <c r="J97" s="128"/>
      <c r="K97" s="128"/>
      <c r="L97" s="128"/>
      <c r="M97" s="128"/>
      <c r="N97" s="128"/>
      <c r="O97" s="128"/>
      <c r="P97" s="128"/>
      <c r="Q97" s="128"/>
    </row>
    <row r="98" spans="3:17">
      <c r="F98" s="119"/>
      <c r="G98" s="119"/>
      <c r="H98" s="128"/>
      <c r="I98" s="128"/>
      <c r="J98" s="128"/>
      <c r="K98" s="128"/>
      <c r="L98" s="128"/>
      <c r="M98" s="128"/>
      <c r="N98" s="128"/>
      <c r="O98" s="128"/>
      <c r="P98" s="128"/>
      <c r="Q98" s="128"/>
    </row>
    <row r="99" spans="3:17" ht="15.6">
      <c r="C99" s="2">
        <v>3</v>
      </c>
      <c r="D99" s="3" t="s">
        <v>747</v>
      </c>
      <c r="F99" s="119"/>
      <c r="G99" s="119"/>
      <c r="H99" s="128"/>
      <c r="I99" s="128"/>
      <c r="J99" s="128"/>
      <c r="K99" s="128"/>
      <c r="L99" s="128"/>
      <c r="M99" s="128"/>
      <c r="N99" s="128"/>
      <c r="O99" s="128"/>
      <c r="P99" s="128"/>
      <c r="Q99" s="128"/>
    </row>
    <row r="100" spans="3:17">
      <c r="D100" s="2" t="s">
        <v>762</v>
      </c>
      <c r="F100" s="119"/>
      <c r="G100" s="119"/>
      <c r="H100" s="128"/>
      <c r="I100" s="128"/>
      <c r="J100" s="128"/>
      <c r="K100" s="128"/>
      <c r="L100" s="128"/>
      <c r="M100" s="128"/>
      <c r="N100" s="128"/>
      <c r="O100" s="128"/>
      <c r="P100" s="128"/>
      <c r="Q100" s="128"/>
    </row>
    <row r="101" spans="3:17">
      <c r="F101" s="119"/>
      <c r="G101" s="119"/>
      <c r="H101" s="128"/>
      <c r="I101" s="128"/>
      <c r="J101" s="128"/>
      <c r="K101" s="128"/>
      <c r="L101" s="128"/>
      <c r="M101" s="128"/>
      <c r="N101" s="128"/>
      <c r="O101" s="128"/>
      <c r="P101" s="128"/>
      <c r="Q101" s="128"/>
    </row>
    <row r="102" spans="3:17">
      <c r="F102" s="119"/>
      <c r="G102" s="119"/>
      <c r="H102" s="128"/>
      <c r="I102" s="128"/>
      <c r="J102" s="128"/>
      <c r="K102" s="128"/>
      <c r="L102" s="128"/>
      <c r="M102" s="128"/>
      <c r="N102" s="128"/>
      <c r="O102" s="128"/>
      <c r="P102" s="128"/>
      <c r="Q102" s="128"/>
    </row>
    <row r="103" spans="3:17">
      <c r="F103" s="119"/>
      <c r="G103" s="119"/>
      <c r="H103" s="128"/>
      <c r="I103" s="128"/>
      <c r="J103" s="128"/>
      <c r="K103" s="128"/>
      <c r="L103" s="128"/>
      <c r="M103" s="128"/>
      <c r="N103" s="128"/>
      <c r="O103" s="128"/>
      <c r="P103" s="128"/>
      <c r="Q103" s="128"/>
    </row>
    <row r="104" spans="3:17">
      <c r="F104" s="119"/>
      <c r="G104" s="119"/>
      <c r="H104" s="128"/>
      <c r="I104" s="128"/>
      <c r="J104" s="128"/>
      <c r="K104" s="128"/>
      <c r="L104" s="128"/>
      <c r="M104" s="128"/>
      <c r="N104" s="128"/>
      <c r="O104" s="128"/>
      <c r="P104" s="128"/>
      <c r="Q104" s="128"/>
    </row>
    <row r="105" spans="3:17" ht="15.6">
      <c r="F105" s="305" t="s">
        <v>768</v>
      </c>
      <c r="G105" s="305"/>
      <c r="H105" s="303" t="str">
        <f>IF(H81=BS!H202,"OK","ERROR")</f>
        <v>OK</v>
      </c>
      <c r="I105" s="303" t="str">
        <f>IF(I81=BS!I202,"OK","ERROR")</f>
        <v>OK</v>
      </c>
      <c r="J105" s="303" t="str">
        <f>IF(J81=BS!J202,"OK","ERROR")</f>
        <v>OK</v>
      </c>
      <c r="K105" s="303" t="str">
        <f>IF(K81=BS!K202,"OK","ERROR")</f>
        <v>OK</v>
      </c>
      <c r="L105" s="303" t="str">
        <f>IF(L81=BS!L202,"OK","ERROR")</f>
        <v>OK</v>
      </c>
      <c r="M105" s="270"/>
      <c r="N105" s="270"/>
      <c r="O105" s="270"/>
      <c r="P105" s="270"/>
      <c r="Q105" s="270"/>
    </row>
    <row r="106" spans="3:17" ht="15.6">
      <c r="F106" s="305" t="s">
        <v>766</v>
      </c>
      <c r="G106" s="305"/>
      <c r="H106" s="303" t="str">
        <f>IF(H82='P&amp;L(OUTPUT)'!H25*-1,"OK","ERROR")</f>
        <v>OK</v>
      </c>
      <c r="I106" s="303" t="str">
        <f>IF(I82='P&amp;L(OUTPUT)'!I25*-1,"OK","ERROR")</f>
        <v>OK</v>
      </c>
      <c r="J106" s="303" t="str">
        <f>IF(J82='P&amp;L(OUTPUT)'!J25*-1,"OK","ERROR")</f>
        <v>OK</v>
      </c>
      <c r="K106" s="303" t="str">
        <f>IF(K82='P&amp;L(OUTPUT)'!K25*-1,"OK","ERROR")</f>
        <v>OK</v>
      </c>
      <c r="L106" s="303" t="str">
        <f>IF(L82='P&amp;L(OUTPUT)'!L25*-1,"OK","ERROR")</f>
        <v>OK</v>
      </c>
      <c r="M106" s="270"/>
      <c r="N106" s="270"/>
      <c r="O106" s="270"/>
      <c r="P106" s="270"/>
      <c r="Q106" s="270"/>
    </row>
    <row r="107" spans="3:17" ht="15.6">
      <c r="F107" s="125"/>
      <c r="G107" s="59"/>
      <c r="H107" s="59"/>
      <c r="I107" s="59"/>
      <c r="J107" s="59"/>
      <c r="K107" s="59"/>
      <c r="L107" s="59"/>
      <c r="M107" s="270"/>
      <c r="N107" s="270"/>
      <c r="O107" s="270"/>
      <c r="P107" s="270"/>
      <c r="Q107" s="270"/>
    </row>
    <row r="108" spans="3:17">
      <c r="F108" s="119"/>
      <c r="G108" s="119"/>
      <c r="H108" s="207"/>
      <c r="I108" s="207"/>
      <c r="J108" s="207"/>
      <c r="K108" s="207"/>
      <c r="L108" s="207"/>
      <c r="M108" s="119"/>
      <c r="N108" s="119"/>
      <c r="O108" s="119"/>
      <c r="P108" s="119"/>
      <c r="Q108" s="119"/>
    </row>
    <row r="109" spans="3:17">
      <c r="F109" s="119"/>
      <c r="G109" s="119"/>
      <c r="H109" s="207"/>
      <c r="I109" s="207"/>
      <c r="J109" s="207"/>
      <c r="K109" s="207"/>
      <c r="L109" s="207"/>
      <c r="N109" s="119"/>
      <c r="O109" s="119"/>
      <c r="P109" s="119"/>
      <c r="Q109" s="119"/>
    </row>
    <row r="110" spans="3:17">
      <c r="F110" s="119"/>
      <c r="G110" s="119"/>
      <c r="H110" s="128"/>
      <c r="I110" s="128"/>
      <c r="J110" s="128"/>
      <c r="K110" s="128"/>
      <c r="L110" s="128"/>
      <c r="M110" s="128"/>
      <c r="N110" s="128"/>
      <c r="O110" s="119"/>
      <c r="P110" s="119"/>
      <c r="Q110" s="119"/>
    </row>
    <row r="111" spans="3:17">
      <c r="H111" s="11"/>
      <c r="I111" s="11"/>
      <c r="J111" s="11"/>
      <c r="K111" s="11"/>
      <c r="L111" s="11"/>
    </row>
    <row r="113" spans="7:13">
      <c r="H113" s="119"/>
      <c r="I113" s="119"/>
      <c r="J113" s="119"/>
      <c r="K113" s="119"/>
      <c r="L113" s="119"/>
    </row>
    <row r="114" spans="7:13">
      <c r="H114" s="11"/>
      <c r="I114" s="11"/>
      <c r="J114" s="11"/>
      <c r="K114" s="11"/>
      <c r="L114" s="11"/>
      <c r="M114" s="207"/>
    </row>
    <row r="115" spans="7:13">
      <c r="G115" s="207"/>
      <c r="H115" s="207"/>
      <c r="I115" s="207"/>
      <c r="J115" s="207"/>
      <c r="K115" s="207"/>
      <c r="L115" s="207"/>
    </row>
    <row r="116" spans="7:13">
      <c r="H116" s="11"/>
      <c r="I116" s="11"/>
      <c r="J116" s="11"/>
      <c r="K116" s="11"/>
      <c r="L116" s="11"/>
    </row>
    <row r="117" spans="7:13">
      <c r="H117" s="11"/>
      <c r="I117" s="11"/>
      <c r="J117" s="11"/>
      <c r="K117" s="11"/>
      <c r="L117" s="11"/>
    </row>
    <row r="118" spans="7:13">
      <c r="H118" s="4"/>
      <c r="I118" s="4"/>
      <c r="J118" s="4"/>
      <c r="K118" s="4"/>
      <c r="L118" s="4"/>
      <c r="M118" s="4"/>
    </row>
  </sheetData>
  <hyperlinks>
    <hyperlink ref="B1" location="Forecasting!L15" display="Forecasting sheet Link" xr:uid="{9A7AF4D1-773C-4250-803E-3F437E4F02E6}"/>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52A6F-A6BB-4F47-8D33-95E869B10E20}">
  <sheetPr codeName="Sheet20"/>
  <dimension ref="B1:T166"/>
  <sheetViews>
    <sheetView showGridLines="0" zoomScaleNormal="100" workbookViewId="0">
      <pane ySplit="3" topLeftCell="A4" activePane="bottomLeft" state="frozen"/>
      <selection pane="bottomLeft" activeCell="C1" sqref="C1"/>
    </sheetView>
  </sheetViews>
  <sheetFormatPr defaultColWidth="11.77734375" defaultRowHeight="15"/>
  <cols>
    <col min="1" max="1" width="2.6640625" style="2" customWidth="1"/>
    <col min="2" max="19" width="15.5546875" style="2" customWidth="1"/>
    <col min="20" max="20" width="43.21875" style="2" customWidth="1"/>
    <col min="21" max="32" width="15.5546875" style="2" customWidth="1"/>
    <col min="33" max="16384" width="11.77734375" style="2"/>
  </cols>
  <sheetData>
    <row r="1" spans="2:20" ht="23.4">
      <c r="B1" s="456" t="s">
        <v>1017</v>
      </c>
      <c r="L1" s="241"/>
      <c r="Q1" s="157"/>
      <c r="R1" s="157"/>
      <c r="S1" s="157"/>
    </row>
    <row r="2" spans="2:20" ht="15.6">
      <c r="E2" s="3" t="s">
        <v>82</v>
      </c>
      <c r="G2" s="119" t="s">
        <v>350</v>
      </c>
      <c r="H2" s="119" t="s">
        <v>350</v>
      </c>
      <c r="I2" s="119" t="s">
        <v>350</v>
      </c>
      <c r="J2" s="119" t="s">
        <v>350</v>
      </c>
      <c r="K2" s="119" t="s">
        <v>350</v>
      </c>
      <c r="L2" s="242" t="s">
        <v>350</v>
      </c>
      <c r="M2" s="119" t="s">
        <v>351</v>
      </c>
      <c r="N2" s="119" t="s">
        <v>351</v>
      </c>
      <c r="O2" s="119" t="s">
        <v>351</v>
      </c>
      <c r="P2" s="119" t="s">
        <v>351</v>
      </c>
      <c r="Q2" s="155" t="s">
        <v>351</v>
      </c>
      <c r="R2" s="155"/>
      <c r="S2" s="155"/>
      <c r="T2" s="119"/>
    </row>
    <row r="3" spans="2:20">
      <c r="C3" s="121" t="s">
        <v>780</v>
      </c>
      <c r="D3" s="120"/>
      <c r="E3" s="120"/>
      <c r="F3" s="120"/>
      <c r="G3" s="127" t="s">
        <v>41</v>
      </c>
      <c r="H3" s="127" t="s">
        <v>42</v>
      </c>
      <c r="I3" s="127" t="s">
        <v>43</v>
      </c>
      <c r="J3" s="127" t="s">
        <v>44</v>
      </c>
      <c r="K3" s="127" t="s">
        <v>45</v>
      </c>
      <c r="L3" s="156" t="s">
        <v>46</v>
      </c>
      <c r="M3" s="127" t="s">
        <v>349</v>
      </c>
      <c r="N3" s="127" t="s">
        <v>352</v>
      </c>
      <c r="O3" s="127" t="s">
        <v>353</v>
      </c>
      <c r="P3" s="127" t="s">
        <v>354</v>
      </c>
      <c r="Q3" s="156" t="s">
        <v>355</v>
      </c>
      <c r="R3" s="156" t="s">
        <v>775</v>
      </c>
      <c r="S3" s="156" t="s">
        <v>748</v>
      </c>
      <c r="T3" s="237" t="s">
        <v>437</v>
      </c>
    </row>
    <row r="4" spans="2:20" ht="15.6">
      <c r="L4" s="210"/>
      <c r="Q4" s="157"/>
      <c r="R4" s="157"/>
      <c r="S4" s="157"/>
    </row>
    <row r="5" spans="2:20" ht="15.6">
      <c r="C5" s="3" t="s">
        <v>284</v>
      </c>
      <c r="G5" s="128">
        <f>'P&amp;L(OUTPUT)'!G30*-1</f>
        <v>42.38</v>
      </c>
      <c r="H5" s="128">
        <f>'P&amp;L(OUTPUT)'!H30*-1</f>
        <v>49.2</v>
      </c>
      <c r="I5" s="128">
        <f>'P&amp;L(OUTPUT)'!I30*-1</f>
        <v>41.12</v>
      </c>
      <c r="J5" s="128">
        <f>'P&amp;L(OUTPUT)'!J30*-1</f>
        <v>24.05</v>
      </c>
      <c r="K5" s="128">
        <f>'P&amp;L(OUTPUT)'!K30*-1</f>
        <v>20.61</v>
      </c>
      <c r="L5" s="166">
        <f>'P&amp;L(OUTPUT)'!L30*-1</f>
        <v>58.51</v>
      </c>
      <c r="M5" s="360">
        <f>$S$19*'Revenue '!M5</f>
        <v>53.680421272647756</v>
      </c>
      <c r="N5" s="128">
        <f>$S$19*'Revenue '!N5</f>
        <v>58.784953041267116</v>
      </c>
      <c r="O5" s="128">
        <f>$S$19*'Revenue '!O5</f>
        <v>63.193824519362153</v>
      </c>
      <c r="P5" s="128">
        <f>$S$19*'Revenue '!P5</f>
        <v>67.617392235717503</v>
      </c>
      <c r="Q5" s="166">
        <f>$S$19*'Revenue '!Q5</f>
        <v>72.012522731039141</v>
      </c>
      <c r="R5" s="166"/>
      <c r="S5" s="166"/>
    </row>
    <row r="6" spans="2:20">
      <c r="G6" s="128"/>
      <c r="H6" s="128"/>
      <c r="I6" s="128"/>
      <c r="J6" s="128"/>
      <c r="K6" s="128"/>
      <c r="L6" s="166"/>
      <c r="M6" s="128"/>
      <c r="N6" s="128"/>
      <c r="O6" s="128"/>
      <c r="P6" s="128"/>
      <c r="Q6" s="166"/>
      <c r="R6" s="166"/>
      <c r="S6" s="166"/>
    </row>
    <row r="7" spans="2:20" ht="15.6">
      <c r="C7" s="3" t="s">
        <v>771</v>
      </c>
      <c r="G7" s="128">
        <f>'BS(OUTPUT)'!G51</f>
        <v>364.34</v>
      </c>
      <c r="H7" s="128">
        <f>'BS(OUTPUT)'!H51</f>
        <v>26.05</v>
      </c>
      <c r="I7" s="128">
        <f>'BS(OUTPUT)'!I51</f>
        <v>162.88999999999999</v>
      </c>
      <c r="J7" s="128">
        <f>'BS(OUTPUT)'!J51</f>
        <v>134.13</v>
      </c>
      <c r="K7" s="128">
        <f>'BS(OUTPUT)'!K51</f>
        <v>250.36</v>
      </c>
      <c r="L7" s="166">
        <f>'BS(OUTPUT)'!L51</f>
        <v>298.83999999999997</v>
      </c>
      <c r="M7" s="128">
        <f>'BS(OUTPUT)'!M51</f>
        <v>298.83999999999997</v>
      </c>
      <c r="N7" s="128">
        <f>'BS(OUTPUT)'!N51</f>
        <v>298.83999999999997</v>
      </c>
      <c r="O7" s="128">
        <f>'BS(OUTPUT)'!O51</f>
        <v>298.83999999999997</v>
      </c>
      <c r="P7" s="128">
        <f>'BS(OUTPUT)'!P51</f>
        <v>298.83999999999997</v>
      </c>
      <c r="Q7" s="166">
        <f>'BS(OUTPUT)'!Q51</f>
        <v>298.83999999999997</v>
      </c>
      <c r="R7" s="166"/>
      <c r="S7" s="166"/>
    </row>
    <row r="8" spans="2:20" ht="15.6">
      <c r="C8" s="3"/>
      <c r="G8" s="128"/>
      <c r="H8" s="128"/>
      <c r="I8" s="128"/>
      <c r="J8" s="128"/>
      <c r="K8" s="128"/>
      <c r="L8" s="166"/>
      <c r="M8" s="128"/>
      <c r="N8" s="128"/>
      <c r="O8" s="128"/>
      <c r="P8" s="128"/>
      <c r="Q8" s="166"/>
      <c r="R8" s="166"/>
      <c r="S8" s="166"/>
    </row>
    <row r="9" spans="2:20" ht="15.6">
      <c r="C9" s="3" t="s">
        <v>772</v>
      </c>
      <c r="G9" s="128">
        <f>'BS(OUTPUT)'!G62</f>
        <v>464.49</v>
      </c>
      <c r="H9" s="128">
        <f>'BS(OUTPUT)'!H62</f>
        <v>498.23</v>
      </c>
      <c r="I9" s="128">
        <f>'BS(OUTPUT)'!I62</f>
        <v>304.24</v>
      </c>
      <c r="J9" s="128">
        <f>'BS(OUTPUT)'!J62</f>
        <v>349.14</v>
      </c>
      <c r="K9" s="128">
        <f>'BS(OUTPUT)'!K62</f>
        <v>617.29</v>
      </c>
      <c r="L9" s="166">
        <f>'BS(OUTPUT)'!L62</f>
        <v>700.18</v>
      </c>
      <c r="M9" s="128">
        <f>'BS(OUTPUT)'!M62</f>
        <v>700.18</v>
      </c>
      <c r="N9" s="128">
        <f>'BS(OUTPUT)'!N62</f>
        <v>700.18</v>
      </c>
      <c r="O9" s="128">
        <f>'BS(OUTPUT)'!O62</f>
        <v>700.18</v>
      </c>
      <c r="P9" s="128">
        <f>'BS(OUTPUT)'!P62</f>
        <v>700.18</v>
      </c>
      <c r="Q9" s="166">
        <f>'BS(OUTPUT)'!Q62</f>
        <v>700.18</v>
      </c>
      <c r="R9" s="166"/>
      <c r="S9" s="166"/>
    </row>
    <row r="10" spans="2:20" ht="15.6">
      <c r="C10" s="3"/>
      <c r="G10" s="128"/>
      <c r="H10" s="128"/>
      <c r="I10" s="128"/>
      <c r="J10" s="128"/>
      <c r="K10" s="128"/>
      <c r="L10" s="166"/>
      <c r="M10" s="128"/>
      <c r="N10" s="128"/>
      <c r="O10" s="128"/>
      <c r="P10" s="128"/>
      <c r="Q10" s="166"/>
      <c r="R10" s="166"/>
      <c r="S10" s="166"/>
    </row>
    <row r="11" spans="2:20" ht="15.6">
      <c r="C11" s="12" t="s">
        <v>773</v>
      </c>
      <c r="D11" s="13"/>
      <c r="E11" s="13"/>
      <c r="F11" s="13"/>
      <c r="G11" s="134">
        <f>G7+G9</f>
        <v>828.82999999999993</v>
      </c>
      <c r="H11" s="134">
        <f t="shared" ref="H11:Q11" si="0">H7+H9</f>
        <v>524.28</v>
      </c>
      <c r="I11" s="134">
        <f t="shared" si="0"/>
        <v>467.13</v>
      </c>
      <c r="J11" s="134">
        <f t="shared" si="0"/>
        <v>483.27</v>
      </c>
      <c r="K11" s="134">
        <f t="shared" si="0"/>
        <v>867.65</v>
      </c>
      <c r="L11" s="170">
        <f t="shared" si="0"/>
        <v>999.02</v>
      </c>
      <c r="M11" s="134">
        <f t="shared" si="0"/>
        <v>999.02</v>
      </c>
      <c r="N11" s="134">
        <f t="shared" si="0"/>
        <v>999.02</v>
      </c>
      <c r="O11" s="134">
        <f t="shared" si="0"/>
        <v>999.02</v>
      </c>
      <c r="P11" s="134">
        <f t="shared" si="0"/>
        <v>999.02</v>
      </c>
      <c r="Q11" s="170">
        <f t="shared" si="0"/>
        <v>999.02</v>
      </c>
      <c r="R11" s="166"/>
      <c r="S11" s="166"/>
    </row>
    <row r="12" spans="2:20">
      <c r="G12" s="128"/>
      <c r="H12" s="128"/>
      <c r="I12" s="128"/>
      <c r="J12" s="128"/>
      <c r="K12" s="128"/>
      <c r="L12" s="166"/>
      <c r="M12" s="128"/>
      <c r="N12" s="128"/>
      <c r="O12" s="128"/>
      <c r="P12" s="128"/>
      <c r="Q12" s="166"/>
      <c r="R12" s="166"/>
      <c r="S12" s="166"/>
    </row>
    <row r="13" spans="2:20" ht="15.6">
      <c r="C13" s="3" t="s">
        <v>776</v>
      </c>
      <c r="G13" s="177">
        <f>G5/G7</f>
        <v>0.11631992095295604</v>
      </c>
      <c r="H13" s="177">
        <f t="shared" ref="H13:Q13" si="1">H5/H7</f>
        <v>1.8886756238003839</v>
      </c>
      <c r="I13" s="177">
        <f t="shared" si="1"/>
        <v>0.25244029713303456</v>
      </c>
      <c r="J13" s="177">
        <f t="shared" si="1"/>
        <v>0.17930366062774922</v>
      </c>
      <c r="K13" s="177">
        <f t="shared" si="1"/>
        <v>8.2321457101773438E-2</v>
      </c>
      <c r="L13" s="178">
        <f t="shared" si="1"/>
        <v>0.19579038950609023</v>
      </c>
      <c r="M13" s="177">
        <f t="shared" si="1"/>
        <v>0.17962930421847062</v>
      </c>
      <c r="N13" s="177">
        <f t="shared" si="1"/>
        <v>0.19671045723888075</v>
      </c>
      <c r="O13" s="177">
        <f t="shared" si="1"/>
        <v>0.21146374153179681</v>
      </c>
      <c r="P13" s="177">
        <f t="shared" si="1"/>
        <v>0.2262662034390226</v>
      </c>
      <c r="Q13" s="178">
        <f t="shared" si="1"/>
        <v>0.24097350666255904</v>
      </c>
      <c r="R13" s="178">
        <f>_xlfn.STDEV.S(G13:L13)</f>
        <v>0.70614581589972703</v>
      </c>
      <c r="S13" s="178">
        <f>AVERAGE(G13:L13)</f>
        <v>0.45247522485366459</v>
      </c>
    </row>
    <row r="14" spans="2:20">
      <c r="G14" s="128"/>
      <c r="H14" s="128"/>
      <c r="I14" s="128"/>
      <c r="J14" s="128"/>
      <c r="K14" s="128"/>
      <c r="L14" s="166"/>
      <c r="M14" s="128"/>
      <c r="N14" s="128"/>
      <c r="O14" s="128"/>
      <c r="P14" s="128"/>
      <c r="Q14" s="166"/>
      <c r="R14" s="166"/>
      <c r="S14" s="166"/>
    </row>
    <row r="15" spans="2:20" ht="15.6">
      <c r="C15" s="3" t="s">
        <v>777</v>
      </c>
      <c r="G15" s="177">
        <f>G5/G9</f>
        <v>9.1239854464035833E-2</v>
      </c>
      <c r="H15" s="177">
        <f t="shared" ref="H15:Q15" si="2">H5/H9</f>
        <v>9.8749573490155146E-2</v>
      </c>
      <c r="I15" s="177">
        <f t="shared" si="2"/>
        <v>0.13515645542992374</v>
      </c>
      <c r="J15" s="177">
        <f t="shared" si="2"/>
        <v>6.8883542418514063E-2</v>
      </c>
      <c r="K15" s="177">
        <f t="shared" si="2"/>
        <v>3.3387872798846571E-2</v>
      </c>
      <c r="L15" s="178">
        <f t="shared" si="2"/>
        <v>8.3564226341797831E-2</v>
      </c>
      <c r="M15" s="177">
        <f t="shared" si="2"/>
        <v>7.6666601834739292E-2</v>
      </c>
      <c r="N15" s="177">
        <f t="shared" si="2"/>
        <v>8.3956915423558404E-2</v>
      </c>
      <c r="O15" s="177">
        <f t="shared" si="2"/>
        <v>9.0253684080325289E-2</v>
      </c>
      <c r="P15" s="177">
        <f t="shared" si="2"/>
        <v>9.6571441965948052E-2</v>
      </c>
      <c r="Q15" s="178">
        <f t="shared" si="2"/>
        <v>0.10284858569373467</v>
      </c>
      <c r="R15" s="178">
        <f>_xlfn.STDEV.S(G15:L15)</f>
        <v>3.3672271489124488E-2</v>
      </c>
      <c r="S15" s="178">
        <f>AVERAGE(G15:L15)</f>
        <v>8.5163587490545534E-2</v>
      </c>
    </row>
    <row r="16" spans="2:20">
      <c r="G16" s="128"/>
      <c r="H16" s="128"/>
      <c r="I16" s="128"/>
      <c r="J16" s="128"/>
      <c r="K16" s="128"/>
      <c r="L16" s="166"/>
      <c r="M16" s="128"/>
      <c r="N16" s="128"/>
      <c r="O16" s="128"/>
      <c r="P16" s="128"/>
      <c r="Q16" s="166"/>
      <c r="R16" s="166"/>
      <c r="S16" s="166"/>
    </row>
    <row r="17" spans="3:19" ht="15.6">
      <c r="C17" s="3" t="s">
        <v>778</v>
      </c>
      <c r="G17" s="177">
        <f>G5/G11</f>
        <v>5.1132319052157871E-2</v>
      </c>
      <c r="H17" s="177">
        <f t="shared" ref="H17:Q17" si="3">H5/H11</f>
        <v>9.3842984664683007E-2</v>
      </c>
      <c r="I17" s="177">
        <f t="shared" si="3"/>
        <v>8.8026887590178321E-2</v>
      </c>
      <c r="J17" s="177">
        <f t="shared" si="3"/>
        <v>4.9765141639249284E-2</v>
      </c>
      <c r="K17" s="177">
        <f t="shared" si="3"/>
        <v>2.3753817783668529E-2</v>
      </c>
      <c r="L17" s="178">
        <f t="shared" si="3"/>
        <v>5.8567396048127163E-2</v>
      </c>
      <c r="M17" s="177">
        <f t="shared" si="3"/>
        <v>5.3733079690744687E-2</v>
      </c>
      <c r="N17" s="177">
        <f t="shared" si="3"/>
        <v>5.8842618807698664E-2</v>
      </c>
      <c r="O17" s="177">
        <f t="shared" si="3"/>
        <v>6.3255815218276071E-2</v>
      </c>
      <c r="P17" s="177">
        <f t="shared" si="3"/>
        <v>6.7683722283555389E-2</v>
      </c>
      <c r="Q17" s="178">
        <f t="shared" si="3"/>
        <v>7.2083164231986491E-2</v>
      </c>
      <c r="R17" s="178">
        <f>_xlfn.STDEV.S(G17:L17)</f>
        <v>2.6175426101673352E-2</v>
      </c>
      <c r="S17" s="178">
        <f>AVERAGE(G17:L17)</f>
        <v>6.0848091129677366E-2</v>
      </c>
    </row>
    <row r="18" spans="3:19">
      <c r="G18" s="128"/>
      <c r="H18" s="128"/>
      <c r="I18" s="128"/>
      <c r="J18" s="128"/>
      <c r="K18" s="128"/>
      <c r="L18" s="166"/>
      <c r="M18" s="128"/>
      <c r="N18" s="128"/>
      <c r="O18" s="128"/>
      <c r="P18" s="128"/>
      <c r="Q18" s="166"/>
      <c r="R18" s="166"/>
      <c r="S18" s="166"/>
    </row>
    <row r="19" spans="3:19" ht="15.6">
      <c r="C19" s="340" t="s">
        <v>779</v>
      </c>
      <c r="D19" s="341"/>
      <c r="E19" s="341"/>
      <c r="F19" s="341"/>
      <c r="G19" s="344">
        <f>G5/'Revenue '!G5</f>
        <v>5.4883220989788714E-3</v>
      </c>
      <c r="H19" s="344">
        <f>H5/'Revenue '!H5</f>
        <v>5.778045540863818E-3</v>
      </c>
      <c r="I19" s="344">
        <f>I5/'Revenue '!I5</f>
        <v>4.7347961458390903E-3</v>
      </c>
      <c r="J19" s="344">
        <f>J5/'Revenue '!J5</f>
        <v>2.5192215029434563E-3</v>
      </c>
      <c r="K19" s="344">
        <f>K5/'Revenue '!K5</f>
        <v>1.8927914127332237E-3</v>
      </c>
      <c r="L19" s="345">
        <f>L5/'Revenue '!L5</f>
        <v>5.0746364449270548E-3</v>
      </c>
      <c r="M19" s="344">
        <f>M5/'Revenue '!M5</f>
        <v>4.2479688577142525E-3</v>
      </c>
      <c r="N19" s="344">
        <f>N5/'Revenue '!N5</f>
        <v>4.2479688577142525E-3</v>
      </c>
      <c r="O19" s="344">
        <f>O5/'Revenue '!O5</f>
        <v>4.2479688577142525E-3</v>
      </c>
      <c r="P19" s="344">
        <f>P5/'Revenue '!P5</f>
        <v>4.2479688577142525E-3</v>
      </c>
      <c r="Q19" s="345">
        <f>Q5/'Revenue '!Q5</f>
        <v>4.2479688577142525E-3</v>
      </c>
      <c r="R19" s="345">
        <f>_xlfn.STDEV.S(G19:L19)</f>
        <v>1.6331208860105386E-3</v>
      </c>
      <c r="S19" s="345">
        <f>AVERAGE(G19:L19)</f>
        <v>4.2479688577142525E-3</v>
      </c>
    </row>
    <row r="20" spans="3:19">
      <c r="G20" s="128"/>
      <c r="H20" s="128"/>
      <c r="I20" s="128"/>
      <c r="J20" s="128"/>
      <c r="K20" s="128"/>
      <c r="L20" s="166"/>
      <c r="M20" s="128"/>
      <c r="N20" s="128"/>
      <c r="O20" s="128"/>
      <c r="P20" s="128"/>
      <c r="Q20" s="166"/>
      <c r="R20" s="166"/>
      <c r="S20" s="166"/>
    </row>
    <row r="21" spans="3:19" ht="15.6" thickBot="1">
      <c r="C21" s="46"/>
      <c r="D21" s="46"/>
      <c r="E21" s="46"/>
      <c r="F21" s="46"/>
      <c r="G21" s="334"/>
      <c r="H21" s="334"/>
      <c r="I21" s="334"/>
      <c r="J21" s="334"/>
      <c r="K21" s="334"/>
      <c r="L21" s="336"/>
      <c r="M21" s="334"/>
      <c r="N21" s="334"/>
      <c r="O21" s="334"/>
      <c r="P21" s="334"/>
      <c r="Q21" s="336"/>
      <c r="R21" s="336"/>
      <c r="S21" s="336"/>
    </row>
    <row r="22" spans="3:19" ht="15.6" thickTop="1">
      <c r="G22" s="128"/>
      <c r="H22" s="128"/>
      <c r="I22" s="128"/>
      <c r="J22" s="128"/>
      <c r="K22" s="128"/>
      <c r="L22" s="166"/>
      <c r="M22" s="128"/>
      <c r="N22" s="128"/>
      <c r="O22" s="128"/>
      <c r="P22" s="128"/>
      <c r="Q22" s="166"/>
      <c r="R22" s="166"/>
      <c r="S22" s="166"/>
    </row>
    <row r="23" spans="3:19" ht="15.6">
      <c r="C23" s="3" t="s">
        <v>290</v>
      </c>
      <c r="G23" s="128">
        <f>'P&amp;L(OUTPUT)'!G38</f>
        <v>305.18</v>
      </c>
      <c r="H23" s="128">
        <f>'P&amp;L(OUTPUT)'!H38</f>
        <v>296.17</v>
      </c>
      <c r="I23" s="128">
        <f>'P&amp;L(OUTPUT)'!I38</f>
        <v>305.29000000000002</v>
      </c>
      <c r="J23" s="128">
        <f>'P&amp;L(OUTPUT)'!J38</f>
        <v>325.29000000000002</v>
      </c>
      <c r="K23" s="128">
        <f>'P&amp;L(OUTPUT)'!K38</f>
        <v>393.16</v>
      </c>
      <c r="L23" s="166">
        <f>'P&amp;L(OUTPUT)'!L38</f>
        <v>445.39</v>
      </c>
      <c r="M23" s="360">
        <f>$S$25*'Revenue '!M5</f>
        <v>459.69667743096102</v>
      </c>
      <c r="N23" s="128">
        <f>$S$25*'Revenue '!N5</f>
        <v>503.4097526685199</v>
      </c>
      <c r="O23" s="128">
        <f>$S$25*'Revenue '!O5</f>
        <v>541.16548411865892</v>
      </c>
      <c r="P23" s="128">
        <f>$S$25*'Revenue '!P5</f>
        <v>579.04706800696499</v>
      </c>
      <c r="Q23" s="166">
        <f>$S$25*'Revenue '!Q5</f>
        <v>616.6851274274178</v>
      </c>
      <c r="R23" s="166"/>
      <c r="S23" s="166"/>
    </row>
    <row r="24" spans="3:19">
      <c r="G24" s="128"/>
      <c r="H24" s="128"/>
      <c r="I24" s="128"/>
      <c r="J24" s="128"/>
      <c r="K24" s="128"/>
      <c r="L24" s="166"/>
      <c r="M24" s="128"/>
      <c r="N24" s="128"/>
      <c r="O24" s="128"/>
      <c r="P24" s="128"/>
      <c r="Q24" s="166"/>
      <c r="R24" s="166"/>
      <c r="S24" s="166"/>
    </row>
    <row r="25" spans="3:19" ht="15.6">
      <c r="C25" s="340" t="s">
        <v>781</v>
      </c>
      <c r="D25" s="341"/>
      <c r="E25" s="341"/>
      <c r="F25" s="341"/>
      <c r="G25" s="344">
        <f>G23/'Revenue '!G5</f>
        <v>3.95216172290319E-2</v>
      </c>
      <c r="H25" s="344">
        <f>H23/'Revenue '!H5</f>
        <v>3.4782189996699943E-2</v>
      </c>
      <c r="I25" s="344">
        <f>I23/'Revenue '!I5</f>
        <v>3.5152867591517901E-2</v>
      </c>
      <c r="J25" s="344">
        <f>J23/'Revenue '!J5</f>
        <v>3.4073911130664318E-2</v>
      </c>
      <c r="K25" s="344">
        <f>K23/'Revenue '!K5</f>
        <v>3.6107223281426216E-2</v>
      </c>
      <c r="L25" s="345">
        <f>L23/'Revenue '!L5</f>
        <v>3.8629162984208869E-2</v>
      </c>
      <c r="M25" s="344">
        <f>M23/'Revenue '!M5</f>
        <v>3.637782870225819E-2</v>
      </c>
      <c r="N25" s="344">
        <f>N23/'Revenue '!N5</f>
        <v>3.637782870225819E-2</v>
      </c>
      <c r="O25" s="344">
        <f>O23/'Revenue '!O5</f>
        <v>3.637782870225819E-2</v>
      </c>
      <c r="P25" s="344">
        <f>P23/'Revenue '!P5</f>
        <v>3.637782870225819E-2</v>
      </c>
      <c r="Q25" s="345">
        <f>Q23/'Revenue '!Q5</f>
        <v>3.637782870225819E-2</v>
      </c>
      <c r="R25" s="345">
        <f>_xlfn.STDEV.S(G25:L25)</f>
        <v>2.2081561730160626E-3</v>
      </c>
      <c r="S25" s="345">
        <f>AVERAGE(G25:L25)</f>
        <v>3.637782870225819E-2</v>
      </c>
    </row>
    <row r="26" spans="3:19">
      <c r="G26" s="128"/>
      <c r="H26" s="128"/>
      <c r="I26" s="128"/>
      <c r="J26" s="128"/>
      <c r="K26" s="128"/>
      <c r="L26" s="166"/>
      <c r="M26" s="128"/>
      <c r="N26" s="128"/>
      <c r="O26" s="128"/>
      <c r="P26" s="128"/>
      <c r="Q26" s="166"/>
      <c r="R26" s="166"/>
      <c r="S26" s="166"/>
    </row>
    <row r="27" spans="3:19" ht="15.6" thickBot="1">
      <c r="C27" s="46"/>
      <c r="D27" s="46"/>
      <c r="E27" s="46"/>
      <c r="F27" s="46"/>
      <c r="G27" s="334"/>
      <c r="H27" s="334"/>
      <c r="I27" s="334"/>
      <c r="J27" s="334"/>
      <c r="K27" s="334"/>
      <c r="L27" s="336"/>
      <c r="M27" s="334"/>
      <c r="N27" s="334"/>
      <c r="O27" s="334"/>
      <c r="P27" s="334"/>
      <c r="Q27" s="336"/>
      <c r="R27" s="336"/>
      <c r="S27" s="336"/>
    </row>
    <row r="28" spans="3:19" ht="15.6" thickTop="1">
      <c r="G28" s="128"/>
      <c r="H28" s="128"/>
      <c r="I28" s="128"/>
      <c r="J28" s="128"/>
      <c r="K28" s="128"/>
      <c r="L28" s="166"/>
      <c r="M28" s="128"/>
      <c r="N28" s="128"/>
      <c r="O28" s="128"/>
      <c r="P28" s="128"/>
      <c r="Q28" s="166"/>
      <c r="R28" s="166"/>
      <c r="S28" s="166"/>
    </row>
    <row r="29" spans="3:19">
      <c r="G29" s="128"/>
      <c r="H29" s="128"/>
      <c r="I29" s="128"/>
      <c r="J29" s="128"/>
      <c r="K29" s="128"/>
      <c r="L29" s="166"/>
      <c r="M29" s="128"/>
      <c r="N29" s="128"/>
      <c r="O29" s="128"/>
      <c r="P29" s="128"/>
      <c r="Q29" s="166"/>
      <c r="R29" s="166"/>
      <c r="S29" s="166"/>
    </row>
    <row r="30" spans="3:19">
      <c r="G30" s="128"/>
      <c r="H30" s="128"/>
      <c r="I30" s="128"/>
      <c r="J30" s="128"/>
      <c r="K30" s="128"/>
      <c r="L30" s="166"/>
      <c r="M30" s="128"/>
      <c r="N30" s="128"/>
      <c r="O30" s="128"/>
      <c r="P30" s="128"/>
      <c r="Q30" s="166"/>
      <c r="R30" s="166"/>
      <c r="S30" s="166"/>
    </row>
    <row r="31" spans="3:19">
      <c r="G31" s="128"/>
      <c r="H31" s="128"/>
      <c r="I31" s="128"/>
      <c r="J31" s="128"/>
      <c r="K31" s="128"/>
      <c r="L31" s="166"/>
      <c r="M31" s="128"/>
      <c r="N31" s="128"/>
      <c r="O31" s="128"/>
      <c r="P31" s="128"/>
      <c r="Q31" s="166"/>
      <c r="R31" s="166"/>
      <c r="S31" s="166"/>
    </row>
    <row r="32" spans="3:19">
      <c r="G32" s="128"/>
      <c r="H32" s="128"/>
      <c r="I32" s="128"/>
      <c r="J32" s="128"/>
      <c r="K32" s="128"/>
      <c r="L32" s="166"/>
      <c r="M32" s="128"/>
      <c r="N32" s="128"/>
      <c r="O32" s="128"/>
      <c r="P32" s="128"/>
      <c r="Q32" s="166"/>
      <c r="R32" s="166"/>
      <c r="S32" s="166"/>
    </row>
    <row r="33" spans="7:19">
      <c r="G33" s="128"/>
      <c r="H33" s="128"/>
      <c r="I33" s="128"/>
      <c r="J33" s="128"/>
      <c r="K33" s="128"/>
      <c r="L33" s="166"/>
      <c r="M33" s="128"/>
      <c r="N33" s="128"/>
      <c r="O33" s="128"/>
      <c r="P33" s="128"/>
      <c r="Q33" s="166"/>
      <c r="R33" s="166"/>
      <c r="S33" s="166"/>
    </row>
    <row r="34" spans="7:19">
      <c r="G34" s="128"/>
      <c r="H34" s="128"/>
      <c r="I34" s="128"/>
      <c r="J34" s="128"/>
      <c r="K34" s="128"/>
      <c r="L34" s="166"/>
      <c r="M34" s="128"/>
      <c r="N34" s="128"/>
      <c r="O34" s="128"/>
      <c r="P34" s="128"/>
      <c r="Q34" s="166"/>
      <c r="R34" s="166"/>
      <c r="S34" s="166"/>
    </row>
    <row r="35" spans="7:19">
      <c r="G35" s="128"/>
      <c r="H35" s="128"/>
      <c r="I35" s="128"/>
      <c r="J35" s="128"/>
      <c r="K35" s="128"/>
      <c r="L35" s="166"/>
      <c r="M35" s="128"/>
      <c r="N35" s="128"/>
      <c r="O35" s="128"/>
      <c r="P35" s="128"/>
      <c r="Q35" s="166"/>
      <c r="R35" s="166"/>
      <c r="S35" s="166"/>
    </row>
    <row r="36" spans="7:19">
      <c r="G36" s="128"/>
      <c r="H36" s="128"/>
      <c r="I36" s="128"/>
      <c r="J36" s="128"/>
      <c r="K36" s="128"/>
      <c r="L36" s="166"/>
      <c r="M36" s="128"/>
      <c r="N36" s="128"/>
      <c r="O36" s="128"/>
      <c r="P36" s="128"/>
      <c r="Q36" s="166"/>
      <c r="R36" s="166"/>
      <c r="S36" s="166"/>
    </row>
    <row r="37" spans="7:19">
      <c r="G37" s="128"/>
      <c r="H37" s="128"/>
      <c r="I37" s="128"/>
      <c r="J37" s="128"/>
      <c r="K37" s="128"/>
      <c r="L37" s="166"/>
      <c r="M37" s="128"/>
      <c r="N37" s="128"/>
      <c r="O37" s="128"/>
      <c r="P37" s="128"/>
      <c r="Q37" s="166"/>
      <c r="R37" s="166"/>
      <c r="S37" s="166"/>
    </row>
    <row r="38" spans="7:19">
      <c r="G38" s="128"/>
      <c r="H38" s="128"/>
      <c r="I38" s="128"/>
      <c r="J38" s="128"/>
      <c r="K38" s="128"/>
      <c r="L38" s="166"/>
      <c r="M38" s="128"/>
      <c r="N38" s="128"/>
      <c r="O38" s="128"/>
      <c r="P38" s="128"/>
      <c r="Q38" s="166"/>
      <c r="R38" s="166"/>
      <c r="S38" s="166"/>
    </row>
    <row r="39" spans="7:19">
      <c r="G39" s="128"/>
      <c r="H39" s="128"/>
      <c r="I39" s="128"/>
      <c r="J39" s="128"/>
      <c r="K39" s="128"/>
      <c r="L39" s="166"/>
      <c r="M39" s="128"/>
      <c r="N39" s="128"/>
      <c r="O39" s="128"/>
      <c r="P39" s="128"/>
      <c r="Q39" s="166"/>
      <c r="R39" s="166"/>
      <c r="S39" s="166"/>
    </row>
    <row r="40" spans="7:19">
      <c r="G40" s="128"/>
      <c r="H40" s="128"/>
      <c r="I40" s="128"/>
      <c r="J40" s="128"/>
      <c r="K40" s="128"/>
      <c r="L40" s="166"/>
      <c r="M40" s="128"/>
      <c r="N40" s="128"/>
      <c r="O40" s="128"/>
      <c r="P40" s="128"/>
      <c r="Q40" s="166"/>
      <c r="R40" s="166"/>
      <c r="S40" s="166"/>
    </row>
    <row r="41" spans="7:19">
      <c r="G41" s="128"/>
      <c r="H41" s="128"/>
      <c r="I41" s="128"/>
      <c r="J41" s="128"/>
      <c r="K41" s="128"/>
      <c r="L41" s="166"/>
      <c r="M41" s="128"/>
      <c r="N41" s="128"/>
      <c r="O41" s="128"/>
      <c r="P41" s="128"/>
      <c r="Q41" s="166"/>
      <c r="R41" s="166"/>
      <c r="S41" s="166"/>
    </row>
    <row r="42" spans="7:19">
      <c r="G42" s="128"/>
      <c r="H42" s="128"/>
      <c r="I42" s="128"/>
      <c r="J42" s="128"/>
      <c r="K42" s="128"/>
      <c r="L42" s="166"/>
      <c r="M42" s="128"/>
      <c r="N42" s="128"/>
      <c r="O42" s="128"/>
      <c r="P42" s="128"/>
      <c r="Q42" s="166"/>
      <c r="R42" s="166"/>
      <c r="S42" s="166"/>
    </row>
    <row r="43" spans="7:19">
      <c r="G43" s="128"/>
      <c r="H43" s="128"/>
      <c r="I43" s="128"/>
      <c r="J43" s="128"/>
      <c r="K43" s="128"/>
      <c r="L43" s="166"/>
      <c r="M43" s="128"/>
      <c r="N43" s="128"/>
      <c r="O43" s="128"/>
      <c r="P43" s="128"/>
      <c r="Q43" s="166"/>
      <c r="R43" s="166"/>
      <c r="S43" s="166"/>
    </row>
    <row r="44" spans="7:19">
      <c r="G44" s="128"/>
      <c r="H44" s="128"/>
      <c r="I44" s="128"/>
      <c r="J44" s="128"/>
      <c r="K44" s="128"/>
      <c r="L44" s="128"/>
      <c r="M44" s="128"/>
      <c r="N44" s="128"/>
      <c r="O44" s="128"/>
      <c r="P44" s="128"/>
      <c r="Q44" s="128"/>
      <c r="R44" s="128"/>
      <c r="S44" s="166"/>
    </row>
    <row r="45" spans="7:19">
      <c r="G45" s="128"/>
      <c r="H45" s="128"/>
      <c r="I45" s="128"/>
      <c r="J45" s="128"/>
      <c r="K45" s="128"/>
      <c r="L45" s="128"/>
      <c r="M45" s="128"/>
      <c r="N45" s="128"/>
      <c r="O45" s="128"/>
      <c r="P45" s="128"/>
      <c r="Q45" s="128"/>
      <c r="R45" s="128"/>
      <c r="S45" s="166"/>
    </row>
    <row r="46" spans="7:19">
      <c r="G46" s="128"/>
      <c r="H46" s="128"/>
      <c r="I46" s="128"/>
      <c r="J46" s="128"/>
      <c r="K46" s="128"/>
      <c r="L46" s="128"/>
      <c r="M46" s="128"/>
      <c r="N46" s="128"/>
      <c r="O46" s="128"/>
      <c r="P46" s="128"/>
      <c r="Q46" s="128"/>
      <c r="R46" s="128"/>
      <c r="S46" s="166"/>
    </row>
    <row r="47" spans="7:19">
      <c r="G47" s="128"/>
      <c r="H47" s="128"/>
      <c r="I47" s="128"/>
      <c r="J47" s="128"/>
      <c r="K47" s="128"/>
      <c r="L47" s="128"/>
      <c r="M47" s="128"/>
      <c r="N47" s="128"/>
      <c r="O47" s="128"/>
      <c r="P47" s="128"/>
      <c r="Q47" s="128"/>
      <c r="R47" s="128"/>
      <c r="S47" s="166"/>
    </row>
    <row r="48" spans="7:19">
      <c r="G48" s="128"/>
      <c r="H48" s="128"/>
      <c r="I48" s="128"/>
      <c r="J48" s="128"/>
      <c r="K48" s="128"/>
      <c r="L48" s="128"/>
      <c r="M48" s="128"/>
      <c r="N48" s="128"/>
      <c r="O48" s="128"/>
      <c r="P48" s="128"/>
      <c r="Q48" s="128"/>
      <c r="R48" s="128"/>
      <c r="S48" s="166"/>
    </row>
    <row r="49" spans="7:19">
      <c r="G49" s="128"/>
      <c r="H49" s="128"/>
      <c r="I49" s="128"/>
      <c r="J49" s="128"/>
      <c r="K49" s="128"/>
      <c r="L49" s="128"/>
      <c r="M49" s="128"/>
      <c r="N49" s="128"/>
      <c r="O49" s="128"/>
      <c r="P49" s="128"/>
      <c r="Q49" s="128"/>
      <c r="R49" s="128"/>
      <c r="S49" s="166"/>
    </row>
    <row r="50" spans="7:19">
      <c r="G50" s="128"/>
      <c r="H50" s="128"/>
      <c r="I50" s="128"/>
      <c r="J50" s="128"/>
      <c r="K50" s="128"/>
      <c r="L50" s="128"/>
      <c r="M50" s="128"/>
      <c r="N50" s="128"/>
      <c r="O50" s="128"/>
      <c r="P50" s="128"/>
      <c r="Q50" s="128"/>
      <c r="R50" s="128"/>
      <c r="S50" s="166"/>
    </row>
    <row r="51" spans="7:19">
      <c r="G51" s="128"/>
      <c r="H51" s="128"/>
      <c r="I51" s="128"/>
      <c r="J51" s="128"/>
      <c r="K51" s="128"/>
      <c r="L51" s="128"/>
      <c r="M51" s="128"/>
      <c r="N51" s="128"/>
      <c r="O51" s="128"/>
      <c r="P51" s="128"/>
      <c r="Q51" s="128"/>
      <c r="R51" s="128"/>
      <c r="S51" s="166"/>
    </row>
    <row r="52" spans="7:19">
      <c r="G52" s="128"/>
      <c r="H52" s="128"/>
      <c r="I52" s="128"/>
      <c r="J52" s="128"/>
      <c r="K52" s="128"/>
      <c r="L52" s="128"/>
      <c r="M52" s="128"/>
      <c r="N52" s="128"/>
      <c r="O52" s="128"/>
      <c r="P52" s="128"/>
      <c r="Q52" s="128"/>
      <c r="R52" s="128"/>
      <c r="S52" s="166"/>
    </row>
    <row r="53" spans="7:19">
      <c r="G53" s="128"/>
      <c r="H53" s="128"/>
      <c r="I53" s="128"/>
      <c r="J53" s="128"/>
      <c r="K53" s="128"/>
      <c r="L53" s="128"/>
      <c r="M53" s="128"/>
      <c r="N53" s="128"/>
      <c r="O53" s="128"/>
      <c r="P53" s="128"/>
      <c r="Q53" s="128"/>
      <c r="R53" s="128"/>
      <c r="S53" s="166"/>
    </row>
    <row r="54" spans="7:19">
      <c r="G54" s="128"/>
      <c r="H54" s="128"/>
      <c r="I54" s="128"/>
      <c r="J54" s="128"/>
      <c r="K54" s="128"/>
      <c r="L54" s="128"/>
      <c r="M54" s="128"/>
      <c r="N54" s="128"/>
      <c r="O54" s="128"/>
      <c r="P54" s="128"/>
      <c r="Q54" s="128"/>
      <c r="R54" s="128"/>
      <c r="S54" s="128"/>
    </row>
    <row r="55" spans="7:19">
      <c r="G55" s="128"/>
      <c r="H55" s="128"/>
      <c r="I55" s="128"/>
      <c r="J55" s="128"/>
      <c r="K55" s="128"/>
      <c r="L55" s="128"/>
      <c r="M55" s="128"/>
      <c r="N55" s="128"/>
      <c r="O55" s="128"/>
      <c r="P55" s="128"/>
      <c r="Q55" s="128"/>
      <c r="R55" s="128"/>
      <c r="S55" s="128"/>
    </row>
    <row r="56" spans="7:19">
      <c r="G56" s="128"/>
      <c r="H56" s="128"/>
      <c r="I56" s="128"/>
      <c r="J56" s="128"/>
      <c r="K56" s="128"/>
      <c r="L56" s="128"/>
      <c r="M56" s="128"/>
      <c r="N56" s="128"/>
      <c r="O56" s="128"/>
      <c r="P56" s="128"/>
      <c r="Q56" s="128"/>
      <c r="R56" s="128"/>
      <c r="S56" s="128"/>
    </row>
    <row r="57" spans="7:19">
      <c r="G57" s="128"/>
      <c r="H57" s="128"/>
      <c r="I57" s="128"/>
      <c r="J57" s="128"/>
      <c r="K57" s="128"/>
      <c r="L57" s="128"/>
      <c r="M57" s="128"/>
      <c r="N57" s="128"/>
      <c r="O57" s="128"/>
      <c r="P57" s="128"/>
      <c r="Q57" s="128"/>
      <c r="R57" s="128"/>
      <c r="S57" s="128"/>
    </row>
    <row r="58" spans="7:19">
      <c r="G58" s="128"/>
      <c r="H58" s="128"/>
      <c r="I58" s="128"/>
      <c r="J58" s="128"/>
      <c r="K58" s="128"/>
      <c r="L58" s="128"/>
      <c r="M58" s="128"/>
      <c r="N58" s="128"/>
      <c r="O58" s="128"/>
      <c r="P58" s="128"/>
      <c r="Q58" s="128"/>
      <c r="R58" s="128"/>
      <c r="S58" s="128"/>
    </row>
    <row r="59" spans="7:19">
      <c r="G59" s="128"/>
      <c r="H59" s="128"/>
      <c r="I59" s="128"/>
      <c r="J59" s="128"/>
      <c r="K59" s="128"/>
      <c r="L59" s="128"/>
      <c r="M59" s="128"/>
      <c r="N59" s="128"/>
      <c r="O59" s="128"/>
      <c r="P59" s="128"/>
      <c r="Q59" s="128"/>
      <c r="R59" s="128"/>
      <c r="S59" s="128"/>
    </row>
    <row r="60" spans="7:19">
      <c r="G60" s="128"/>
      <c r="H60" s="128"/>
      <c r="I60" s="128"/>
      <c r="J60" s="128"/>
      <c r="K60" s="128"/>
      <c r="L60" s="128"/>
      <c r="M60" s="128"/>
      <c r="N60" s="128"/>
      <c r="O60" s="128"/>
      <c r="P60" s="128"/>
      <c r="Q60" s="128"/>
      <c r="R60" s="128"/>
      <c r="S60" s="128"/>
    </row>
    <row r="61" spans="7:19">
      <c r="G61" s="128"/>
      <c r="H61" s="128"/>
      <c r="I61" s="128"/>
      <c r="J61" s="128"/>
      <c r="K61" s="128"/>
      <c r="L61" s="128"/>
      <c r="M61" s="128"/>
      <c r="N61" s="128"/>
      <c r="O61" s="128"/>
      <c r="P61" s="128"/>
      <c r="Q61" s="128"/>
      <c r="R61" s="128"/>
      <c r="S61" s="128"/>
    </row>
    <row r="62" spans="7:19">
      <c r="G62" s="128"/>
      <c r="H62" s="128"/>
      <c r="I62" s="128"/>
      <c r="J62" s="128"/>
      <c r="K62" s="128"/>
      <c r="L62" s="128"/>
      <c r="M62" s="128"/>
      <c r="N62" s="128"/>
      <c r="O62" s="128"/>
      <c r="P62" s="128"/>
      <c r="Q62" s="128"/>
      <c r="R62" s="128"/>
      <c r="S62" s="128"/>
    </row>
    <row r="63" spans="7:19">
      <c r="G63" s="128"/>
      <c r="H63" s="128"/>
      <c r="I63" s="128"/>
      <c r="J63" s="128"/>
      <c r="K63" s="128"/>
      <c r="L63" s="128"/>
      <c r="M63" s="128"/>
      <c r="N63" s="128"/>
      <c r="O63" s="128"/>
      <c r="P63" s="128"/>
      <c r="Q63" s="128"/>
      <c r="R63" s="128"/>
      <c r="S63" s="128"/>
    </row>
    <row r="64" spans="7:19">
      <c r="G64" s="128"/>
      <c r="H64" s="128"/>
      <c r="I64" s="128"/>
      <c r="J64" s="128"/>
      <c r="K64" s="128"/>
      <c r="L64" s="128"/>
      <c r="M64" s="128"/>
      <c r="N64" s="128"/>
      <c r="O64" s="128"/>
      <c r="P64" s="128"/>
      <c r="Q64" s="128"/>
      <c r="R64" s="128"/>
      <c r="S64" s="128"/>
    </row>
    <row r="65" spans="7:19">
      <c r="G65" s="128"/>
      <c r="H65" s="128"/>
      <c r="I65" s="128"/>
      <c r="J65" s="128"/>
      <c r="K65" s="128"/>
      <c r="L65" s="128"/>
      <c r="M65" s="128"/>
      <c r="N65" s="128"/>
      <c r="O65" s="128"/>
      <c r="P65" s="128"/>
      <c r="Q65" s="128"/>
      <c r="R65" s="128"/>
      <c r="S65" s="128"/>
    </row>
    <row r="66" spans="7:19">
      <c r="G66" s="128"/>
      <c r="H66" s="128"/>
      <c r="I66" s="128"/>
      <c r="J66" s="128"/>
      <c r="K66" s="128"/>
      <c r="L66" s="128"/>
      <c r="M66" s="128"/>
      <c r="N66" s="128"/>
      <c r="O66" s="128"/>
      <c r="P66" s="128"/>
      <c r="Q66" s="128"/>
      <c r="R66" s="128"/>
      <c r="S66" s="128"/>
    </row>
    <row r="67" spans="7:19">
      <c r="G67" s="128"/>
      <c r="H67" s="128"/>
      <c r="I67" s="128"/>
      <c r="J67" s="128"/>
      <c r="K67" s="128"/>
      <c r="L67" s="128"/>
      <c r="M67" s="128"/>
      <c r="N67" s="128"/>
      <c r="O67" s="128"/>
      <c r="P67" s="128"/>
      <c r="Q67" s="128"/>
      <c r="R67" s="128"/>
      <c r="S67" s="128"/>
    </row>
    <row r="68" spans="7:19">
      <c r="G68" s="128"/>
      <c r="H68" s="128"/>
      <c r="I68" s="128"/>
      <c r="J68" s="128"/>
      <c r="K68" s="128"/>
      <c r="L68" s="128"/>
      <c r="M68" s="128"/>
      <c r="N68" s="128"/>
      <c r="O68" s="128"/>
      <c r="P68" s="128"/>
      <c r="Q68" s="128"/>
      <c r="R68" s="128"/>
      <c r="S68" s="128"/>
    </row>
    <row r="69" spans="7:19">
      <c r="G69" s="128"/>
      <c r="H69" s="128"/>
      <c r="I69" s="128"/>
      <c r="J69" s="128"/>
      <c r="K69" s="128"/>
      <c r="L69" s="128"/>
      <c r="M69" s="128"/>
      <c r="N69" s="128"/>
      <c r="O69" s="128"/>
      <c r="P69" s="128"/>
      <c r="Q69" s="128"/>
      <c r="R69" s="128"/>
      <c r="S69" s="128"/>
    </row>
    <row r="70" spans="7:19">
      <c r="G70" s="128"/>
      <c r="H70" s="128"/>
      <c r="I70" s="128"/>
      <c r="J70" s="128"/>
      <c r="K70" s="128"/>
      <c r="L70" s="128"/>
      <c r="M70" s="128"/>
      <c r="N70" s="128"/>
      <c r="O70" s="128"/>
      <c r="P70" s="128"/>
      <c r="Q70" s="128"/>
      <c r="R70" s="128"/>
      <c r="S70" s="128"/>
    </row>
    <row r="71" spans="7:19">
      <c r="G71" s="128"/>
      <c r="H71" s="128"/>
      <c r="I71" s="128"/>
      <c r="J71" s="128"/>
      <c r="K71" s="128"/>
      <c r="L71" s="128"/>
      <c r="M71" s="128"/>
      <c r="N71" s="128"/>
      <c r="O71" s="128"/>
      <c r="P71" s="128"/>
      <c r="Q71" s="128"/>
      <c r="R71" s="128"/>
      <c r="S71" s="128"/>
    </row>
    <row r="72" spans="7:19">
      <c r="G72" s="128"/>
      <c r="H72" s="128"/>
      <c r="I72" s="128"/>
      <c r="J72" s="128"/>
      <c r="K72" s="128"/>
      <c r="L72" s="128"/>
      <c r="M72" s="128"/>
      <c r="N72" s="128"/>
      <c r="O72" s="128"/>
      <c r="P72" s="128"/>
      <c r="Q72" s="128"/>
      <c r="R72" s="128"/>
      <c r="S72" s="128"/>
    </row>
    <row r="73" spans="7:19">
      <c r="G73" s="128"/>
      <c r="H73" s="128"/>
      <c r="I73" s="128"/>
      <c r="J73" s="128"/>
      <c r="K73" s="128"/>
      <c r="L73" s="128"/>
      <c r="M73" s="128"/>
      <c r="N73" s="128"/>
      <c r="O73" s="128"/>
      <c r="P73" s="128"/>
      <c r="Q73" s="128"/>
      <c r="R73" s="128"/>
      <c r="S73" s="128"/>
    </row>
    <row r="74" spans="7:19">
      <c r="G74" s="128"/>
      <c r="H74" s="128"/>
      <c r="I74" s="128"/>
      <c r="J74" s="128"/>
      <c r="K74" s="128"/>
      <c r="L74" s="128"/>
      <c r="M74" s="128"/>
      <c r="N74" s="128"/>
      <c r="O74" s="128"/>
      <c r="P74" s="128"/>
      <c r="Q74" s="128"/>
      <c r="R74" s="128"/>
      <c r="S74" s="128"/>
    </row>
    <row r="75" spans="7:19">
      <c r="G75" s="128"/>
      <c r="H75" s="128"/>
      <c r="I75" s="128"/>
      <c r="J75" s="128"/>
      <c r="K75" s="128"/>
      <c r="L75" s="128"/>
      <c r="M75" s="128"/>
      <c r="N75" s="128"/>
      <c r="O75" s="128"/>
      <c r="P75" s="128"/>
      <c r="Q75" s="128"/>
      <c r="R75" s="128"/>
      <c r="S75" s="128"/>
    </row>
    <row r="76" spans="7:19">
      <c r="G76" s="128"/>
      <c r="H76" s="128"/>
      <c r="I76" s="128"/>
      <c r="J76" s="128"/>
      <c r="K76" s="128"/>
      <c r="L76" s="128"/>
      <c r="M76" s="128"/>
      <c r="N76" s="128"/>
      <c r="O76" s="128"/>
      <c r="P76" s="128"/>
      <c r="Q76" s="128"/>
      <c r="R76" s="128"/>
      <c r="S76" s="128"/>
    </row>
    <row r="77" spans="7:19">
      <c r="G77" s="128"/>
      <c r="H77" s="128"/>
      <c r="I77" s="128"/>
      <c r="J77" s="128"/>
      <c r="K77" s="128"/>
      <c r="L77" s="128"/>
      <c r="M77" s="128"/>
      <c r="N77" s="128"/>
      <c r="O77" s="128"/>
      <c r="P77" s="128"/>
      <c r="Q77" s="128"/>
      <c r="R77" s="128"/>
      <c r="S77" s="128"/>
    </row>
    <row r="78" spans="7:19">
      <c r="G78" s="128"/>
      <c r="H78" s="128"/>
      <c r="I78" s="128"/>
      <c r="J78" s="128"/>
      <c r="K78" s="128"/>
      <c r="L78" s="128"/>
      <c r="M78" s="128"/>
      <c r="N78" s="128"/>
      <c r="O78" s="128"/>
      <c r="P78" s="128"/>
      <c r="Q78" s="128"/>
      <c r="R78" s="128"/>
      <c r="S78" s="128"/>
    </row>
    <row r="79" spans="7:19">
      <c r="G79" s="128"/>
      <c r="H79" s="128"/>
      <c r="I79" s="128"/>
      <c r="J79" s="128"/>
      <c r="K79" s="128"/>
      <c r="L79" s="128"/>
      <c r="M79" s="128"/>
      <c r="N79" s="128"/>
      <c r="O79" s="128"/>
      <c r="P79" s="128"/>
      <c r="Q79" s="128"/>
      <c r="R79" s="128"/>
      <c r="S79" s="128"/>
    </row>
    <row r="80" spans="7:19">
      <c r="G80" s="128"/>
      <c r="H80" s="128"/>
      <c r="I80" s="128"/>
      <c r="J80" s="128"/>
      <c r="K80" s="128"/>
      <c r="L80" s="128"/>
      <c r="M80" s="128"/>
      <c r="N80" s="128"/>
      <c r="O80" s="128"/>
      <c r="P80" s="128"/>
      <c r="Q80" s="128"/>
      <c r="R80" s="128"/>
      <c r="S80" s="128"/>
    </row>
    <row r="81" spans="7:19">
      <c r="G81" s="128"/>
      <c r="H81" s="128"/>
      <c r="I81" s="128"/>
      <c r="J81" s="128"/>
      <c r="K81" s="128"/>
      <c r="L81" s="128"/>
      <c r="M81" s="128"/>
      <c r="N81" s="128"/>
      <c r="O81" s="128"/>
      <c r="P81" s="128"/>
      <c r="Q81" s="128"/>
      <c r="R81" s="128"/>
      <c r="S81" s="128"/>
    </row>
    <row r="82" spans="7:19">
      <c r="G82" s="128"/>
      <c r="H82" s="128"/>
      <c r="I82" s="128"/>
      <c r="J82" s="128"/>
      <c r="K82" s="128"/>
      <c r="L82" s="128"/>
      <c r="M82" s="128"/>
      <c r="N82" s="128"/>
      <c r="O82" s="128"/>
      <c r="P82" s="128"/>
      <c r="Q82" s="128"/>
      <c r="R82" s="128"/>
      <c r="S82" s="128"/>
    </row>
    <row r="83" spans="7:19">
      <c r="G83" s="128"/>
      <c r="H83" s="128"/>
      <c r="I83" s="128"/>
      <c r="J83" s="128"/>
      <c r="K83" s="128"/>
      <c r="L83" s="128"/>
      <c r="M83" s="128"/>
      <c r="N83" s="128"/>
      <c r="O83" s="128"/>
      <c r="P83" s="128"/>
      <c r="Q83" s="128"/>
      <c r="R83" s="128"/>
      <c r="S83" s="128"/>
    </row>
    <row r="84" spans="7:19">
      <c r="G84" s="128"/>
      <c r="H84" s="128"/>
      <c r="I84" s="128"/>
      <c r="J84" s="128"/>
      <c r="K84" s="128"/>
      <c r="L84" s="128"/>
      <c r="M84" s="128"/>
      <c r="N84" s="128"/>
      <c r="O84" s="128"/>
      <c r="P84" s="128"/>
      <c r="Q84" s="128"/>
      <c r="R84" s="128"/>
      <c r="S84" s="128"/>
    </row>
    <row r="85" spans="7:19">
      <c r="G85" s="128"/>
      <c r="H85" s="128"/>
      <c r="I85" s="128"/>
      <c r="J85" s="128"/>
      <c r="K85" s="128"/>
      <c r="L85" s="128"/>
      <c r="M85" s="128"/>
      <c r="N85" s="128"/>
      <c r="O85" s="128"/>
      <c r="P85" s="128"/>
      <c r="Q85" s="128"/>
      <c r="R85" s="128"/>
      <c r="S85" s="128"/>
    </row>
    <row r="86" spans="7:19">
      <c r="G86" s="128"/>
      <c r="H86" s="128"/>
      <c r="I86" s="128"/>
      <c r="J86" s="128"/>
      <c r="K86" s="128"/>
      <c r="L86" s="128"/>
      <c r="M86" s="128"/>
      <c r="N86" s="128"/>
      <c r="O86" s="128"/>
      <c r="P86" s="128"/>
      <c r="Q86" s="128"/>
      <c r="R86" s="128"/>
      <c r="S86" s="128"/>
    </row>
    <row r="87" spans="7:19">
      <c r="G87" s="128"/>
      <c r="H87" s="128"/>
      <c r="I87" s="128"/>
      <c r="J87" s="128"/>
      <c r="K87" s="128"/>
      <c r="L87" s="128"/>
      <c r="M87" s="128"/>
      <c r="N87" s="128"/>
      <c r="O87" s="128"/>
      <c r="P87" s="128"/>
      <c r="Q87" s="128"/>
      <c r="R87" s="128"/>
      <c r="S87" s="128"/>
    </row>
    <row r="88" spans="7:19">
      <c r="G88" s="128"/>
      <c r="H88" s="128"/>
      <c r="I88" s="128"/>
      <c r="J88" s="128"/>
      <c r="K88" s="128"/>
      <c r="L88" s="128"/>
      <c r="M88" s="128"/>
      <c r="N88" s="128"/>
      <c r="O88" s="128"/>
      <c r="P88" s="128"/>
      <c r="Q88" s="128"/>
      <c r="R88" s="128"/>
      <c r="S88" s="128"/>
    </row>
    <row r="89" spans="7:19">
      <c r="G89" s="128"/>
      <c r="H89" s="128"/>
      <c r="I89" s="128"/>
      <c r="J89" s="128"/>
      <c r="K89" s="128"/>
      <c r="L89" s="128"/>
      <c r="M89" s="128"/>
      <c r="N89" s="128"/>
      <c r="O89" s="128"/>
      <c r="P89" s="128"/>
      <c r="Q89" s="128"/>
      <c r="R89" s="128"/>
      <c r="S89" s="128"/>
    </row>
    <row r="90" spans="7:19">
      <c r="G90" s="128"/>
      <c r="H90" s="128"/>
      <c r="I90" s="128"/>
      <c r="J90" s="128"/>
      <c r="K90" s="128"/>
      <c r="L90" s="128"/>
      <c r="M90" s="128"/>
      <c r="N90" s="128"/>
      <c r="O90" s="128"/>
      <c r="P90" s="128"/>
      <c r="Q90" s="128"/>
      <c r="R90" s="128"/>
      <c r="S90" s="128"/>
    </row>
    <row r="91" spans="7:19">
      <c r="G91" s="128"/>
      <c r="H91" s="128"/>
      <c r="I91" s="128"/>
      <c r="J91" s="128"/>
      <c r="K91" s="128"/>
      <c r="L91" s="128"/>
      <c r="M91" s="128"/>
      <c r="N91" s="128"/>
      <c r="O91" s="128"/>
      <c r="P91" s="128"/>
      <c r="Q91" s="128"/>
      <c r="R91" s="128"/>
      <c r="S91" s="128"/>
    </row>
    <row r="92" spans="7:19">
      <c r="G92" s="128"/>
      <c r="H92" s="128"/>
      <c r="I92" s="128"/>
      <c r="J92" s="128"/>
      <c r="K92" s="128"/>
      <c r="L92" s="128"/>
      <c r="M92" s="128"/>
      <c r="N92" s="128"/>
      <c r="O92" s="128"/>
      <c r="P92" s="128"/>
      <c r="Q92" s="128"/>
      <c r="R92" s="128"/>
      <c r="S92" s="128"/>
    </row>
    <row r="93" spans="7:19">
      <c r="G93" s="128"/>
      <c r="H93" s="128"/>
      <c r="I93" s="128"/>
      <c r="J93" s="128"/>
      <c r="K93" s="128"/>
      <c r="L93" s="128"/>
      <c r="M93" s="128"/>
      <c r="N93" s="128"/>
      <c r="O93" s="128"/>
      <c r="P93" s="128"/>
      <c r="Q93" s="128"/>
      <c r="R93" s="128"/>
      <c r="S93" s="128"/>
    </row>
    <row r="94" spans="7:19">
      <c r="G94" s="128"/>
      <c r="H94" s="128"/>
      <c r="I94" s="128"/>
      <c r="J94" s="128"/>
      <c r="K94" s="128"/>
      <c r="L94" s="128"/>
      <c r="M94" s="128"/>
      <c r="N94" s="128"/>
      <c r="O94" s="128"/>
      <c r="P94" s="128"/>
      <c r="Q94" s="128"/>
      <c r="R94" s="128"/>
      <c r="S94" s="128"/>
    </row>
    <row r="95" spans="7:19">
      <c r="G95" s="128"/>
      <c r="H95" s="128"/>
      <c r="I95" s="128"/>
      <c r="J95" s="128"/>
      <c r="K95" s="128"/>
      <c r="L95" s="128"/>
      <c r="M95" s="128"/>
      <c r="N95" s="128"/>
      <c r="O95" s="128"/>
      <c r="P95" s="128"/>
      <c r="Q95" s="128"/>
      <c r="R95" s="128"/>
      <c r="S95" s="128"/>
    </row>
    <row r="96" spans="7:19">
      <c r="G96" s="128"/>
      <c r="H96" s="128"/>
      <c r="I96" s="128"/>
      <c r="J96" s="128"/>
      <c r="K96" s="128"/>
      <c r="L96" s="128"/>
      <c r="M96" s="128"/>
      <c r="N96" s="128"/>
      <c r="O96" s="128"/>
      <c r="P96" s="128"/>
      <c r="Q96" s="128"/>
      <c r="R96" s="128"/>
      <c r="S96" s="128"/>
    </row>
    <row r="97" spans="7:19">
      <c r="G97" s="128"/>
      <c r="H97" s="128"/>
      <c r="I97" s="128"/>
      <c r="J97" s="128"/>
      <c r="K97" s="128"/>
      <c r="L97" s="128"/>
      <c r="M97" s="128"/>
      <c r="N97" s="128"/>
      <c r="O97" s="128"/>
      <c r="P97" s="128"/>
      <c r="Q97" s="128"/>
      <c r="R97" s="128"/>
      <c r="S97" s="128"/>
    </row>
    <row r="98" spans="7:19">
      <c r="G98" s="128"/>
      <c r="H98" s="128"/>
      <c r="I98" s="128"/>
      <c r="J98" s="128"/>
      <c r="K98" s="128"/>
      <c r="L98" s="128"/>
      <c r="M98" s="128"/>
      <c r="N98" s="128"/>
      <c r="O98" s="128"/>
      <c r="P98" s="128"/>
      <c r="Q98" s="128"/>
      <c r="R98" s="128"/>
      <c r="S98" s="128"/>
    </row>
    <row r="99" spans="7:19">
      <c r="G99" s="128"/>
      <c r="H99" s="128"/>
      <c r="I99" s="128"/>
      <c r="J99" s="128"/>
      <c r="K99" s="128"/>
      <c r="L99" s="128"/>
      <c r="M99" s="128"/>
      <c r="N99" s="128"/>
      <c r="O99" s="128"/>
      <c r="P99" s="128"/>
      <c r="Q99" s="128"/>
      <c r="R99" s="128"/>
      <c r="S99" s="128"/>
    </row>
    <row r="100" spans="7:19">
      <c r="G100" s="128"/>
      <c r="H100" s="128"/>
      <c r="I100" s="128"/>
      <c r="J100" s="128"/>
      <c r="K100" s="128"/>
      <c r="L100" s="128"/>
      <c r="M100" s="128"/>
      <c r="N100" s="128"/>
      <c r="O100" s="128"/>
      <c r="P100" s="128"/>
      <c r="Q100" s="128"/>
      <c r="R100" s="128"/>
      <c r="S100" s="128"/>
    </row>
    <row r="101" spans="7:19">
      <c r="G101" s="128"/>
      <c r="H101" s="128"/>
      <c r="I101" s="128"/>
      <c r="J101" s="128"/>
      <c r="K101" s="128"/>
      <c r="L101" s="128"/>
      <c r="M101" s="128"/>
      <c r="N101" s="128"/>
      <c r="O101" s="128"/>
      <c r="P101" s="128"/>
      <c r="Q101" s="128"/>
      <c r="R101" s="128"/>
      <c r="S101" s="128"/>
    </row>
    <row r="102" spans="7:19">
      <c r="G102" s="128"/>
      <c r="H102" s="128"/>
      <c r="I102" s="128"/>
      <c r="J102" s="128"/>
      <c r="K102" s="128"/>
      <c r="L102" s="128"/>
      <c r="M102" s="128"/>
      <c r="N102" s="128"/>
      <c r="O102" s="128"/>
      <c r="P102" s="128"/>
      <c r="Q102" s="128"/>
      <c r="R102" s="128"/>
      <c r="S102" s="128"/>
    </row>
    <row r="103" spans="7:19">
      <c r="G103" s="128"/>
      <c r="H103" s="128"/>
      <c r="I103" s="128"/>
      <c r="J103" s="128"/>
      <c r="K103" s="128"/>
      <c r="L103" s="128"/>
      <c r="M103" s="128"/>
      <c r="N103" s="128"/>
      <c r="O103" s="128"/>
      <c r="P103" s="128"/>
      <c r="Q103" s="128"/>
      <c r="R103" s="128"/>
      <c r="S103" s="128"/>
    </row>
    <row r="104" spans="7:19">
      <c r="G104" s="128"/>
      <c r="H104" s="128"/>
      <c r="I104" s="128"/>
      <c r="J104" s="128"/>
      <c r="K104" s="128"/>
      <c r="L104" s="128"/>
      <c r="M104" s="128"/>
      <c r="N104" s="128"/>
      <c r="O104" s="128"/>
      <c r="P104" s="128"/>
      <c r="Q104" s="128"/>
      <c r="R104" s="128"/>
      <c r="S104" s="128"/>
    </row>
    <row r="105" spans="7:19">
      <c r="G105" s="128"/>
      <c r="H105" s="128"/>
      <c r="I105" s="128"/>
      <c r="J105" s="128"/>
      <c r="K105" s="128"/>
      <c r="L105" s="128"/>
      <c r="M105" s="128"/>
      <c r="N105" s="128"/>
      <c r="O105" s="128"/>
      <c r="P105" s="128"/>
      <c r="Q105" s="128"/>
      <c r="R105" s="128"/>
      <c r="S105" s="128"/>
    </row>
    <row r="106" spans="7:19">
      <c r="G106" s="128"/>
      <c r="H106" s="128"/>
      <c r="I106" s="128"/>
      <c r="J106" s="128"/>
      <c r="K106" s="128"/>
      <c r="L106" s="128"/>
      <c r="M106" s="128"/>
      <c r="N106" s="128"/>
      <c r="O106" s="128"/>
      <c r="P106" s="128"/>
      <c r="Q106" s="128"/>
      <c r="R106" s="128"/>
      <c r="S106" s="128"/>
    </row>
    <row r="107" spans="7:19">
      <c r="G107" s="128"/>
      <c r="H107" s="128"/>
      <c r="I107" s="128"/>
      <c r="J107" s="128"/>
      <c r="K107" s="128"/>
      <c r="L107" s="128"/>
      <c r="M107" s="128"/>
      <c r="N107" s="128"/>
      <c r="O107" s="128"/>
      <c r="P107" s="128"/>
      <c r="Q107" s="128"/>
      <c r="R107" s="128"/>
      <c r="S107" s="128"/>
    </row>
    <row r="108" spans="7:19">
      <c r="G108" s="128"/>
      <c r="H108" s="128"/>
      <c r="I108" s="128"/>
      <c r="J108" s="128"/>
      <c r="K108" s="128"/>
      <c r="L108" s="128"/>
      <c r="M108" s="128"/>
      <c r="N108" s="128"/>
      <c r="O108" s="128"/>
      <c r="P108" s="128"/>
      <c r="Q108" s="128"/>
      <c r="R108" s="128"/>
      <c r="S108" s="128"/>
    </row>
    <row r="109" spans="7:19">
      <c r="G109" s="128"/>
      <c r="H109" s="128"/>
      <c r="I109" s="128"/>
      <c r="J109" s="128"/>
      <c r="K109" s="128"/>
      <c r="L109" s="128"/>
      <c r="M109" s="128"/>
      <c r="N109" s="128"/>
      <c r="O109" s="128"/>
      <c r="P109" s="128"/>
      <c r="Q109" s="128"/>
      <c r="R109" s="128"/>
      <c r="S109" s="128"/>
    </row>
    <row r="110" spans="7:19">
      <c r="G110" s="128"/>
      <c r="H110" s="128"/>
      <c r="I110" s="128"/>
      <c r="J110" s="128"/>
      <c r="K110" s="128"/>
      <c r="L110" s="128"/>
      <c r="M110" s="128"/>
      <c r="N110" s="128"/>
      <c r="O110" s="128"/>
      <c r="P110" s="128"/>
      <c r="Q110" s="128"/>
      <c r="R110" s="128"/>
      <c r="S110" s="128"/>
    </row>
    <row r="111" spans="7:19">
      <c r="G111" s="128"/>
      <c r="H111" s="128"/>
      <c r="I111" s="128"/>
      <c r="J111" s="128"/>
      <c r="K111" s="128"/>
      <c r="L111" s="128"/>
      <c r="M111" s="128"/>
      <c r="N111" s="128"/>
      <c r="O111" s="128"/>
      <c r="P111" s="128"/>
      <c r="Q111" s="128"/>
      <c r="R111" s="128"/>
      <c r="S111" s="128"/>
    </row>
    <row r="112" spans="7:19">
      <c r="G112" s="128"/>
      <c r="H112" s="128"/>
      <c r="I112" s="128"/>
      <c r="J112" s="128"/>
      <c r="K112" s="128"/>
      <c r="L112" s="128"/>
      <c r="M112" s="128"/>
      <c r="N112" s="128"/>
      <c r="O112" s="128"/>
      <c r="P112" s="128"/>
      <c r="Q112" s="128"/>
      <c r="R112" s="128"/>
      <c r="S112" s="128"/>
    </row>
    <row r="113" spans="7:19">
      <c r="G113" s="128"/>
      <c r="H113" s="128"/>
      <c r="I113" s="128"/>
      <c r="J113" s="128"/>
      <c r="K113" s="128"/>
      <c r="L113" s="128"/>
      <c r="M113" s="128"/>
      <c r="N113" s="128"/>
      <c r="O113" s="128"/>
      <c r="P113" s="128"/>
      <c r="Q113" s="128"/>
      <c r="R113" s="128"/>
      <c r="S113" s="128"/>
    </row>
    <row r="114" spans="7:19">
      <c r="G114" s="128"/>
      <c r="H114" s="128"/>
      <c r="I114" s="128"/>
      <c r="J114" s="128"/>
      <c r="K114" s="128"/>
      <c r="L114" s="128"/>
      <c r="M114" s="128"/>
      <c r="N114" s="128"/>
      <c r="O114" s="128"/>
      <c r="P114" s="128"/>
      <c r="Q114" s="128"/>
      <c r="R114" s="128"/>
      <c r="S114" s="128"/>
    </row>
    <row r="115" spans="7:19">
      <c r="G115" s="128"/>
      <c r="H115" s="128"/>
      <c r="I115" s="128"/>
      <c r="J115" s="128"/>
      <c r="K115" s="128"/>
      <c r="L115" s="128"/>
      <c r="M115" s="128"/>
      <c r="N115" s="128"/>
      <c r="O115" s="128"/>
      <c r="P115" s="128"/>
      <c r="Q115" s="128"/>
      <c r="R115" s="128"/>
      <c r="S115" s="128"/>
    </row>
    <row r="116" spans="7:19">
      <c r="G116" s="128"/>
      <c r="H116" s="128"/>
      <c r="I116" s="128"/>
      <c r="J116" s="128"/>
      <c r="K116" s="128"/>
      <c r="L116" s="128"/>
      <c r="M116" s="128"/>
      <c r="N116" s="128"/>
      <c r="O116" s="128"/>
      <c r="P116" s="128"/>
      <c r="Q116" s="128"/>
      <c r="R116" s="128"/>
      <c r="S116" s="128"/>
    </row>
    <row r="117" spans="7:19">
      <c r="G117" s="128"/>
      <c r="H117" s="128"/>
      <c r="I117" s="128"/>
      <c r="J117" s="128"/>
      <c r="K117" s="128"/>
      <c r="L117" s="128"/>
      <c r="M117" s="128"/>
      <c r="N117" s="128"/>
      <c r="O117" s="128"/>
      <c r="P117" s="128"/>
      <c r="Q117" s="128"/>
      <c r="R117" s="128"/>
      <c r="S117" s="128"/>
    </row>
    <row r="118" spans="7:19">
      <c r="G118" s="128"/>
      <c r="H118" s="128"/>
      <c r="I118" s="128"/>
      <c r="J118" s="128"/>
      <c r="K118" s="128"/>
      <c r="L118" s="128"/>
      <c r="M118" s="128"/>
      <c r="N118" s="128"/>
      <c r="O118" s="128"/>
      <c r="P118" s="128"/>
      <c r="Q118" s="128"/>
      <c r="R118" s="128"/>
      <c r="S118" s="128"/>
    </row>
    <row r="119" spans="7:19">
      <c r="G119" s="128"/>
      <c r="H119" s="128"/>
      <c r="I119" s="128"/>
      <c r="J119" s="128"/>
      <c r="K119" s="128"/>
      <c r="L119" s="128"/>
      <c r="M119" s="128"/>
      <c r="N119" s="128"/>
      <c r="O119" s="128"/>
      <c r="P119" s="128"/>
      <c r="Q119" s="128"/>
      <c r="R119" s="128"/>
      <c r="S119" s="128"/>
    </row>
    <row r="120" spans="7:19">
      <c r="G120" s="128"/>
      <c r="H120" s="128"/>
      <c r="I120" s="128"/>
      <c r="J120" s="128"/>
      <c r="K120" s="128"/>
      <c r="L120" s="128"/>
      <c r="M120" s="128"/>
      <c r="N120" s="128"/>
      <c r="O120" s="128"/>
      <c r="P120" s="128"/>
      <c r="Q120" s="128"/>
      <c r="R120" s="128"/>
      <c r="S120" s="128"/>
    </row>
    <row r="121" spans="7:19">
      <c r="G121" s="128"/>
      <c r="H121" s="128"/>
      <c r="I121" s="128"/>
      <c r="J121" s="128"/>
      <c r="K121" s="128"/>
      <c r="L121" s="128"/>
      <c r="M121" s="128"/>
      <c r="N121" s="128"/>
      <c r="O121" s="128"/>
      <c r="P121" s="128"/>
      <c r="Q121" s="128"/>
      <c r="R121" s="128"/>
      <c r="S121" s="128"/>
    </row>
    <row r="122" spans="7:19">
      <c r="G122" s="128"/>
      <c r="H122" s="128"/>
      <c r="I122" s="128"/>
      <c r="J122" s="128"/>
      <c r="K122" s="128"/>
      <c r="L122" s="128"/>
      <c r="M122" s="128"/>
      <c r="N122" s="128"/>
      <c r="O122" s="128"/>
      <c r="P122" s="128"/>
      <c r="Q122" s="128"/>
      <c r="R122" s="128"/>
      <c r="S122" s="128"/>
    </row>
    <row r="123" spans="7:19">
      <c r="G123" s="128"/>
      <c r="H123" s="128"/>
      <c r="I123" s="128"/>
      <c r="J123" s="128"/>
      <c r="K123" s="128"/>
      <c r="L123" s="128"/>
      <c r="M123" s="128"/>
      <c r="N123" s="128"/>
      <c r="O123" s="128"/>
      <c r="P123" s="128"/>
      <c r="Q123" s="128"/>
      <c r="R123" s="128"/>
      <c r="S123" s="128"/>
    </row>
    <row r="124" spans="7:19">
      <c r="G124" s="128"/>
      <c r="H124" s="128"/>
      <c r="I124" s="128"/>
      <c r="J124" s="128"/>
      <c r="K124" s="128"/>
      <c r="L124" s="128"/>
      <c r="M124" s="128"/>
      <c r="N124" s="128"/>
      <c r="O124" s="128"/>
      <c r="P124" s="128"/>
      <c r="Q124" s="128"/>
      <c r="R124" s="128"/>
      <c r="S124" s="128"/>
    </row>
    <row r="125" spans="7:19">
      <c r="G125" s="128"/>
      <c r="H125" s="128"/>
      <c r="I125" s="128"/>
      <c r="J125" s="128"/>
      <c r="K125" s="128"/>
      <c r="L125" s="128"/>
      <c r="M125" s="128"/>
      <c r="N125" s="128"/>
      <c r="O125" s="128"/>
      <c r="P125" s="128"/>
      <c r="Q125" s="128"/>
      <c r="R125" s="128"/>
      <c r="S125" s="128"/>
    </row>
    <row r="126" spans="7:19">
      <c r="G126" s="128"/>
      <c r="H126" s="128"/>
      <c r="I126" s="128"/>
      <c r="J126" s="128"/>
      <c r="K126" s="128"/>
      <c r="L126" s="128"/>
      <c r="M126" s="128"/>
      <c r="N126" s="128"/>
      <c r="O126" s="128"/>
      <c r="P126" s="128"/>
      <c r="Q126" s="128"/>
      <c r="R126" s="128"/>
      <c r="S126" s="128"/>
    </row>
    <row r="127" spans="7:19">
      <c r="G127" s="128"/>
      <c r="H127" s="128"/>
      <c r="I127" s="128"/>
      <c r="J127" s="128"/>
      <c r="K127" s="128"/>
      <c r="L127" s="128"/>
      <c r="M127" s="128"/>
      <c r="N127" s="128"/>
      <c r="O127" s="128"/>
      <c r="P127" s="128"/>
      <c r="Q127" s="128"/>
      <c r="R127" s="128"/>
      <c r="S127" s="128"/>
    </row>
    <row r="128" spans="7:19">
      <c r="G128" s="128"/>
      <c r="H128" s="128"/>
      <c r="I128" s="128"/>
      <c r="J128" s="128"/>
      <c r="K128" s="128"/>
      <c r="L128" s="128"/>
      <c r="M128" s="128"/>
      <c r="N128" s="128"/>
      <c r="O128" s="128"/>
      <c r="P128" s="128"/>
      <c r="Q128" s="128"/>
      <c r="R128" s="128"/>
      <c r="S128" s="128"/>
    </row>
    <row r="129" spans="7:19">
      <c r="G129" s="128"/>
      <c r="H129" s="128"/>
      <c r="I129" s="128"/>
      <c r="J129" s="128"/>
      <c r="K129" s="128"/>
      <c r="L129" s="128"/>
      <c r="M129" s="128"/>
      <c r="N129" s="128"/>
      <c r="O129" s="128"/>
      <c r="P129" s="128"/>
      <c r="Q129" s="128"/>
      <c r="R129" s="128"/>
      <c r="S129" s="128"/>
    </row>
    <row r="130" spans="7:19">
      <c r="G130" s="128"/>
      <c r="H130" s="128"/>
      <c r="I130" s="128"/>
      <c r="J130" s="128"/>
      <c r="K130" s="128"/>
      <c r="L130" s="128"/>
      <c r="M130" s="128"/>
      <c r="N130" s="128"/>
      <c r="O130" s="128"/>
      <c r="P130" s="128"/>
      <c r="Q130" s="128"/>
      <c r="R130" s="128"/>
      <c r="S130" s="128"/>
    </row>
    <row r="131" spans="7:19">
      <c r="G131" s="128"/>
      <c r="H131" s="128"/>
      <c r="I131" s="128"/>
      <c r="J131" s="128"/>
      <c r="K131" s="128"/>
      <c r="L131" s="128"/>
      <c r="M131" s="128"/>
      <c r="N131" s="128"/>
      <c r="O131" s="128"/>
      <c r="P131" s="128"/>
      <c r="Q131" s="128"/>
      <c r="R131" s="128"/>
      <c r="S131" s="128"/>
    </row>
    <row r="132" spans="7:19">
      <c r="G132" s="128"/>
      <c r="H132" s="128"/>
      <c r="I132" s="128"/>
      <c r="J132" s="128"/>
      <c r="K132" s="128"/>
      <c r="L132" s="128"/>
      <c r="M132" s="128"/>
      <c r="N132" s="128"/>
      <c r="O132" s="128"/>
      <c r="P132" s="128"/>
      <c r="Q132" s="128"/>
      <c r="R132" s="128"/>
      <c r="S132" s="128"/>
    </row>
    <row r="133" spans="7:19">
      <c r="G133" s="128"/>
      <c r="H133" s="128"/>
      <c r="I133" s="128"/>
      <c r="J133" s="128"/>
      <c r="K133" s="128"/>
      <c r="L133" s="128"/>
      <c r="M133" s="128"/>
      <c r="N133" s="128"/>
      <c r="O133" s="128"/>
      <c r="P133" s="128"/>
      <c r="Q133" s="128"/>
      <c r="R133" s="128"/>
      <c r="S133" s="128"/>
    </row>
    <row r="134" spans="7:19">
      <c r="G134" s="128"/>
      <c r="H134" s="128"/>
      <c r="I134" s="128"/>
      <c r="J134" s="128"/>
      <c r="K134" s="128"/>
      <c r="L134" s="128"/>
      <c r="M134" s="128"/>
      <c r="N134" s="128"/>
      <c r="O134" s="128"/>
      <c r="P134" s="128"/>
      <c r="Q134" s="128"/>
      <c r="R134" s="128"/>
      <c r="S134" s="128"/>
    </row>
    <row r="135" spans="7:19">
      <c r="G135" s="128"/>
      <c r="H135" s="128"/>
      <c r="I135" s="128"/>
      <c r="J135" s="128"/>
      <c r="K135" s="128"/>
      <c r="L135" s="128"/>
      <c r="M135" s="128"/>
      <c r="N135" s="128"/>
      <c r="O135" s="128"/>
      <c r="P135" s="128"/>
      <c r="Q135" s="128"/>
      <c r="R135" s="128"/>
      <c r="S135" s="128"/>
    </row>
    <row r="136" spans="7:19">
      <c r="G136" s="128"/>
      <c r="H136" s="128"/>
      <c r="I136" s="128"/>
      <c r="J136" s="128"/>
      <c r="K136" s="128"/>
      <c r="L136" s="128"/>
      <c r="M136" s="128"/>
      <c r="N136" s="128"/>
      <c r="O136" s="128"/>
      <c r="P136" s="128"/>
      <c r="Q136" s="128"/>
      <c r="R136" s="128"/>
      <c r="S136" s="128"/>
    </row>
    <row r="137" spans="7:19">
      <c r="G137" s="128"/>
      <c r="H137" s="128"/>
      <c r="I137" s="128"/>
      <c r="J137" s="128"/>
      <c r="K137" s="128"/>
      <c r="L137" s="128"/>
      <c r="M137" s="128"/>
      <c r="N137" s="128"/>
      <c r="O137" s="128"/>
      <c r="P137" s="128"/>
      <c r="Q137" s="128"/>
      <c r="R137" s="128"/>
      <c r="S137" s="128"/>
    </row>
    <row r="138" spans="7:19">
      <c r="G138" s="128"/>
      <c r="H138" s="128"/>
      <c r="I138" s="128"/>
      <c r="J138" s="128"/>
      <c r="K138" s="128"/>
      <c r="L138" s="128"/>
      <c r="M138" s="128"/>
      <c r="N138" s="128"/>
      <c r="O138" s="128"/>
      <c r="P138" s="128"/>
      <c r="Q138" s="128"/>
      <c r="R138" s="128"/>
      <c r="S138" s="128"/>
    </row>
    <row r="139" spans="7:19">
      <c r="G139" s="128"/>
      <c r="H139" s="128"/>
      <c r="I139" s="128"/>
      <c r="J139" s="128"/>
      <c r="K139" s="128"/>
      <c r="L139" s="128"/>
      <c r="M139" s="128"/>
      <c r="N139" s="128"/>
      <c r="O139" s="128"/>
      <c r="P139" s="128"/>
      <c r="Q139" s="128"/>
      <c r="R139" s="128"/>
      <c r="S139" s="128"/>
    </row>
    <row r="140" spans="7:19">
      <c r="G140" s="128"/>
      <c r="H140" s="128"/>
      <c r="I140" s="128"/>
      <c r="J140" s="128"/>
      <c r="K140" s="128"/>
      <c r="L140" s="128"/>
      <c r="M140" s="128"/>
      <c r="N140" s="128"/>
      <c r="O140" s="128"/>
      <c r="P140" s="128"/>
      <c r="Q140" s="128"/>
      <c r="R140" s="128"/>
      <c r="S140" s="128"/>
    </row>
    <row r="141" spans="7:19">
      <c r="G141" s="128"/>
      <c r="H141" s="128"/>
      <c r="I141" s="128"/>
      <c r="J141" s="128"/>
      <c r="K141" s="128"/>
      <c r="L141" s="128"/>
      <c r="M141" s="128"/>
      <c r="N141" s="128"/>
      <c r="O141" s="128"/>
      <c r="P141" s="128"/>
      <c r="Q141" s="128"/>
      <c r="R141" s="128"/>
      <c r="S141" s="128"/>
    </row>
    <row r="142" spans="7:19">
      <c r="G142" s="128"/>
      <c r="H142" s="128"/>
      <c r="I142" s="128"/>
      <c r="J142" s="128"/>
      <c r="K142" s="128"/>
      <c r="L142" s="128"/>
      <c r="M142" s="128"/>
      <c r="N142" s="128"/>
      <c r="O142" s="128"/>
      <c r="P142" s="128"/>
      <c r="Q142" s="128"/>
      <c r="R142" s="128"/>
      <c r="S142" s="128"/>
    </row>
    <row r="143" spans="7:19">
      <c r="G143" s="128"/>
      <c r="H143" s="128"/>
      <c r="I143" s="128"/>
      <c r="J143" s="128"/>
      <c r="K143" s="128"/>
      <c r="L143" s="128"/>
      <c r="M143" s="128"/>
      <c r="N143" s="128"/>
      <c r="O143" s="128"/>
      <c r="P143" s="128"/>
      <c r="Q143" s="128"/>
      <c r="R143" s="128"/>
      <c r="S143" s="128"/>
    </row>
    <row r="144" spans="7:19">
      <c r="G144" s="128"/>
      <c r="H144" s="128"/>
      <c r="I144" s="128"/>
      <c r="J144" s="128"/>
      <c r="K144" s="128"/>
      <c r="L144" s="128"/>
      <c r="M144" s="128"/>
      <c r="N144" s="128"/>
      <c r="O144" s="128"/>
      <c r="P144" s="128"/>
      <c r="Q144" s="128"/>
      <c r="R144" s="128"/>
      <c r="S144" s="128"/>
    </row>
    <row r="145" spans="7:19">
      <c r="G145" s="128"/>
      <c r="H145" s="128"/>
      <c r="I145" s="128"/>
      <c r="J145" s="128"/>
      <c r="K145" s="128"/>
      <c r="L145" s="128"/>
      <c r="M145" s="128"/>
      <c r="N145" s="128"/>
      <c r="O145" s="128"/>
      <c r="P145" s="128"/>
      <c r="Q145" s="128"/>
      <c r="R145" s="128"/>
      <c r="S145" s="128"/>
    </row>
    <row r="146" spans="7:19">
      <c r="G146" s="128"/>
      <c r="H146" s="128"/>
      <c r="I146" s="128"/>
      <c r="J146" s="128"/>
      <c r="K146" s="128"/>
      <c r="L146" s="128"/>
      <c r="M146" s="128"/>
      <c r="N146" s="128"/>
      <c r="O146" s="128"/>
      <c r="P146" s="128"/>
      <c r="Q146" s="128"/>
      <c r="R146" s="128"/>
      <c r="S146" s="128"/>
    </row>
    <row r="147" spans="7:19">
      <c r="G147" s="128"/>
      <c r="H147" s="128"/>
      <c r="I147" s="128"/>
      <c r="J147" s="128"/>
      <c r="K147" s="128"/>
      <c r="L147" s="128"/>
      <c r="M147" s="128"/>
      <c r="N147" s="128"/>
      <c r="O147" s="128"/>
      <c r="P147" s="128"/>
      <c r="Q147" s="128"/>
      <c r="R147" s="128"/>
      <c r="S147" s="128"/>
    </row>
    <row r="148" spans="7:19">
      <c r="G148" s="128"/>
      <c r="H148" s="128"/>
      <c r="I148" s="128"/>
      <c r="J148" s="128"/>
      <c r="K148" s="128"/>
      <c r="L148" s="128"/>
      <c r="M148" s="128"/>
      <c r="N148" s="128"/>
      <c r="O148" s="128"/>
      <c r="P148" s="128"/>
      <c r="Q148" s="128"/>
      <c r="R148" s="128"/>
      <c r="S148" s="128"/>
    </row>
    <row r="149" spans="7:19">
      <c r="G149" s="128"/>
      <c r="H149" s="128"/>
      <c r="I149" s="128"/>
      <c r="J149" s="128"/>
      <c r="K149" s="128"/>
      <c r="L149" s="128"/>
      <c r="M149" s="128"/>
      <c r="N149" s="128"/>
      <c r="O149" s="128"/>
      <c r="P149" s="128"/>
      <c r="Q149" s="128"/>
      <c r="R149" s="128"/>
      <c r="S149" s="128"/>
    </row>
    <row r="150" spans="7:19">
      <c r="G150" s="128"/>
      <c r="H150" s="128"/>
      <c r="I150" s="128"/>
      <c r="J150" s="128"/>
      <c r="K150" s="128"/>
      <c r="L150" s="128"/>
      <c r="M150" s="128"/>
      <c r="N150" s="128"/>
      <c r="O150" s="128"/>
      <c r="P150" s="128"/>
      <c r="Q150" s="128"/>
      <c r="R150" s="128"/>
      <c r="S150" s="128"/>
    </row>
    <row r="151" spans="7:19">
      <c r="G151" s="128"/>
      <c r="H151" s="128"/>
      <c r="I151" s="128"/>
      <c r="J151" s="128"/>
      <c r="K151" s="128"/>
      <c r="L151" s="128"/>
      <c r="M151" s="128"/>
      <c r="N151" s="128"/>
      <c r="O151" s="128"/>
      <c r="P151" s="128"/>
      <c r="Q151" s="128"/>
      <c r="R151" s="128"/>
      <c r="S151" s="128"/>
    </row>
    <row r="152" spans="7:19">
      <c r="G152" s="128"/>
      <c r="H152" s="128"/>
      <c r="I152" s="128"/>
      <c r="J152" s="128"/>
      <c r="K152" s="128"/>
      <c r="L152" s="128"/>
      <c r="M152" s="128"/>
      <c r="N152" s="128"/>
      <c r="O152" s="128"/>
      <c r="P152" s="128"/>
      <c r="Q152" s="128"/>
      <c r="R152" s="128"/>
      <c r="S152" s="128"/>
    </row>
    <row r="153" spans="7:19">
      <c r="G153" s="128"/>
      <c r="H153" s="128"/>
      <c r="I153" s="128"/>
      <c r="J153" s="128"/>
      <c r="K153" s="128"/>
      <c r="L153" s="128"/>
      <c r="M153" s="128"/>
      <c r="N153" s="128"/>
      <c r="O153" s="128"/>
      <c r="P153" s="128"/>
      <c r="Q153" s="128"/>
      <c r="R153" s="128"/>
      <c r="S153" s="128"/>
    </row>
    <row r="154" spans="7:19">
      <c r="G154" s="128"/>
      <c r="H154" s="128"/>
      <c r="I154" s="128"/>
      <c r="J154" s="128"/>
      <c r="K154" s="128"/>
      <c r="L154" s="128"/>
      <c r="M154" s="128"/>
      <c r="N154" s="128"/>
      <c r="O154" s="128"/>
      <c r="P154" s="128"/>
      <c r="Q154" s="128"/>
      <c r="R154" s="128"/>
      <c r="S154" s="128"/>
    </row>
    <row r="155" spans="7:19">
      <c r="G155" s="128"/>
      <c r="H155" s="128"/>
      <c r="I155" s="128"/>
      <c r="J155" s="128"/>
      <c r="K155" s="128"/>
      <c r="L155" s="128"/>
      <c r="M155" s="128"/>
      <c r="N155" s="128"/>
      <c r="O155" s="128"/>
      <c r="P155" s="128"/>
      <c r="Q155" s="128"/>
      <c r="R155" s="128"/>
      <c r="S155" s="128"/>
    </row>
    <row r="156" spans="7:19">
      <c r="G156" s="128"/>
      <c r="H156" s="128"/>
      <c r="I156" s="128"/>
      <c r="J156" s="128"/>
      <c r="K156" s="128"/>
      <c r="L156" s="128"/>
      <c r="M156" s="128"/>
      <c r="N156" s="128"/>
      <c r="O156" s="128"/>
      <c r="P156" s="128"/>
      <c r="Q156" s="128"/>
      <c r="R156" s="128"/>
      <c r="S156" s="128"/>
    </row>
    <row r="157" spans="7:19">
      <c r="G157" s="128"/>
      <c r="H157" s="128"/>
      <c r="I157" s="128"/>
      <c r="J157" s="128"/>
      <c r="K157" s="128"/>
      <c r="L157" s="128"/>
      <c r="M157" s="128"/>
      <c r="N157" s="128"/>
      <c r="O157" s="128"/>
      <c r="P157" s="128"/>
      <c r="Q157" s="128"/>
      <c r="R157" s="128"/>
      <c r="S157" s="128"/>
    </row>
    <row r="158" spans="7:19">
      <c r="G158" s="128"/>
      <c r="H158" s="128"/>
      <c r="I158" s="128"/>
      <c r="J158" s="128"/>
      <c r="K158" s="128"/>
      <c r="L158" s="128"/>
      <c r="M158" s="128"/>
      <c r="N158" s="128"/>
      <c r="O158" s="128"/>
      <c r="P158" s="128"/>
      <c r="Q158" s="128"/>
      <c r="R158" s="128"/>
      <c r="S158" s="128"/>
    </row>
    <row r="159" spans="7:19">
      <c r="G159" s="128"/>
      <c r="H159" s="128"/>
      <c r="I159" s="128"/>
      <c r="J159" s="128"/>
      <c r="K159" s="128"/>
      <c r="L159" s="128"/>
      <c r="M159" s="128"/>
      <c r="N159" s="128"/>
      <c r="O159" s="128"/>
      <c r="P159" s="128"/>
      <c r="Q159" s="128"/>
      <c r="R159" s="128"/>
      <c r="S159" s="128"/>
    </row>
    <row r="160" spans="7:19">
      <c r="G160" s="128"/>
      <c r="H160" s="128"/>
      <c r="I160" s="128"/>
      <c r="J160" s="128"/>
      <c r="K160" s="128"/>
      <c r="L160" s="128"/>
      <c r="M160" s="128"/>
      <c r="N160" s="128"/>
      <c r="O160" s="128"/>
      <c r="P160" s="128"/>
      <c r="Q160" s="128"/>
      <c r="R160" s="128"/>
      <c r="S160" s="128"/>
    </row>
    <row r="161" spans="7:19">
      <c r="G161" s="128"/>
      <c r="H161" s="128"/>
      <c r="I161" s="128"/>
      <c r="J161" s="128"/>
      <c r="K161" s="128"/>
      <c r="L161" s="128"/>
      <c r="M161" s="128"/>
      <c r="N161" s="128"/>
      <c r="O161" s="128"/>
      <c r="P161" s="128"/>
      <c r="Q161" s="128"/>
      <c r="R161" s="128"/>
      <c r="S161" s="128"/>
    </row>
    <row r="162" spans="7:19">
      <c r="G162" s="128"/>
      <c r="H162" s="128"/>
      <c r="I162" s="128"/>
      <c r="J162" s="128"/>
      <c r="K162" s="128"/>
      <c r="L162" s="128"/>
      <c r="M162" s="128"/>
      <c r="N162" s="128"/>
      <c r="O162" s="128"/>
      <c r="P162" s="128"/>
      <c r="Q162" s="128"/>
      <c r="R162" s="128"/>
      <c r="S162" s="128"/>
    </row>
    <row r="163" spans="7:19">
      <c r="G163" s="128"/>
      <c r="H163" s="128"/>
      <c r="I163" s="128"/>
      <c r="J163" s="128"/>
      <c r="K163" s="128"/>
      <c r="L163" s="128"/>
      <c r="M163" s="128"/>
      <c r="N163" s="128"/>
      <c r="O163" s="128"/>
      <c r="P163" s="128"/>
      <c r="Q163" s="128"/>
      <c r="R163" s="128"/>
      <c r="S163" s="128"/>
    </row>
    <row r="164" spans="7:19">
      <c r="G164" s="128"/>
      <c r="H164" s="128"/>
      <c r="I164" s="128"/>
      <c r="J164" s="128"/>
      <c r="K164" s="128"/>
      <c r="L164" s="128"/>
      <c r="M164" s="128"/>
      <c r="N164" s="128"/>
      <c r="O164" s="128"/>
      <c r="P164" s="128"/>
      <c r="Q164" s="128"/>
      <c r="R164" s="128"/>
      <c r="S164" s="128"/>
    </row>
    <row r="165" spans="7:19">
      <c r="G165" s="128"/>
      <c r="H165" s="128"/>
      <c r="I165" s="128"/>
      <c r="J165" s="128"/>
      <c r="K165" s="128"/>
      <c r="L165" s="128"/>
      <c r="M165" s="128"/>
      <c r="N165" s="128"/>
      <c r="O165" s="128"/>
      <c r="P165" s="128"/>
      <c r="Q165" s="128"/>
      <c r="R165" s="128"/>
      <c r="S165" s="128"/>
    </row>
    <row r="166" spans="7:19">
      <c r="G166" s="128"/>
      <c r="H166" s="128"/>
      <c r="I166" s="128"/>
      <c r="J166" s="128"/>
      <c r="K166" s="128"/>
      <c r="L166" s="128"/>
      <c r="M166" s="128"/>
      <c r="N166" s="128"/>
      <c r="O166" s="128"/>
      <c r="P166" s="128"/>
      <c r="Q166" s="128"/>
      <c r="R166" s="128"/>
      <c r="S166" s="128"/>
    </row>
  </sheetData>
  <hyperlinks>
    <hyperlink ref="B1" location="Forecasting!L15" display="Forecasting sheet Link" xr:uid="{75DF4356-C231-4DCB-9880-930D1D2400B3}"/>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C03B5-BE1F-44B2-84F0-CABB4C657C96}">
  <sheetPr codeName="Sheet22">
    <tabColor rgb="FF002060"/>
  </sheetPr>
  <dimension ref="D3:L24"/>
  <sheetViews>
    <sheetView showGridLines="0" workbookViewId="0">
      <selection activeCell="M4" sqref="M4"/>
    </sheetView>
  </sheetViews>
  <sheetFormatPr defaultColWidth="11.77734375" defaultRowHeight="15"/>
  <cols>
    <col min="1" max="1" width="2.6640625" style="2" customWidth="1"/>
    <col min="2" max="16384" width="11.77734375" style="2"/>
  </cols>
  <sheetData>
    <row r="3" spans="4:12" ht="75">
      <c r="D3" s="65" t="s">
        <v>357</v>
      </c>
      <c r="E3" s="66"/>
      <c r="F3" s="66"/>
      <c r="G3" s="66"/>
    </row>
    <row r="4" spans="4:12" ht="28.8">
      <c r="D4" s="118" t="s">
        <v>348</v>
      </c>
      <c r="E4" s="117"/>
      <c r="L4"/>
    </row>
    <row r="7" spans="4:12" ht="15.6">
      <c r="D7" s="3" t="s">
        <v>866</v>
      </c>
      <c r="H7" s="66"/>
    </row>
    <row r="8" spans="4:12">
      <c r="D8" s="37">
        <v>1</v>
      </c>
      <c r="E8" s="37" t="s">
        <v>867</v>
      </c>
    </row>
    <row r="9" spans="4:12">
      <c r="D9" s="2">
        <v>2</v>
      </c>
      <c r="E9" s="2" t="s">
        <v>869</v>
      </c>
    </row>
    <row r="10" spans="4:12">
      <c r="D10" s="392">
        <v>3</v>
      </c>
      <c r="E10" s="392" t="s">
        <v>868</v>
      </c>
    </row>
    <row r="12" spans="4:12" ht="15.6">
      <c r="D12" s="3" t="s">
        <v>1018</v>
      </c>
    </row>
    <row r="14" spans="4:12" ht="15.6">
      <c r="D14" s="3">
        <v>1</v>
      </c>
      <c r="E14" s="3" t="s">
        <v>1020</v>
      </c>
    </row>
    <row r="15" spans="4:12">
      <c r="E15" s="2" t="s">
        <v>1037</v>
      </c>
    </row>
    <row r="17" spans="4:5" ht="15.6">
      <c r="D17" s="3">
        <v>2</v>
      </c>
      <c r="E17" s="3" t="s">
        <v>1038</v>
      </c>
    </row>
    <row r="18" spans="4:5">
      <c r="E18" s="2" t="s">
        <v>1049</v>
      </c>
    </row>
    <row r="20" spans="4:5" ht="15.6">
      <c r="D20" s="3">
        <v>3</v>
      </c>
      <c r="E20" s="3" t="s">
        <v>1050</v>
      </c>
    </row>
    <row r="21" spans="4:5">
      <c r="E21" s="2" t="s">
        <v>1051</v>
      </c>
    </row>
    <row r="23" spans="4:5" ht="15.6">
      <c r="D23" s="3">
        <v>4</v>
      </c>
      <c r="E23" s="3" t="s">
        <v>452</v>
      </c>
    </row>
    <row r="24" spans="4:5">
      <c r="E24" s="2" t="s">
        <v>1052</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8CDAA-4A1C-4C10-B6CE-30F7143EC650}">
  <sheetPr codeName="Sheet23"/>
  <dimension ref="A1:R124"/>
  <sheetViews>
    <sheetView showGridLines="0" zoomScaleNormal="100" workbookViewId="0">
      <pane ySplit="3" topLeftCell="A4" activePane="bottomLeft" state="frozen"/>
      <selection activeCell="G125" sqref="G125"/>
      <selection pane="bottomLeft" activeCell="F39" sqref="F39"/>
    </sheetView>
  </sheetViews>
  <sheetFormatPr defaultColWidth="11.77734375" defaultRowHeight="15"/>
  <cols>
    <col min="1" max="1" width="2.6640625" style="119" customWidth="1"/>
    <col min="2" max="5" width="15.5546875" style="119" customWidth="1"/>
    <col min="6" max="6" width="20" style="119" customWidth="1"/>
    <col min="7" max="17" width="15.5546875" style="119" customWidth="1"/>
    <col min="18" max="18" width="117.33203125" style="2" customWidth="1"/>
    <col min="19" max="16384" width="11.77734375" style="2"/>
  </cols>
  <sheetData>
    <row r="1" spans="2:18" s="2" customFormat="1" ht="23.4">
      <c r="B1" s="456" t="s">
        <v>1017</v>
      </c>
      <c r="L1" s="157"/>
    </row>
    <row r="2" spans="2:18" s="2" customFormat="1" ht="15.6">
      <c r="F2" s="3" t="s">
        <v>82</v>
      </c>
      <c r="G2" s="119" t="s">
        <v>350</v>
      </c>
      <c r="H2" s="119" t="s">
        <v>350</v>
      </c>
      <c r="I2" s="119" t="s">
        <v>350</v>
      </c>
      <c r="J2" s="119" t="s">
        <v>350</v>
      </c>
      <c r="K2" s="119" t="s">
        <v>350</v>
      </c>
      <c r="L2" s="155" t="s">
        <v>350</v>
      </c>
      <c r="M2" s="119" t="s">
        <v>351</v>
      </c>
      <c r="N2" s="119" t="s">
        <v>351</v>
      </c>
      <c r="O2" s="119" t="s">
        <v>351</v>
      </c>
      <c r="P2" s="119" t="s">
        <v>351</v>
      </c>
      <c r="Q2" s="119" t="s">
        <v>351</v>
      </c>
    </row>
    <row r="3" spans="2:18" s="2" customFormat="1">
      <c r="C3" s="121" t="s">
        <v>387</v>
      </c>
      <c r="D3" s="120"/>
      <c r="E3" s="120"/>
      <c r="F3" s="120"/>
      <c r="G3" s="127" t="s">
        <v>41</v>
      </c>
      <c r="H3" s="127" t="s">
        <v>42</v>
      </c>
      <c r="I3" s="127" t="s">
        <v>43</v>
      </c>
      <c r="J3" s="127" t="s">
        <v>44</v>
      </c>
      <c r="K3" s="127" t="s">
        <v>45</v>
      </c>
      <c r="L3" s="156" t="s">
        <v>46</v>
      </c>
      <c r="M3" s="127" t="s">
        <v>349</v>
      </c>
      <c r="N3" s="127" t="s">
        <v>352</v>
      </c>
      <c r="O3" s="127" t="s">
        <v>353</v>
      </c>
      <c r="P3" s="127" t="s">
        <v>354</v>
      </c>
      <c r="Q3" s="127" t="s">
        <v>355</v>
      </c>
      <c r="R3" s="130" t="s">
        <v>365</v>
      </c>
    </row>
    <row r="4" spans="2:18" s="119" customFormat="1" ht="15.6">
      <c r="L4" s="181"/>
      <c r="R4" s="185"/>
    </row>
    <row r="5" spans="2:18" s="119" customFormat="1" ht="15.6">
      <c r="B5" s="101" t="s">
        <v>106</v>
      </c>
      <c r="C5" s="185"/>
      <c r="D5" s="185"/>
      <c r="E5" s="185"/>
      <c r="F5" s="428"/>
      <c r="G5" s="428"/>
      <c r="H5" s="428"/>
      <c r="I5" s="428"/>
      <c r="J5" s="428"/>
      <c r="K5" s="428"/>
      <c r="L5" s="429"/>
      <c r="M5" s="428"/>
      <c r="N5" s="428"/>
      <c r="O5" s="428"/>
      <c r="P5" s="428"/>
      <c r="Q5" s="428"/>
      <c r="R5" s="185"/>
    </row>
    <row r="6" spans="2:18" s="119" customFormat="1" ht="15.6">
      <c r="B6" s="101"/>
      <c r="C6" s="101" t="s">
        <v>107</v>
      </c>
      <c r="D6" s="185"/>
      <c r="E6" s="185"/>
      <c r="F6" s="428"/>
      <c r="G6" s="428"/>
      <c r="H6" s="428"/>
      <c r="I6" s="428"/>
      <c r="J6" s="428"/>
      <c r="K6" s="428"/>
      <c r="L6" s="429"/>
      <c r="M6" s="428"/>
      <c r="N6" s="428"/>
      <c r="O6" s="428"/>
      <c r="P6" s="428"/>
      <c r="Q6" s="428"/>
      <c r="R6" s="185"/>
    </row>
    <row r="7" spans="2:18" s="119" customFormat="1">
      <c r="B7" s="185"/>
      <c r="C7" s="185"/>
      <c r="D7" s="185" t="s">
        <v>117</v>
      </c>
      <c r="E7" s="185"/>
      <c r="F7" s="428"/>
      <c r="G7" s="428">
        <f>BS!G7</f>
        <v>1552.1</v>
      </c>
      <c r="H7" s="428">
        <f>BS!H7</f>
        <v>1547.97</v>
      </c>
      <c r="I7" s="428">
        <f>BS!I7</f>
        <v>1820.98</v>
      </c>
      <c r="J7" s="428">
        <f>BS!J7</f>
        <v>1811.7</v>
      </c>
      <c r="K7" s="428">
        <f>BS!K7</f>
        <v>1967.95</v>
      </c>
      <c r="L7" s="429">
        <f>BS!L7</f>
        <v>2237.62</v>
      </c>
      <c r="M7" s="428">
        <f>'Fixed asset Schedule'!M12</f>
        <v>2408.7652533803307</v>
      </c>
      <c r="N7" s="428">
        <f>'Fixed asset Schedule'!N12</f>
        <v>2596.1849018234561</v>
      </c>
      <c r="O7" s="428">
        <f>'Fixed asset Schedule'!O12</f>
        <v>2797.6610238998155</v>
      </c>
      <c r="P7" s="428">
        <f>'Fixed asset Schedule'!P12</f>
        <v>3013.2404745215199</v>
      </c>
      <c r="Q7" s="428">
        <f>'Fixed asset Schedule'!Q12</f>
        <v>3242.8325894336353</v>
      </c>
      <c r="R7" s="185" t="s">
        <v>1024</v>
      </c>
    </row>
    <row r="8" spans="2:18" s="119" customFormat="1">
      <c r="B8" s="185"/>
      <c r="C8" s="185"/>
      <c r="D8" s="185" t="s">
        <v>118</v>
      </c>
      <c r="E8" s="185"/>
      <c r="F8" s="428"/>
      <c r="G8" s="428">
        <f>BS!G8</f>
        <v>41.51</v>
      </c>
      <c r="H8" s="428">
        <f>BS!H8</f>
        <v>63.76</v>
      </c>
      <c r="I8" s="428">
        <f>BS!I8</f>
        <v>146.57</v>
      </c>
      <c r="J8" s="428">
        <f>BS!J8</f>
        <v>147.30000000000001</v>
      </c>
      <c r="K8" s="428">
        <f>BS!K8</f>
        <v>167.5</v>
      </c>
      <c r="L8" s="429">
        <f>BS!L8</f>
        <v>175.13</v>
      </c>
      <c r="M8" s="428">
        <f>L8</f>
        <v>175.13</v>
      </c>
      <c r="N8" s="428">
        <f t="shared" ref="N8:Q9" si="0">M8</f>
        <v>175.13</v>
      </c>
      <c r="O8" s="428">
        <f t="shared" si="0"/>
        <v>175.13</v>
      </c>
      <c r="P8" s="428">
        <f t="shared" si="0"/>
        <v>175.13</v>
      </c>
      <c r="Q8" s="428">
        <f t="shared" si="0"/>
        <v>175.13</v>
      </c>
      <c r="R8" s="185" t="s">
        <v>1028</v>
      </c>
    </row>
    <row r="9" spans="2:18" s="119" customFormat="1">
      <c r="B9" s="185"/>
      <c r="C9" s="185"/>
      <c r="D9" s="185" t="s">
        <v>109</v>
      </c>
      <c r="E9" s="185"/>
      <c r="F9" s="428"/>
      <c r="G9" s="428">
        <f>BS!G10</f>
        <v>411.54</v>
      </c>
      <c r="H9" s="428">
        <f>BS!H10</f>
        <v>336.07</v>
      </c>
      <c r="I9" s="428">
        <f>BS!I10</f>
        <v>335.97</v>
      </c>
      <c r="J9" s="428">
        <f>BS!J10</f>
        <v>336.01</v>
      </c>
      <c r="K9" s="428">
        <f>BS!K10</f>
        <v>251.15</v>
      </c>
      <c r="L9" s="429">
        <f>BS!L10</f>
        <v>405.25</v>
      </c>
      <c r="M9" s="428">
        <f>L9</f>
        <v>405.25</v>
      </c>
      <c r="N9" s="428">
        <f t="shared" si="0"/>
        <v>405.25</v>
      </c>
      <c r="O9" s="428">
        <f t="shared" si="0"/>
        <v>405.25</v>
      </c>
      <c r="P9" s="428">
        <f t="shared" si="0"/>
        <v>405.25</v>
      </c>
      <c r="Q9" s="428">
        <f t="shared" si="0"/>
        <v>405.25</v>
      </c>
      <c r="R9" s="185" t="s">
        <v>1029</v>
      </c>
    </row>
    <row r="10" spans="2:18" s="119" customFormat="1">
      <c r="B10" s="185"/>
      <c r="C10" s="185"/>
      <c r="D10" s="185" t="s">
        <v>110</v>
      </c>
      <c r="E10" s="185"/>
      <c r="F10" s="428"/>
      <c r="G10" s="428">
        <f>BS!G11</f>
        <v>10.31</v>
      </c>
      <c r="H10" s="428">
        <f>BS!H11</f>
        <v>32.92</v>
      </c>
      <c r="I10" s="428">
        <f>BS!I11</f>
        <v>44.18</v>
      </c>
      <c r="J10" s="428">
        <f>BS!J11</f>
        <v>44.71</v>
      </c>
      <c r="K10" s="428">
        <f>BS!K11</f>
        <v>39.729999999999997</v>
      </c>
      <c r="L10" s="429">
        <f>BS!L11</f>
        <v>888.73</v>
      </c>
      <c r="M10" s="428">
        <f>'Fixed asset Schedule'!M67</f>
        <v>877.60504952992585</v>
      </c>
      <c r="N10" s="428">
        <f>'Fixed asset Schedule'!N67</f>
        <v>865.42221497935293</v>
      </c>
      <c r="O10" s="428">
        <f>'Fixed asset Schedule'!O67</f>
        <v>852.325667837487</v>
      </c>
      <c r="P10" s="428">
        <f>'Fixed asset Schedule'!P67</f>
        <v>838.31236239569046</v>
      </c>
      <c r="Q10" s="428">
        <f>'Fixed asset Schedule'!Q67</f>
        <v>823.38819210017709</v>
      </c>
      <c r="R10" s="185" t="s">
        <v>1022</v>
      </c>
    </row>
    <row r="11" spans="2:18" s="119" customFormat="1">
      <c r="B11" s="185"/>
      <c r="C11" s="185"/>
      <c r="D11" s="185" t="s">
        <v>211</v>
      </c>
      <c r="E11" s="185"/>
      <c r="F11" s="428"/>
      <c r="G11" s="428">
        <f>BS!G12</f>
        <v>11.33</v>
      </c>
      <c r="H11" s="428">
        <f>BS!H12</f>
        <v>12.29</v>
      </c>
      <c r="I11" s="428">
        <f>BS!I12</f>
        <v>12.28</v>
      </c>
      <c r="J11" s="428">
        <f>BS!J12</f>
        <v>11.27</v>
      </c>
      <c r="K11" s="428">
        <f>BS!K12</f>
        <v>9.4700000000000006</v>
      </c>
      <c r="L11" s="429">
        <f>BS!L12</f>
        <v>7.84</v>
      </c>
      <c r="M11" s="428">
        <f>L11</f>
        <v>7.84</v>
      </c>
      <c r="N11" s="428">
        <f t="shared" ref="N11:Q11" si="1">M11</f>
        <v>7.84</v>
      </c>
      <c r="O11" s="428">
        <f t="shared" si="1"/>
        <v>7.84</v>
      </c>
      <c r="P11" s="428">
        <f t="shared" si="1"/>
        <v>7.84</v>
      </c>
      <c r="Q11" s="428">
        <f t="shared" si="1"/>
        <v>7.84</v>
      </c>
      <c r="R11" s="186" t="s">
        <v>1023</v>
      </c>
    </row>
    <row r="12" spans="2:18" s="119" customFormat="1">
      <c r="B12" s="185"/>
      <c r="C12" s="185"/>
      <c r="D12" s="185" t="s">
        <v>111</v>
      </c>
      <c r="E12" s="185"/>
      <c r="F12" s="428"/>
      <c r="G12" s="428"/>
      <c r="H12" s="428"/>
      <c r="I12" s="428"/>
      <c r="J12" s="428"/>
      <c r="K12" s="428"/>
      <c r="L12" s="429"/>
      <c r="M12" s="428"/>
      <c r="N12" s="428"/>
      <c r="O12" s="428"/>
      <c r="P12" s="428"/>
      <c r="Q12" s="428"/>
      <c r="R12" s="185"/>
    </row>
    <row r="13" spans="2:18" s="119" customFormat="1">
      <c r="B13" s="185"/>
      <c r="C13" s="185"/>
      <c r="D13" s="185"/>
      <c r="E13" s="185" t="s">
        <v>389</v>
      </c>
      <c r="F13" s="428"/>
      <c r="G13" s="428">
        <f>BS!G14</f>
        <v>3080.45</v>
      </c>
      <c r="H13" s="428">
        <f>BS!H14</f>
        <v>2621.06</v>
      </c>
      <c r="I13" s="428">
        <f>BS!I14</f>
        <v>1396.95</v>
      </c>
      <c r="J13" s="428">
        <f>BS!J14</f>
        <v>3402.35</v>
      </c>
      <c r="K13" s="428">
        <f>BS!K14</f>
        <v>5355.59</v>
      </c>
      <c r="L13" s="429">
        <f>BS!L14</f>
        <v>5520.95</v>
      </c>
      <c r="M13" s="428">
        <f>M72-M32-SUM(M7:M11)-SUM(M14:M16)</f>
        <v>5488.3410211307773</v>
      </c>
      <c r="N13" s="428">
        <f t="shared" ref="N13:Q13" si="2">N72-N32-SUM(N7:N11)-SUM(N14:N16)</f>
        <v>5479.413743477724</v>
      </c>
      <c r="O13" s="428">
        <f t="shared" si="2"/>
        <v>5336.808681428568</v>
      </c>
      <c r="P13" s="428">
        <f t="shared" si="2"/>
        <v>5245.538709837876</v>
      </c>
      <c r="Q13" s="428">
        <f t="shared" si="2"/>
        <v>5186.3377467135169</v>
      </c>
      <c r="R13" s="185"/>
    </row>
    <row r="14" spans="2:18" s="119" customFormat="1">
      <c r="B14" s="185"/>
      <c r="C14" s="185"/>
      <c r="D14" s="185"/>
      <c r="E14" s="185" t="s">
        <v>390</v>
      </c>
      <c r="F14" s="428"/>
      <c r="G14" s="428">
        <f>BS!G15+BS!G16</f>
        <v>23.07</v>
      </c>
      <c r="H14" s="428">
        <f>BS!H15+BS!H16</f>
        <v>95.22</v>
      </c>
      <c r="I14" s="428">
        <f>BS!I15+BS!I16</f>
        <v>553.12</v>
      </c>
      <c r="J14" s="428">
        <f>BS!J15+BS!J16</f>
        <v>111.13000000000001</v>
      </c>
      <c r="K14" s="428">
        <f>BS!K15+BS!K16</f>
        <v>23.32</v>
      </c>
      <c r="L14" s="429">
        <f>BS!L15+BS!L16</f>
        <v>30.39</v>
      </c>
      <c r="M14" s="428">
        <f>L14</f>
        <v>30.39</v>
      </c>
      <c r="N14" s="428">
        <f t="shared" ref="N14:Q14" si="3">M14</f>
        <v>30.39</v>
      </c>
      <c r="O14" s="428">
        <f t="shared" si="3"/>
        <v>30.39</v>
      </c>
      <c r="P14" s="428">
        <f t="shared" si="3"/>
        <v>30.39</v>
      </c>
      <c r="Q14" s="428">
        <f t="shared" si="3"/>
        <v>30.39</v>
      </c>
      <c r="R14" s="185" t="s">
        <v>1030</v>
      </c>
    </row>
    <row r="15" spans="2:18" s="119" customFormat="1">
      <c r="B15" s="185"/>
      <c r="C15" s="185"/>
      <c r="D15" s="185" t="s">
        <v>391</v>
      </c>
      <c r="E15" s="185"/>
      <c r="F15" s="428"/>
      <c r="G15" s="428">
        <f>BS!G17+BS!G18</f>
        <v>3.33</v>
      </c>
      <c r="H15" s="428">
        <f>BS!H17+BS!H18</f>
        <v>0.89</v>
      </c>
      <c r="I15" s="428">
        <f>BS!I17+BS!I18</f>
        <v>23.09</v>
      </c>
      <c r="J15" s="428">
        <f>BS!J17+BS!J18</f>
        <v>22.24</v>
      </c>
      <c r="K15" s="428">
        <f>BS!K17+BS!K18</f>
        <v>5.17</v>
      </c>
      <c r="L15" s="429">
        <f>BS!L17+BS!L18</f>
        <v>6.58</v>
      </c>
      <c r="M15" s="428">
        <f>L15</f>
        <v>6.58</v>
      </c>
      <c r="N15" s="428">
        <f t="shared" ref="N15:Q15" si="4">M15</f>
        <v>6.58</v>
      </c>
      <c r="O15" s="428">
        <f t="shared" si="4"/>
        <v>6.58</v>
      </c>
      <c r="P15" s="428">
        <f t="shared" si="4"/>
        <v>6.58</v>
      </c>
      <c r="Q15" s="428">
        <f t="shared" si="4"/>
        <v>6.58</v>
      </c>
      <c r="R15" s="185" t="s">
        <v>1031</v>
      </c>
    </row>
    <row r="16" spans="2:18" s="119" customFormat="1">
      <c r="B16" s="185"/>
      <c r="C16" s="185"/>
      <c r="D16" s="185" t="s">
        <v>394</v>
      </c>
      <c r="E16" s="185"/>
      <c r="F16" s="428"/>
      <c r="G16" s="428">
        <f>BS!G9+BS!G19</f>
        <v>128.24</v>
      </c>
      <c r="H16" s="428">
        <f>BS!H9+BS!H19</f>
        <v>140.22999999999999</v>
      </c>
      <c r="I16" s="428">
        <f>BS!I9+BS!I19</f>
        <v>140.61000000000001</v>
      </c>
      <c r="J16" s="428">
        <f>BS!J9+BS!J19</f>
        <v>184.48</v>
      </c>
      <c r="K16" s="428">
        <f>BS!K9+BS!K19</f>
        <v>147.81</v>
      </c>
      <c r="L16" s="429">
        <f>BS!L9+BS!L19</f>
        <v>132.92000000000002</v>
      </c>
      <c r="M16" s="428">
        <f>M92+M93</f>
        <v>131.9079921934152</v>
      </c>
      <c r="N16" s="428">
        <f t="shared" ref="N16:Q16" si="5">N92+N93</f>
        <v>130.91775186399485</v>
      </c>
      <c r="O16" s="428">
        <f t="shared" si="5"/>
        <v>129.94881081074388</v>
      </c>
      <c r="P16" s="428">
        <f t="shared" si="5"/>
        <v>129.00071090329547</v>
      </c>
      <c r="Q16" s="428">
        <f t="shared" si="5"/>
        <v>128.07300386529997</v>
      </c>
      <c r="R16" s="185" t="s">
        <v>1032</v>
      </c>
    </row>
    <row r="17" spans="2:18" s="119" customFormat="1">
      <c r="B17" s="185"/>
      <c r="C17" s="185"/>
      <c r="D17" s="185"/>
      <c r="E17" s="185"/>
      <c r="F17" s="428"/>
      <c r="G17" s="428"/>
      <c r="H17" s="428"/>
      <c r="I17" s="428"/>
      <c r="J17" s="428"/>
      <c r="K17" s="428"/>
      <c r="L17" s="429"/>
      <c r="M17" s="428"/>
      <c r="N17" s="428"/>
      <c r="O17" s="428"/>
      <c r="P17" s="428"/>
      <c r="Q17" s="428"/>
      <c r="R17" s="185"/>
    </row>
    <row r="18" spans="2:18" s="119" customFormat="1" ht="15.6">
      <c r="B18" s="185"/>
      <c r="C18" s="191" t="s">
        <v>154</v>
      </c>
      <c r="D18" s="192"/>
      <c r="E18" s="192"/>
      <c r="F18" s="430"/>
      <c r="G18" s="430">
        <f>SUM(G7:G16)</f>
        <v>5261.8799999999992</v>
      </c>
      <c r="H18" s="430">
        <f t="shared" ref="H18:Q18" si="6">SUM(H7:H16)</f>
        <v>4850.41</v>
      </c>
      <c r="I18" s="430">
        <f t="shared" si="6"/>
        <v>4473.75</v>
      </c>
      <c r="J18" s="430">
        <f t="shared" si="6"/>
        <v>6071.19</v>
      </c>
      <c r="K18" s="430">
        <f t="shared" si="6"/>
        <v>7967.69</v>
      </c>
      <c r="L18" s="431">
        <f t="shared" si="6"/>
        <v>9405.41</v>
      </c>
      <c r="M18" s="439">
        <f t="shared" si="6"/>
        <v>9531.8093162344485</v>
      </c>
      <c r="N18" s="430">
        <f t="shared" si="6"/>
        <v>9697.1286121445282</v>
      </c>
      <c r="O18" s="430">
        <f t="shared" si="6"/>
        <v>9741.9341839766148</v>
      </c>
      <c r="P18" s="430">
        <f t="shared" si="6"/>
        <v>9851.2822576583822</v>
      </c>
      <c r="Q18" s="430">
        <f t="shared" si="6"/>
        <v>10005.82153211263</v>
      </c>
      <c r="R18" s="185"/>
    </row>
    <row r="19" spans="2:18" s="119" customFormat="1">
      <c r="B19" s="185"/>
      <c r="C19" s="185"/>
      <c r="D19" s="185"/>
      <c r="E19" s="185"/>
      <c r="F19" s="428"/>
      <c r="G19" s="428"/>
      <c r="H19" s="428"/>
      <c r="I19" s="428"/>
      <c r="J19" s="428"/>
      <c r="K19" s="428"/>
      <c r="L19" s="432"/>
      <c r="M19" s="428"/>
      <c r="N19" s="428"/>
      <c r="O19" s="428"/>
      <c r="P19" s="428"/>
      <c r="Q19" s="428"/>
      <c r="R19" s="185"/>
    </row>
    <row r="20" spans="2:18" s="119" customFormat="1" ht="15.6">
      <c r="B20" s="185"/>
      <c r="C20" s="185"/>
      <c r="D20" s="185"/>
      <c r="E20" s="185"/>
      <c r="F20" s="433" t="s">
        <v>392</v>
      </c>
      <c r="G20" s="434" t="str">
        <f>IF(G18=BS!G21,"OK","ERROR")</f>
        <v>OK</v>
      </c>
      <c r="H20" s="434" t="str">
        <f>IF(H18=BS!H21,"OK","ERROR")</f>
        <v>OK</v>
      </c>
      <c r="I20" s="434" t="str">
        <f>IF(I18=BS!I21,"OK","ERROR")</f>
        <v>OK</v>
      </c>
      <c r="J20" s="434" t="str">
        <f>IF(J18=BS!J21,"OK","ERROR")</f>
        <v>OK</v>
      </c>
      <c r="K20" s="434" t="str">
        <f>IF(K18=BS!K21,"OK","ERROR")</f>
        <v>OK</v>
      </c>
      <c r="L20" s="435" t="str">
        <f>IF(L18=BS!L21,"OK","ERROR")</f>
        <v>OK</v>
      </c>
      <c r="M20" s="436"/>
      <c r="N20" s="436"/>
      <c r="O20" s="436"/>
      <c r="P20" s="436"/>
      <c r="Q20" s="436"/>
      <c r="R20" s="185"/>
    </row>
    <row r="21" spans="2:18" s="119" customFormat="1">
      <c r="B21" s="185"/>
      <c r="C21" s="185"/>
      <c r="D21" s="185"/>
      <c r="E21" s="185"/>
      <c r="F21" s="428"/>
      <c r="G21" s="428"/>
      <c r="H21" s="428"/>
      <c r="I21" s="428"/>
      <c r="J21" s="428"/>
      <c r="K21" s="428"/>
      <c r="L21" s="429"/>
      <c r="M21" s="428"/>
      <c r="N21" s="428"/>
      <c r="O21" s="428"/>
      <c r="P21" s="428"/>
      <c r="Q21" s="428"/>
      <c r="R21" s="185"/>
    </row>
    <row r="22" spans="2:18" s="119" customFormat="1">
      <c r="B22" s="185"/>
      <c r="C22" s="185"/>
      <c r="D22" s="185"/>
      <c r="E22" s="185"/>
      <c r="F22" s="428"/>
      <c r="G22" s="428"/>
      <c r="H22" s="428"/>
      <c r="I22" s="428"/>
      <c r="J22" s="428"/>
      <c r="K22" s="428"/>
      <c r="L22" s="429"/>
      <c r="M22" s="437"/>
      <c r="N22" s="437"/>
      <c r="O22" s="437"/>
      <c r="P22" s="437"/>
      <c r="Q22" s="437"/>
      <c r="R22" s="185"/>
    </row>
    <row r="23" spans="2:18" s="119" customFormat="1" ht="15.6">
      <c r="B23" s="185"/>
      <c r="C23" s="101" t="s">
        <v>393</v>
      </c>
      <c r="D23" s="185"/>
      <c r="E23" s="185"/>
      <c r="F23" s="428"/>
      <c r="G23" s="428"/>
      <c r="H23" s="428"/>
      <c r="I23" s="428"/>
      <c r="J23" s="428"/>
      <c r="K23" s="428"/>
      <c r="L23" s="429"/>
      <c r="M23" s="428"/>
      <c r="N23" s="428"/>
      <c r="O23" s="428"/>
      <c r="P23" s="428"/>
      <c r="Q23" s="428"/>
      <c r="R23" s="185"/>
    </row>
    <row r="24" spans="2:18" s="119" customFormat="1">
      <c r="B24" s="185"/>
      <c r="C24" s="185"/>
      <c r="D24" s="185" t="s">
        <v>120</v>
      </c>
      <c r="E24" s="185"/>
      <c r="F24" s="428"/>
      <c r="G24" s="428">
        <f>BS!G25</f>
        <v>1256.18</v>
      </c>
      <c r="H24" s="428">
        <f>BS!H25</f>
        <v>1300.53</v>
      </c>
      <c r="I24" s="428">
        <f>BS!I25</f>
        <v>1379.57</v>
      </c>
      <c r="J24" s="428">
        <f>BS!J25</f>
        <v>1734.28</v>
      </c>
      <c r="K24" s="428">
        <f>BS!K25</f>
        <v>1911.37</v>
      </c>
      <c r="L24" s="429">
        <f>BS!L25</f>
        <v>2024.2</v>
      </c>
      <c r="M24" s="428">
        <f>Inventory!M7</f>
        <v>2155.5163549344934</v>
      </c>
      <c r="N24" s="428">
        <f>Inventory!N7</f>
        <v>2360.891201065986</v>
      </c>
      <c r="O24" s="428">
        <f>Inventory!O7</f>
        <v>2466.2526599237835</v>
      </c>
      <c r="P24" s="428">
        <f>Inventory!P7</f>
        <v>2688.8066513251042</v>
      </c>
      <c r="Q24" s="428">
        <f>Inventory!Q7</f>
        <v>2780.0642745333053</v>
      </c>
      <c r="R24" s="185" t="s">
        <v>1025</v>
      </c>
    </row>
    <row r="25" spans="2:18" s="119" customFormat="1">
      <c r="B25" s="185"/>
      <c r="C25" s="185"/>
      <c r="D25" s="185" t="s">
        <v>111</v>
      </c>
      <c r="E25" s="185"/>
      <c r="F25" s="428"/>
      <c r="G25" s="428"/>
      <c r="H25" s="428"/>
      <c r="I25" s="428"/>
      <c r="J25" s="428"/>
      <c r="K25" s="428"/>
      <c r="L25" s="429"/>
      <c r="M25" s="428"/>
      <c r="N25" s="428"/>
      <c r="O25" s="428"/>
      <c r="P25" s="428"/>
      <c r="Q25" s="428"/>
      <c r="R25" s="185"/>
    </row>
    <row r="26" spans="2:18" s="119" customFormat="1">
      <c r="B26" s="185"/>
      <c r="C26" s="185"/>
      <c r="D26" s="185"/>
      <c r="E26" s="185" t="s">
        <v>395</v>
      </c>
      <c r="F26" s="428"/>
      <c r="G26" s="428">
        <f>BS!G27+BS!G29+BS!G30</f>
        <v>1019.45</v>
      </c>
      <c r="H26" s="428">
        <f>BS!H27+BS!H29+BS!H30</f>
        <v>1053.57</v>
      </c>
      <c r="I26" s="428">
        <f>BS!I27+BS!I29+BS!I30</f>
        <v>2202.4</v>
      </c>
      <c r="J26" s="428">
        <f>BS!J27+BS!J29+BS!J30</f>
        <v>2075.04</v>
      </c>
      <c r="K26" s="428">
        <f>BS!K27+BS!K29+BS!K30</f>
        <v>1424.7</v>
      </c>
      <c r="L26" s="429">
        <f>BS!L27+BS!L29+BS!L30</f>
        <v>1062.3899999999999</v>
      </c>
      <c r="M26" s="428">
        <f>'CASH FLOW(OUTPUT)'!M54+'BS(OUTPUT)'!L26</f>
        <v>1784.6110318258011</v>
      </c>
      <c r="N26" s="428">
        <f>'CASH FLOW(OUTPUT)'!N54+'BS(OUTPUT)'!M26</f>
        <v>2612.9144934527621</v>
      </c>
      <c r="O26" s="428">
        <f>'CASH FLOW(OUTPUT)'!O54+'BS(OUTPUT)'!N26</f>
        <v>3647.3876848186974</v>
      </c>
      <c r="P26" s="428">
        <f>'CASH FLOW(OUTPUT)'!P54+'BS(OUTPUT)'!O26</f>
        <v>4697.3914161565554</v>
      </c>
      <c r="Q26" s="428">
        <f>'CASH FLOW(OUTPUT)'!Q54+'BS(OUTPUT)'!P26</f>
        <v>5812.7657375740055</v>
      </c>
      <c r="R26" s="185" t="s">
        <v>1065</v>
      </c>
    </row>
    <row r="27" spans="2:18" s="119" customFormat="1">
      <c r="B27" s="185"/>
      <c r="C27" s="185"/>
      <c r="D27" s="185"/>
      <c r="E27" s="185" t="s">
        <v>396</v>
      </c>
      <c r="F27" s="428"/>
      <c r="G27" s="428">
        <f>BS!G28</f>
        <v>706.08</v>
      </c>
      <c r="H27" s="428">
        <f>BS!H28</f>
        <v>833.56</v>
      </c>
      <c r="I27" s="428">
        <f>BS!I28</f>
        <v>813.89</v>
      </c>
      <c r="J27" s="428">
        <f>BS!J28</f>
        <v>561.58000000000004</v>
      </c>
      <c r="K27" s="428">
        <f>BS!K28</f>
        <v>646.15</v>
      </c>
      <c r="L27" s="429">
        <f>BS!L28</f>
        <v>848.75</v>
      </c>
      <c r="M27" s="428">
        <f>'TR&amp;TP'!M9</f>
        <v>984.18329700525373</v>
      </c>
      <c r="N27" s="428">
        <f>'TR&amp;TP'!N9</f>
        <v>1023.0456933367236</v>
      </c>
      <c r="O27" s="428">
        <f>'TR&amp;TP'!O9</f>
        <v>1134.7254712809022</v>
      </c>
      <c r="P27" s="428">
        <f>'TR&amp;TP'!P9</f>
        <v>1174.0896748599575</v>
      </c>
      <c r="Q27" s="428">
        <f>'TR&amp;TP'!Q9</f>
        <v>1284.7984557800582</v>
      </c>
      <c r="R27" s="185" t="s">
        <v>1026</v>
      </c>
    </row>
    <row r="28" spans="2:18" s="119" customFormat="1">
      <c r="B28" s="185"/>
      <c r="C28" s="185"/>
      <c r="D28" s="185"/>
      <c r="E28" s="185" t="s">
        <v>397</v>
      </c>
      <c r="F28" s="428"/>
      <c r="G28" s="428">
        <f>BS!G31+BS!G32</f>
        <v>63.150000000000006</v>
      </c>
      <c r="H28" s="428">
        <f>BS!H31+BS!H32</f>
        <v>37.51</v>
      </c>
      <c r="I28" s="428">
        <f>BS!I31+BS!I32</f>
        <v>15.690000000000001</v>
      </c>
      <c r="J28" s="428">
        <f>BS!J31+BS!J32</f>
        <v>17.41</v>
      </c>
      <c r="K28" s="428">
        <f>BS!K31+BS!K32</f>
        <v>36.21</v>
      </c>
      <c r="L28" s="429">
        <f>BS!L31+BS!L32</f>
        <v>28.97</v>
      </c>
      <c r="M28" s="428">
        <f>L28</f>
        <v>28.97</v>
      </c>
      <c r="N28" s="428">
        <f t="shared" ref="N28:Q28" si="7">M28</f>
        <v>28.97</v>
      </c>
      <c r="O28" s="428">
        <f t="shared" si="7"/>
        <v>28.97</v>
      </c>
      <c r="P28" s="428">
        <f t="shared" si="7"/>
        <v>28.97</v>
      </c>
      <c r="Q28" s="428">
        <f t="shared" si="7"/>
        <v>28.97</v>
      </c>
      <c r="R28" s="185" t="s">
        <v>1033</v>
      </c>
    </row>
    <row r="29" spans="2:18" s="119" customFormat="1">
      <c r="B29" s="185"/>
      <c r="C29" s="185"/>
      <c r="D29" s="185" t="s">
        <v>398</v>
      </c>
      <c r="E29" s="185"/>
      <c r="F29" s="428"/>
      <c r="G29" s="428">
        <f>BS!G33</f>
        <v>1.96</v>
      </c>
      <c r="H29" s="428">
        <f>BS!H33</f>
        <v>1.32</v>
      </c>
      <c r="I29" s="428">
        <f>BS!I33</f>
        <v>0.88</v>
      </c>
      <c r="J29" s="428">
        <f>BS!J33</f>
        <v>0.24</v>
      </c>
      <c r="K29" s="428">
        <f>BS!K33</f>
        <v>0.64</v>
      </c>
      <c r="L29" s="429">
        <f>BS!L33</f>
        <v>6.43</v>
      </c>
      <c r="M29" s="428">
        <f>L29</f>
        <v>6.43</v>
      </c>
      <c r="N29" s="428">
        <f t="shared" ref="N29:Q30" si="8">M29</f>
        <v>6.43</v>
      </c>
      <c r="O29" s="428">
        <f t="shared" si="8"/>
        <v>6.43</v>
      </c>
      <c r="P29" s="428">
        <f t="shared" si="8"/>
        <v>6.43</v>
      </c>
      <c r="Q29" s="428">
        <f t="shared" si="8"/>
        <v>6.43</v>
      </c>
      <c r="R29" s="185" t="s">
        <v>1023</v>
      </c>
    </row>
    <row r="30" spans="2:18" s="119" customFormat="1">
      <c r="B30" s="185"/>
      <c r="C30" s="185"/>
      <c r="D30" s="185" t="s">
        <v>399</v>
      </c>
      <c r="E30" s="185"/>
      <c r="F30" s="428"/>
      <c r="G30" s="428">
        <f>BS!G34+BS!G35</f>
        <v>392.93</v>
      </c>
      <c r="H30" s="428">
        <f>BS!H34+BS!H35</f>
        <v>359.74</v>
      </c>
      <c r="I30" s="428">
        <f>BS!I34+BS!I35</f>
        <v>467.83</v>
      </c>
      <c r="J30" s="428">
        <f>BS!J34+BS!J35</f>
        <v>387.39</v>
      </c>
      <c r="K30" s="428">
        <f>BS!K34+BS!K35</f>
        <v>297.77000000000004</v>
      </c>
      <c r="L30" s="429">
        <f>BS!L34+BS!L35</f>
        <v>278.22000000000003</v>
      </c>
      <c r="M30" s="428">
        <f>L30</f>
        <v>278.22000000000003</v>
      </c>
      <c r="N30" s="428">
        <f t="shared" si="8"/>
        <v>278.22000000000003</v>
      </c>
      <c r="O30" s="428">
        <f t="shared" si="8"/>
        <v>278.22000000000003</v>
      </c>
      <c r="P30" s="428">
        <f t="shared" si="8"/>
        <v>278.22000000000003</v>
      </c>
      <c r="Q30" s="428">
        <f>P30</f>
        <v>278.22000000000003</v>
      </c>
      <c r="R30" s="185" t="s">
        <v>1034</v>
      </c>
    </row>
    <row r="31" spans="2:18" s="119" customFormat="1">
      <c r="B31" s="185"/>
      <c r="C31" s="185"/>
      <c r="D31" s="185"/>
      <c r="E31" s="185"/>
      <c r="F31" s="428"/>
      <c r="G31" s="428"/>
      <c r="H31" s="428"/>
      <c r="I31" s="428"/>
      <c r="J31" s="428"/>
      <c r="K31" s="428"/>
      <c r="L31" s="429"/>
      <c r="M31" s="428"/>
      <c r="N31" s="428"/>
      <c r="O31" s="428"/>
      <c r="P31" s="428"/>
      <c r="Q31" s="428"/>
      <c r="R31" s="185"/>
    </row>
    <row r="32" spans="2:18" s="119" customFormat="1" ht="15.6">
      <c r="B32" s="185"/>
      <c r="C32" s="191" t="s">
        <v>153</v>
      </c>
      <c r="D32" s="192"/>
      <c r="E32" s="192"/>
      <c r="F32" s="430"/>
      <c r="G32" s="430">
        <f>SUM(G24:G30)</f>
        <v>3439.75</v>
      </c>
      <c r="H32" s="430">
        <f t="shared" ref="H32:Q32" si="9">SUM(H24:H30)</f>
        <v>3586.2300000000005</v>
      </c>
      <c r="I32" s="430">
        <f t="shared" si="9"/>
        <v>4880.26</v>
      </c>
      <c r="J32" s="430">
        <f t="shared" si="9"/>
        <v>4775.9399999999996</v>
      </c>
      <c r="K32" s="430">
        <f t="shared" si="9"/>
        <v>4316.84</v>
      </c>
      <c r="L32" s="431">
        <f t="shared" si="9"/>
        <v>4248.96</v>
      </c>
      <c r="M32" s="430">
        <f t="shared" si="9"/>
        <v>5237.9306837655495</v>
      </c>
      <c r="N32" s="430">
        <f t="shared" si="9"/>
        <v>6310.4713878554721</v>
      </c>
      <c r="O32" s="430">
        <f t="shared" si="9"/>
        <v>7561.9858160233834</v>
      </c>
      <c r="P32" s="430">
        <f t="shared" si="9"/>
        <v>8873.9077423416165</v>
      </c>
      <c r="Q32" s="430">
        <f t="shared" si="9"/>
        <v>10191.24846788737</v>
      </c>
      <c r="R32" s="185"/>
    </row>
    <row r="33" spans="2:18" s="119" customFormat="1">
      <c r="B33" s="185"/>
      <c r="C33" s="185"/>
      <c r="D33" s="185"/>
      <c r="E33" s="185"/>
      <c r="F33" s="428"/>
      <c r="G33" s="428"/>
      <c r="H33" s="428"/>
      <c r="I33" s="428"/>
      <c r="J33" s="428"/>
      <c r="K33" s="428"/>
      <c r="L33" s="429"/>
      <c r="M33" s="428"/>
      <c r="N33" s="428"/>
      <c r="O33" s="428"/>
      <c r="P33" s="428"/>
      <c r="Q33" s="428"/>
      <c r="R33" s="185"/>
    </row>
    <row r="34" spans="2:18" s="119" customFormat="1" ht="15.6">
      <c r="B34" s="185"/>
      <c r="C34" s="185"/>
      <c r="D34" s="185"/>
      <c r="E34" s="185"/>
      <c r="F34" s="433" t="s">
        <v>392</v>
      </c>
      <c r="G34" s="434" t="str">
        <f>IF(G32=BS!G37,"OK","ERROR")</f>
        <v>OK</v>
      </c>
      <c r="H34" s="434" t="str">
        <f>IF(H32=BS!H37,"OK","ERROR")</f>
        <v>OK</v>
      </c>
      <c r="I34" s="434" t="str">
        <f>IF(I32=BS!I37,"OK","ERROR")</f>
        <v>OK</v>
      </c>
      <c r="J34" s="434" t="str">
        <f>IF(J32=BS!J37,"OK","ERROR")</f>
        <v>OK</v>
      </c>
      <c r="K34" s="434" t="str">
        <f>IF(K32=BS!K37,"OK","ERROR")</f>
        <v>OK</v>
      </c>
      <c r="L34" s="435" t="str">
        <f>IF(L32=BS!L37,"OK","ERROR")</f>
        <v>OK</v>
      </c>
      <c r="M34" s="436"/>
      <c r="N34" s="436"/>
      <c r="O34" s="436"/>
      <c r="P34" s="436"/>
      <c r="Q34" s="436"/>
      <c r="R34" s="185"/>
    </row>
    <row r="35" spans="2:18" s="119" customFormat="1">
      <c r="B35" s="185"/>
      <c r="C35" s="185"/>
      <c r="D35" s="185"/>
      <c r="E35" s="185"/>
      <c r="F35" s="428"/>
      <c r="G35" s="428"/>
      <c r="H35" s="428"/>
      <c r="I35" s="428"/>
      <c r="J35" s="428"/>
      <c r="K35" s="428"/>
      <c r="L35" s="429"/>
      <c r="M35" s="428"/>
      <c r="N35" s="428"/>
      <c r="O35" s="428"/>
      <c r="P35" s="428"/>
      <c r="Q35" s="428"/>
      <c r="R35" s="185"/>
    </row>
    <row r="36" spans="2:18" s="119" customFormat="1" ht="15.6">
      <c r="B36" s="185"/>
      <c r="C36" s="191" t="s">
        <v>400</v>
      </c>
      <c r="D36" s="192"/>
      <c r="E36" s="192"/>
      <c r="F36" s="430"/>
      <c r="G36" s="430">
        <f>G32+G18</f>
        <v>8701.6299999999992</v>
      </c>
      <c r="H36" s="430">
        <f t="shared" ref="H36:L36" si="10">H32+H18</f>
        <v>8436.64</v>
      </c>
      <c r="I36" s="430">
        <f t="shared" si="10"/>
        <v>9354.01</v>
      </c>
      <c r="J36" s="430">
        <f t="shared" si="10"/>
        <v>10847.13</v>
      </c>
      <c r="K36" s="430">
        <f t="shared" si="10"/>
        <v>12284.529999999999</v>
      </c>
      <c r="L36" s="431">
        <f t="shared" si="10"/>
        <v>13654.369999999999</v>
      </c>
      <c r="M36" s="430">
        <f>ROUND(M32+M18,2)</f>
        <v>14769.74</v>
      </c>
      <c r="N36" s="430">
        <f t="shared" ref="N36:Q36" si="11">ROUND(N32+N18,2)</f>
        <v>16007.6</v>
      </c>
      <c r="O36" s="430">
        <f t="shared" si="11"/>
        <v>17303.919999999998</v>
      </c>
      <c r="P36" s="430">
        <f t="shared" si="11"/>
        <v>18725.189999999999</v>
      </c>
      <c r="Q36" s="430">
        <f t="shared" si="11"/>
        <v>20197.07</v>
      </c>
      <c r="R36" s="185"/>
    </row>
    <row r="37" spans="2:18" s="119" customFormat="1">
      <c r="B37" s="185"/>
      <c r="C37" s="185"/>
      <c r="D37" s="185"/>
      <c r="E37" s="185"/>
      <c r="F37" s="428"/>
      <c r="G37" s="428"/>
      <c r="H37" s="428"/>
      <c r="I37" s="428"/>
      <c r="J37" s="428"/>
      <c r="K37" s="428"/>
      <c r="L37" s="429"/>
      <c r="M37" s="428"/>
      <c r="N37" s="428"/>
      <c r="O37" s="428"/>
      <c r="P37" s="428"/>
      <c r="Q37" s="428"/>
      <c r="R37" s="185"/>
    </row>
    <row r="38" spans="2:18" s="119" customFormat="1">
      <c r="B38" s="185"/>
      <c r="C38" s="185"/>
      <c r="D38" s="185"/>
      <c r="E38" s="185"/>
      <c r="F38" s="428"/>
      <c r="G38" s="428"/>
      <c r="H38" s="428"/>
      <c r="I38" s="428"/>
      <c r="J38" s="428"/>
      <c r="K38" s="428"/>
      <c r="L38" s="429"/>
      <c r="M38" s="428"/>
      <c r="N38" s="428"/>
      <c r="O38" s="428"/>
      <c r="P38" s="428"/>
      <c r="Q38" s="428"/>
      <c r="R38" s="185"/>
    </row>
    <row r="39" spans="2:18" s="119" customFormat="1" ht="15.6">
      <c r="B39" s="185"/>
      <c r="C39" s="101" t="s">
        <v>131</v>
      </c>
      <c r="D39" s="185"/>
      <c r="E39" s="185"/>
      <c r="F39" s="428"/>
      <c r="G39" s="428"/>
      <c r="H39" s="428"/>
      <c r="I39" s="428"/>
      <c r="J39" s="428"/>
      <c r="K39" s="428"/>
      <c r="L39" s="429"/>
      <c r="M39" s="428"/>
      <c r="N39" s="428"/>
      <c r="O39" s="428"/>
      <c r="P39" s="428"/>
      <c r="Q39" s="428"/>
      <c r="R39" s="185"/>
    </row>
    <row r="40" spans="2:18" s="119" customFormat="1">
      <c r="B40" s="185"/>
      <c r="C40" s="185"/>
      <c r="D40" s="185" t="s">
        <v>401</v>
      </c>
      <c r="E40" s="185"/>
      <c r="F40" s="428"/>
      <c r="G40" s="428">
        <f>BS!G45</f>
        <v>176.15</v>
      </c>
      <c r="H40" s="428">
        <f>BS!H45</f>
        <v>176.63</v>
      </c>
      <c r="I40" s="428">
        <f>BS!I45</f>
        <v>176.71</v>
      </c>
      <c r="J40" s="428">
        <f>BS!J45</f>
        <v>176.74</v>
      </c>
      <c r="K40" s="428">
        <f>BS!K45</f>
        <v>176.79</v>
      </c>
      <c r="L40" s="429">
        <f>BS!L45</f>
        <v>177.18</v>
      </c>
      <c r="M40" s="428">
        <f>L40</f>
        <v>177.18</v>
      </c>
      <c r="N40" s="428">
        <f t="shared" ref="N40:Q40" si="12">M40</f>
        <v>177.18</v>
      </c>
      <c r="O40" s="428">
        <f t="shared" si="12"/>
        <v>177.18</v>
      </c>
      <c r="P40" s="428">
        <f t="shared" si="12"/>
        <v>177.18</v>
      </c>
      <c r="Q40" s="428">
        <f t="shared" si="12"/>
        <v>177.18</v>
      </c>
      <c r="R40" s="185" t="s">
        <v>1023</v>
      </c>
    </row>
    <row r="41" spans="2:18" s="119" customFormat="1">
      <c r="B41" s="185"/>
      <c r="C41" s="185"/>
      <c r="D41" s="185" t="s">
        <v>402</v>
      </c>
      <c r="E41" s="185"/>
      <c r="F41" s="428"/>
      <c r="G41" s="428">
        <f>BS!G46</f>
        <v>5530.37</v>
      </c>
      <c r="H41" s="428">
        <f>BS!H46</f>
        <v>5455.05</v>
      </c>
      <c r="I41" s="428">
        <f>BS!I46</f>
        <v>6429.04</v>
      </c>
      <c r="J41" s="428">
        <f>BS!J46</f>
        <v>7486.79</v>
      </c>
      <c r="K41" s="428">
        <f>BS!K46</f>
        <v>8204.51</v>
      </c>
      <c r="L41" s="429">
        <f>BS!L46</f>
        <v>8796.08</v>
      </c>
      <c r="M41" s="428">
        <f>L41+('P&amp;L(OUTPUT)'!M56*'P&amp;L(OUTPUT)'!M50)</f>
        <v>9707.1435864604609</v>
      </c>
      <c r="N41" s="428">
        <f>M41+('P&amp;L(OUTPUT)'!N56*'P&amp;L(OUTPUT)'!N50)</f>
        <v>10747.342600164491</v>
      </c>
      <c r="O41" s="428">
        <f>N41+('P&amp;L(OUTPUT)'!O56*'P&amp;L(OUTPUT)'!O50)</f>
        <v>11865.593189956211</v>
      </c>
      <c r="P41" s="428">
        <f>O41+('P&amp;L(OUTPUT)'!P56*'P&amp;L(OUTPUT)'!P50)</f>
        <v>13068.259717497096</v>
      </c>
      <c r="Q41" s="428">
        <f>P41+('P&amp;L(OUTPUT)'!Q56*'P&amp;L(OUTPUT)'!Q50)</f>
        <v>14375.135736493097</v>
      </c>
      <c r="R41" s="185" t="s">
        <v>1027</v>
      </c>
    </row>
    <row r="42" spans="2:18" s="119" customFormat="1">
      <c r="B42" s="185"/>
      <c r="C42" s="185"/>
      <c r="D42" s="185" t="s">
        <v>156</v>
      </c>
      <c r="E42" s="185"/>
      <c r="F42" s="428"/>
      <c r="G42" s="428">
        <f>BS!G47</f>
        <v>26.53</v>
      </c>
      <c r="H42" s="428">
        <f>BS!H47</f>
        <v>31.38</v>
      </c>
      <c r="I42" s="428">
        <f>BS!I47</f>
        <v>36.46</v>
      </c>
      <c r="J42" s="428">
        <f>BS!J47</f>
        <v>36.69</v>
      </c>
      <c r="K42" s="428">
        <f>BS!K47</f>
        <v>40.549999999999997</v>
      </c>
      <c r="L42" s="429">
        <f>BS!L47</f>
        <v>468.17</v>
      </c>
      <c r="M42" s="428">
        <f>L42</f>
        <v>468.17</v>
      </c>
      <c r="N42" s="428">
        <f t="shared" ref="N42:Q42" si="13">M42</f>
        <v>468.17</v>
      </c>
      <c r="O42" s="428">
        <f t="shared" si="13"/>
        <v>468.17</v>
      </c>
      <c r="P42" s="428">
        <f t="shared" si="13"/>
        <v>468.17</v>
      </c>
      <c r="Q42" s="428">
        <f t="shared" si="13"/>
        <v>468.17</v>
      </c>
      <c r="R42" s="185" t="s">
        <v>1023</v>
      </c>
    </row>
    <row r="43" spans="2:18" s="119" customFormat="1">
      <c r="B43" s="185"/>
      <c r="C43" s="185"/>
      <c r="D43" s="185"/>
      <c r="E43" s="185"/>
      <c r="F43" s="428"/>
      <c r="G43" s="428"/>
      <c r="H43" s="428"/>
      <c r="I43" s="428"/>
      <c r="J43" s="428"/>
      <c r="K43" s="428"/>
      <c r="L43" s="429"/>
      <c r="M43" s="428"/>
      <c r="N43" s="428"/>
      <c r="O43" s="428"/>
      <c r="P43" s="428"/>
      <c r="Q43" s="428"/>
      <c r="R43" s="185"/>
    </row>
    <row r="44" spans="2:18" s="119" customFormat="1" ht="15.6">
      <c r="B44" s="185"/>
      <c r="C44" s="191" t="s">
        <v>403</v>
      </c>
      <c r="D44" s="192"/>
      <c r="E44" s="192"/>
      <c r="F44" s="430"/>
      <c r="G44" s="430">
        <f t="shared" ref="G44:Q44" si="14">SUM(G40:G42)</f>
        <v>5733.0499999999993</v>
      </c>
      <c r="H44" s="430">
        <f t="shared" si="14"/>
        <v>5663.06</v>
      </c>
      <c r="I44" s="430">
        <f t="shared" si="14"/>
        <v>6642.21</v>
      </c>
      <c r="J44" s="430">
        <f t="shared" si="14"/>
        <v>7700.2199999999993</v>
      </c>
      <c r="K44" s="430">
        <f t="shared" si="14"/>
        <v>8421.85</v>
      </c>
      <c r="L44" s="431">
        <f t="shared" si="14"/>
        <v>9441.43</v>
      </c>
      <c r="M44" s="430">
        <f t="shared" si="14"/>
        <v>10352.493586460461</v>
      </c>
      <c r="N44" s="430">
        <f t="shared" si="14"/>
        <v>11392.692600164492</v>
      </c>
      <c r="O44" s="430">
        <f t="shared" si="14"/>
        <v>12510.943189956211</v>
      </c>
      <c r="P44" s="430">
        <f t="shared" si="14"/>
        <v>13713.609717497096</v>
      </c>
      <c r="Q44" s="430">
        <f t="shared" si="14"/>
        <v>15020.485736493098</v>
      </c>
      <c r="R44" s="185"/>
    </row>
    <row r="45" spans="2:18" s="119" customFormat="1" ht="15.6">
      <c r="B45" s="185"/>
      <c r="C45" s="101"/>
      <c r="D45" s="185"/>
      <c r="E45" s="185"/>
      <c r="F45" s="428"/>
      <c r="G45" s="428"/>
      <c r="H45" s="428"/>
      <c r="I45" s="428"/>
      <c r="J45" s="428"/>
      <c r="K45" s="428"/>
      <c r="L45" s="429"/>
      <c r="M45" s="428"/>
      <c r="N45" s="428"/>
      <c r="O45" s="428"/>
      <c r="P45" s="428"/>
      <c r="Q45" s="428"/>
      <c r="R45" s="185"/>
    </row>
    <row r="46" spans="2:18" s="119" customFormat="1" ht="15.6">
      <c r="B46" s="185"/>
      <c r="C46" s="101"/>
      <c r="D46" s="185"/>
      <c r="E46" s="185"/>
      <c r="F46" s="433" t="s">
        <v>392</v>
      </c>
      <c r="G46" s="434" t="str">
        <f>IF(BS!G48='BS(OUTPUT)'!G44,"OK","ERROR")</f>
        <v>OK</v>
      </c>
      <c r="H46" s="434" t="str">
        <f>IF(BS!H48='BS(OUTPUT)'!H44,"OK","ERROR")</f>
        <v>OK</v>
      </c>
      <c r="I46" s="434" t="str">
        <f>IF(BS!I48='BS(OUTPUT)'!I44,"OK","ERROR")</f>
        <v>OK</v>
      </c>
      <c r="J46" s="434" t="str">
        <f>IF(BS!J48='BS(OUTPUT)'!J44,"OK","ERROR")</f>
        <v>OK</v>
      </c>
      <c r="K46" s="434" t="str">
        <f>IF(BS!K48='BS(OUTPUT)'!K44,"OK","ERROR")</f>
        <v>OK</v>
      </c>
      <c r="L46" s="435" t="str">
        <f>IF(BS!L48='BS(OUTPUT)'!L44,"OK","ERROR")</f>
        <v>OK</v>
      </c>
      <c r="M46" s="436"/>
      <c r="N46" s="436"/>
      <c r="O46" s="436"/>
      <c r="P46" s="436"/>
      <c r="Q46" s="436"/>
      <c r="R46" s="185"/>
    </row>
    <row r="47" spans="2:18" s="119" customFormat="1" ht="15.6">
      <c r="B47" s="185"/>
      <c r="C47" s="101"/>
      <c r="D47" s="185"/>
      <c r="E47" s="185"/>
      <c r="F47" s="428"/>
      <c r="G47" s="428"/>
      <c r="H47" s="428"/>
      <c r="I47" s="428"/>
      <c r="J47" s="428"/>
      <c r="K47" s="428"/>
      <c r="L47" s="429"/>
      <c r="M47" s="428"/>
      <c r="N47" s="428"/>
      <c r="O47" s="428"/>
      <c r="P47" s="428"/>
      <c r="Q47" s="428"/>
      <c r="R47" s="185"/>
    </row>
    <row r="48" spans="2:18" s="119" customFormat="1">
      <c r="B48" s="185"/>
      <c r="C48" s="185"/>
      <c r="D48" s="185"/>
      <c r="E48" s="185"/>
      <c r="F48" s="428"/>
      <c r="G48" s="428"/>
      <c r="H48" s="428"/>
      <c r="I48" s="428"/>
      <c r="J48" s="428"/>
      <c r="K48" s="428"/>
      <c r="L48" s="429"/>
      <c r="M48" s="428"/>
      <c r="N48" s="428"/>
      <c r="O48" s="428"/>
      <c r="P48" s="428"/>
      <c r="Q48" s="428"/>
      <c r="R48" s="185"/>
    </row>
    <row r="49" spans="2:18" s="119" customFormat="1" ht="15.6">
      <c r="B49" s="185"/>
      <c r="C49" s="101" t="s">
        <v>135</v>
      </c>
      <c r="D49" s="185"/>
      <c r="E49" s="185"/>
      <c r="F49" s="428"/>
      <c r="G49" s="428"/>
      <c r="H49" s="428"/>
      <c r="I49" s="428"/>
      <c r="J49" s="428"/>
      <c r="K49" s="428"/>
      <c r="L49" s="429"/>
      <c r="M49" s="428"/>
      <c r="N49" s="428"/>
      <c r="O49" s="428"/>
      <c r="P49" s="428"/>
      <c r="Q49" s="428"/>
      <c r="R49" s="185"/>
    </row>
    <row r="50" spans="2:18" s="119" customFormat="1">
      <c r="B50" s="185"/>
      <c r="C50" s="185"/>
      <c r="D50" s="185" t="s">
        <v>404</v>
      </c>
      <c r="E50" s="185"/>
      <c r="F50" s="428"/>
      <c r="G50" s="428"/>
      <c r="H50" s="428"/>
      <c r="I50" s="428"/>
      <c r="J50" s="428"/>
      <c r="K50" s="428"/>
      <c r="L50" s="429"/>
      <c r="M50" s="428"/>
      <c r="N50" s="428"/>
      <c r="O50" s="428"/>
      <c r="P50" s="428"/>
      <c r="Q50" s="428"/>
      <c r="R50" s="185"/>
    </row>
    <row r="51" spans="2:18" s="119" customFormat="1">
      <c r="B51" s="185"/>
      <c r="C51" s="185"/>
      <c r="D51" s="185"/>
      <c r="E51" s="185" t="s">
        <v>405</v>
      </c>
      <c r="F51" s="428"/>
      <c r="G51" s="428">
        <f>BS!G52</f>
        <v>364.34</v>
      </c>
      <c r="H51" s="428">
        <f>BS!H52</f>
        <v>26.05</v>
      </c>
      <c r="I51" s="428">
        <f>BS!I52</f>
        <v>162.88999999999999</v>
      </c>
      <c r="J51" s="428">
        <f>BS!J52</f>
        <v>134.13</v>
      </c>
      <c r="K51" s="428">
        <f>BS!K52</f>
        <v>250.36</v>
      </c>
      <c r="L51" s="429">
        <f>BS!L52</f>
        <v>298.83999999999997</v>
      </c>
      <c r="M51" s="428">
        <f>L51</f>
        <v>298.83999999999997</v>
      </c>
      <c r="N51" s="428">
        <f t="shared" ref="N51:Q51" si="15">M51</f>
        <v>298.83999999999997</v>
      </c>
      <c r="O51" s="428">
        <f t="shared" si="15"/>
        <v>298.83999999999997</v>
      </c>
      <c r="P51" s="428">
        <f t="shared" si="15"/>
        <v>298.83999999999997</v>
      </c>
      <c r="Q51" s="428">
        <f t="shared" si="15"/>
        <v>298.83999999999997</v>
      </c>
      <c r="R51" s="185" t="s">
        <v>1023</v>
      </c>
    </row>
    <row r="52" spans="2:18" s="119" customFormat="1">
      <c r="B52" s="185"/>
      <c r="C52" s="185"/>
      <c r="D52" s="185"/>
      <c r="E52" s="185" t="s">
        <v>406</v>
      </c>
      <c r="F52" s="428"/>
      <c r="G52" s="428">
        <f>BS!G53</f>
        <v>4.25</v>
      </c>
      <c r="H52" s="428">
        <f>BS!H53</f>
        <v>4.5599999999999996</v>
      </c>
      <c r="I52" s="428">
        <f>BS!I53</f>
        <v>4.66</v>
      </c>
      <c r="J52" s="428">
        <f>BS!J53</f>
        <v>1.37</v>
      </c>
      <c r="K52" s="428">
        <f>BS!K53</f>
        <v>4.25</v>
      </c>
      <c r="L52" s="429">
        <f>BS!L53</f>
        <v>4.95</v>
      </c>
      <c r="M52" s="428">
        <f>L52</f>
        <v>4.95</v>
      </c>
      <c r="N52" s="428">
        <f t="shared" ref="N52:P52" si="16">M52</f>
        <v>4.95</v>
      </c>
      <c r="O52" s="428">
        <f t="shared" si="16"/>
        <v>4.95</v>
      </c>
      <c r="P52" s="428">
        <f t="shared" si="16"/>
        <v>4.95</v>
      </c>
      <c r="Q52" s="428">
        <f>P52</f>
        <v>4.95</v>
      </c>
      <c r="R52" s="185" t="s">
        <v>1023</v>
      </c>
    </row>
    <row r="53" spans="2:18" s="119" customFormat="1">
      <c r="B53" s="185"/>
      <c r="C53" s="185"/>
      <c r="D53" s="185"/>
      <c r="E53" s="185" t="s">
        <v>407</v>
      </c>
      <c r="F53" s="428"/>
      <c r="G53" s="428">
        <f>BS!G54</f>
        <v>0</v>
      </c>
      <c r="H53" s="428">
        <f>BS!H54</f>
        <v>0</v>
      </c>
      <c r="I53" s="428">
        <f>BS!I54</f>
        <v>0</v>
      </c>
      <c r="J53" s="428">
        <f>BS!J54</f>
        <v>0</v>
      </c>
      <c r="K53" s="428">
        <f>BS!K54</f>
        <v>139.58000000000001</v>
      </c>
      <c r="L53" s="429">
        <f>BS!L54</f>
        <v>144.36000000000001</v>
      </c>
      <c r="M53" s="428">
        <f>L53</f>
        <v>144.36000000000001</v>
      </c>
      <c r="N53" s="428">
        <f t="shared" ref="N53:Q53" si="17">M53</f>
        <v>144.36000000000001</v>
      </c>
      <c r="O53" s="428">
        <f t="shared" si="17"/>
        <v>144.36000000000001</v>
      </c>
      <c r="P53" s="428">
        <f t="shared" si="17"/>
        <v>144.36000000000001</v>
      </c>
      <c r="Q53" s="428">
        <f t="shared" si="17"/>
        <v>144.36000000000001</v>
      </c>
      <c r="R53" s="185" t="s">
        <v>1023</v>
      </c>
    </row>
    <row r="54" spans="2:18" s="119" customFormat="1">
      <c r="B54" s="185"/>
      <c r="C54" s="185"/>
      <c r="D54" s="185" t="s">
        <v>408</v>
      </c>
      <c r="E54" s="185"/>
      <c r="F54" s="428"/>
      <c r="G54" s="428">
        <f>BS!G55+BS!G56</f>
        <v>165.55</v>
      </c>
      <c r="H54" s="428">
        <f>BS!H55+BS!H56</f>
        <v>82.66</v>
      </c>
      <c r="I54" s="428">
        <f>BS!I55+BS!I56</f>
        <v>80.37</v>
      </c>
      <c r="J54" s="428">
        <f>BS!J55+BS!J56</f>
        <v>77.22</v>
      </c>
      <c r="K54" s="428">
        <f>BS!K55+BS!K56</f>
        <v>145.94999999999999</v>
      </c>
      <c r="L54" s="429">
        <f>BS!L55+BS!L56</f>
        <v>155.36000000000001</v>
      </c>
      <c r="M54" s="428">
        <f>L54</f>
        <v>155.36000000000001</v>
      </c>
      <c r="N54" s="428">
        <f t="shared" ref="N54:Q54" si="18">M54</f>
        <v>155.36000000000001</v>
      </c>
      <c r="O54" s="428">
        <f t="shared" si="18"/>
        <v>155.36000000000001</v>
      </c>
      <c r="P54" s="428">
        <f t="shared" si="18"/>
        <v>155.36000000000001</v>
      </c>
      <c r="Q54" s="428">
        <f t="shared" si="18"/>
        <v>155.36000000000001</v>
      </c>
      <c r="R54" s="185" t="s">
        <v>1035</v>
      </c>
    </row>
    <row r="55" spans="2:18" s="119" customFormat="1">
      <c r="B55" s="185"/>
      <c r="C55" s="185"/>
      <c r="D55" s="185"/>
      <c r="E55" s="185"/>
      <c r="F55" s="428"/>
      <c r="G55" s="428"/>
      <c r="H55" s="428"/>
      <c r="I55" s="428"/>
      <c r="J55" s="428"/>
      <c r="K55" s="428"/>
      <c r="L55" s="429"/>
      <c r="M55" s="428"/>
      <c r="N55" s="428"/>
      <c r="O55" s="428"/>
      <c r="P55" s="428"/>
      <c r="Q55" s="428"/>
      <c r="R55" s="185"/>
    </row>
    <row r="56" spans="2:18" s="119" customFormat="1" ht="15.6">
      <c r="B56" s="185"/>
      <c r="C56" s="191" t="s">
        <v>141</v>
      </c>
      <c r="D56" s="192"/>
      <c r="E56" s="192"/>
      <c r="F56" s="430"/>
      <c r="G56" s="430">
        <f t="shared" ref="G56:Q56" si="19">SUM(G51:G54)</f>
        <v>534.14</v>
      </c>
      <c r="H56" s="430">
        <f t="shared" si="19"/>
        <v>113.27</v>
      </c>
      <c r="I56" s="430">
        <f t="shared" si="19"/>
        <v>247.92</v>
      </c>
      <c r="J56" s="430">
        <f t="shared" si="19"/>
        <v>212.72</v>
      </c>
      <c r="K56" s="430">
        <f t="shared" si="19"/>
        <v>540.1400000000001</v>
      </c>
      <c r="L56" s="431">
        <f t="shared" si="19"/>
        <v>603.51</v>
      </c>
      <c r="M56" s="430">
        <f t="shared" si="19"/>
        <v>603.51</v>
      </c>
      <c r="N56" s="430">
        <f t="shared" si="19"/>
        <v>603.51</v>
      </c>
      <c r="O56" s="430">
        <f t="shared" si="19"/>
        <v>603.51</v>
      </c>
      <c r="P56" s="430">
        <f t="shared" si="19"/>
        <v>603.51</v>
      </c>
      <c r="Q56" s="430">
        <f t="shared" si="19"/>
        <v>603.51</v>
      </c>
      <c r="R56" s="185"/>
    </row>
    <row r="57" spans="2:18" s="119" customFormat="1">
      <c r="B57" s="185"/>
      <c r="C57" s="185"/>
      <c r="D57" s="185"/>
      <c r="E57" s="185"/>
      <c r="F57" s="428"/>
      <c r="G57" s="428"/>
      <c r="H57" s="428"/>
      <c r="I57" s="428"/>
      <c r="J57" s="428"/>
      <c r="K57" s="428"/>
      <c r="L57" s="429"/>
      <c r="M57" s="428"/>
      <c r="N57" s="428"/>
      <c r="O57" s="428"/>
      <c r="P57" s="428"/>
      <c r="Q57" s="428"/>
      <c r="R57" s="185"/>
    </row>
    <row r="58" spans="2:18" s="119" customFormat="1" ht="15.6">
      <c r="B58" s="185"/>
      <c r="C58" s="185"/>
      <c r="D58" s="185"/>
      <c r="E58" s="185"/>
      <c r="F58" s="433" t="s">
        <v>392</v>
      </c>
      <c r="G58" s="434" t="str">
        <f>IF(G56=BS!G58,"OK","ERROR")</f>
        <v>OK</v>
      </c>
      <c r="H58" s="434" t="str">
        <f>IF(H56=BS!H58,"OK","ERROR")</f>
        <v>OK</v>
      </c>
      <c r="I58" s="434" t="str">
        <f>IF(I56=BS!I58,"OK","ERROR")</f>
        <v>OK</v>
      </c>
      <c r="J58" s="434" t="str">
        <f>IF(J56=BS!J58,"OK","ERROR")</f>
        <v>OK</v>
      </c>
      <c r="K58" s="434" t="str">
        <f>IF(K56=BS!K58,"OK","ERROR")</f>
        <v>OK</v>
      </c>
      <c r="L58" s="435" t="str">
        <f>IF(L56=BS!L58,"OK","ERROR")</f>
        <v>OK</v>
      </c>
      <c r="M58" s="436"/>
      <c r="N58" s="436"/>
      <c r="O58" s="436"/>
      <c r="P58" s="436"/>
      <c r="Q58" s="436"/>
      <c r="R58" s="185"/>
    </row>
    <row r="59" spans="2:18" s="119" customFormat="1">
      <c r="B59" s="185"/>
      <c r="C59" s="185"/>
      <c r="D59" s="185"/>
      <c r="E59" s="185"/>
      <c r="F59" s="428"/>
      <c r="G59" s="428"/>
      <c r="H59" s="428"/>
      <c r="I59" s="428"/>
      <c r="J59" s="428"/>
      <c r="K59" s="428"/>
      <c r="L59" s="429"/>
      <c r="M59" s="428"/>
      <c r="N59" s="428"/>
      <c r="O59" s="428"/>
      <c r="P59" s="428"/>
      <c r="Q59" s="428"/>
      <c r="R59" s="185"/>
    </row>
    <row r="60" spans="2:18" s="119" customFormat="1" ht="15.6">
      <c r="B60" s="185"/>
      <c r="C60" s="101" t="s">
        <v>142</v>
      </c>
      <c r="D60" s="185"/>
      <c r="E60" s="185"/>
      <c r="F60" s="428"/>
      <c r="G60" s="428"/>
      <c r="H60" s="428"/>
      <c r="I60" s="428"/>
      <c r="J60" s="428"/>
      <c r="K60" s="428"/>
      <c r="L60" s="429"/>
      <c r="M60" s="428"/>
      <c r="N60" s="428"/>
      <c r="O60" s="428"/>
      <c r="P60" s="428"/>
      <c r="Q60" s="428"/>
      <c r="R60" s="185"/>
    </row>
    <row r="61" spans="2:18" s="119" customFormat="1">
      <c r="B61" s="185"/>
      <c r="C61" s="185"/>
      <c r="D61" s="185" t="s">
        <v>143</v>
      </c>
      <c r="E61" s="185"/>
      <c r="F61" s="428"/>
      <c r="G61" s="428"/>
      <c r="H61" s="428"/>
      <c r="I61" s="428"/>
      <c r="J61" s="428"/>
      <c r="K61" s="428"/>
      <c r="L61" s="429"/>
      <c r="M61" s="428"/>
      <c r="N61" s="428"/>
      <c r="O61" s="428"/>
      <c r="P61" s="428"/>
      <c r="Q61" s="428"/>
      <c r="R61" s="185"/>
    </row>
    <row r="62" spans="2:18" s="119" customFormat="1">
      <c r="B62" s="185"/>
      <c r="C62" s="185"/>
      <c r="D62" s="185"/>
      <c r="E62" s="185" t="s">
        <v>405</v>
      </c>
      <c r="F62" s="428"/>
      <c r="G62" s="428">
        <f>BS!G62</f>
        <v>464.49</v>
      </c>
      <c r="H62" s="428">
        <f>BS!H62</f>
        <v>498.23</v>
      </c>
      <c r="I62" s="428">
        <f>BS!I62</f>
        <v>304.24</v>
      </c>
      <c r="J62" s="428">
        <f>BS!J62</f>
        <v>349.14</v>
      </c>
      <c r="K62" s="428">
        <f>BS!K62</f>
        <v>617.29</v>
      </c>
      <c r="L62" s="429">
        <f>BS!L62</f>
        <v>700.18</v>
      </c>
      <c r="M62" s="428">
        <f>L62</f>
        <v>700.18</v>
      </c>
      <c r="N62" s="428">
        <f t="shared" ref="N62:Q62" si="20">M62</f>
        <v>700.18</v>
      </c>
      <c r="O62" s="428">
        <f t="shared" si="20"/>
        <v>700.18</v>
      </c>
      <c r="P62" s="428">
        <f t="shared" si="20"/>
        <v>700.18</v>
      </c>
      <c r="Q62" s="428">
        <f t="shared" si="20"/>
        <v>700.18</v>
      </c>
      <c r="R62" s="185" t="s">
        <v>1023</v>
      </c>
    </row>
    <row r="63" spans="2:18" s="119" customFormat="1">
      <c r="B63" s="185"/>
      <c r="C63" s="185"/>
      <c r="D63" s="185"/>
      <c r="E63" s="185" t="s">
        <v>145</v>
      </c>
      <c r="F63" s="428"/>
      <c r="G63" s="428">
        <f>BS!G64+BS!G65</f>
        <v>1410.32</v>
      </c>
      <c r="H63" s="428">
        <f>BS!H64+BS!H65</f>
        <v>1455.4299999999998</v>
      </c>
      <c r="I63" s="428">
        <f>BS!I64+BS!I65</f>
        <v>1482.15</v>
      </c>
      <c r="J63" s="428">
        <f>BS!J64+BS!J65</f>
        <v>1915.2600000000002</v>
      </c>
      <c r="K63" s="428">
        <f>BS!K64+BS!K65</f>
        <v>2017.95</v>
      </c>
      <c r="L63" s="429">
        <f>BS!L64+BS!L65</f>
        <v>2186.6099999999997</v>
      </c>
      <c r="M63" s="428">
        <f>'TR&amp;TP'!M27</f>
        <v>2374.1253924087587</v>
      </c>
      <c r="N63" s="428">
        <f>'TR&amp;TP'!N27</f>
        <v>2553.993656357783</v>
      </c>
      <c r="O63" s="428">
        <f>'TR&amp;TP'!O27</f>
        <v>2713.1881286152175</v>
      </c>
      <c r="P63" s="428">
        <f>'TR&amp;TP'!P27</f>
        <v>2911.8015726650256</v>
      </c>
      <c r="Q63" s="428">
        <f>'TR&amp;TP'!Q27</f>
        <v>3055.606516793383</v>
      </c>
      <c r="R63" s="185" t="s">
        <v>1026</v>
      </c>
    </row>
    <row r="64" spans="2:18">
      <c r="B64" s="185"/>
      <c r="C64" s="185"/>
      <c r="D64" s="185"/>
      <c r="E64" s="185" t="s">
        <v>409</v>
      </c>
      <c r="F64" s="428"/>
      <c r="G64" s="428">
        <f>BS!G67</f>
        <v>0</v>
      </c>
      <c r="H64" s="428">
        <f>BS!H67</f>
        <v>0</v>
      </c>
      <c r="I64" s="428">
        <f>BS!I67</f>
        <v>0</v>
      </c>
      <c r="J64" s="428">
        <f>BS!J67</f>
        <v>0</v>
      </c>
      <c r="K64" s="428">
        <f>BS!K67</f>
        <v>22.87</v>
      </c>
      <c r="L64" s="429">
        <f>BS!L67</f>
        <v>30.41</v>
      </c>
      <c r="M64" s="428">
        <f>L64</f>
        <v>30.41</v>
      </c>
      <c r="N64" s="428">
        <f t="shared" ref="N64:Q64" si="21">M64</f>
        <v>30.41</v>
      </c>
      <c r="O64" s="428">
        <f t="shared" si="21"/>
        <v>30.41</v>
      </c>
      <c r="P64" s="428">
        <f t="shared" si="21"/>
        <v>30.41</v>
      </c>
      <c r="Q64" s="428">
        <f t="shared" si="21"/>
        <v>30.41</v>
      </c>
      <c r="R64" s="185" t="s">
        <v>1023</v>
      </c>
    </row>
    <row r="65" spans="2:18">
      <c r="B65" s="185"/>
      <c r="C65" s="185"/>
      <c r="D65" s="185"/>
      <c r="E65" s="185" t="s">
        <v>410</v>
      </c>
      <c r="F65" s="428"/>
      <c r="G65" s="428">
        <f>BS!G66</f>
        <v>238.2</v>
      </c>
      <c r="H65" s="428">
        <f>BS!H66</f>
        <v>327.62</v>
      </c>
      <c r="I65" s="428">
        <f>BS!I66</f>
        <v>225.52</v>
      </c>
      <c r="J65" s="428">
        <f>BS!J66</f>
        <v>238.93</v>
      </c>
      <c r="K65" s="428">
        <f>BS!K66</f>
        <v>251.95</v>
      </c>
      <c r="L65" s="429">
        <f>BS!L66</f>
        <v>279.83999999999997</v>
      </c>
      <c r="M65" s="438">
        <f>L65+6%*L65</f>
        <v>296.63039999999995</v>
      </c>
      <c r="N65" s="438">
        <f t="shared" ref="N65:Q65" si="22">M65+6%*M65</f>
        <v>314.42822399999994</v>
      </c>
      <c r="O65" s="438">
        <f>N65+6%*N65</f>
        <v>333.29391743999992</v>
      </c>
      <c r="P65" s="438">
        <f t="shared" si="22"/>
        <v>353.29155248639989</v>
      </c>
      <c r="Q65" s="438">
        <f t="shared" si="22"/>
        <v>374.48904563558386</v>
      </c>
      <c r="R65" s="2" t="s">
        <v>774</v>
      </c>
    </row>
    <row r="66" spans="2:18">
      <c r="B66" s="185"/>
      <c r="C66" s="185"/>
      <c r="D66" s="185" t="s">
        <v>411</v>
      </c>
      <c r="E66" s="185"/>
      <c r="F66" s="428"/>
      <c r="G66" s="428">
        <f>BS!G68+BS!G69+BS!G70</f>
        <v>321.43</v>
      </c>
      <c r="H66" s="428">
        <f>BS!H68+BS!H69+BS!H70</f>
        <v>379.03</v>
      </c>
      <c r="I66" s="428">
        <f>BS!I68+BS!I69+BS!I70</f>
        <v>451.96999999999997</v>
      </c>
      <c r="J66" s="428">
        <f>BS!J68+BS!J69+BS!J70</f>
        <v>430.85999999999996</v>
      </c>
      <c r="K66" s="428">
        <f>BS!K68+BS!K69+BS!K70</f>
        <v>412.48</v>
      </c>
      <c r="L66" s="429">
        <f>BS!L68+BS!L69+BS!L70</f>
        <v>412.39</v>
      </c>
      <c r="M66" s="428">
        <f>L66</f>
        <v>412.39</v>
      </c>
      <c r="N66" s="428">
        <f t="shared" ref="N66:Q66" si="23">M66</f>
        <v>412.39</v>
      </c>
      <c r="O66" s="428">
        <f t="shared" si="23"/>
        <v>412.39</v>
      </c>
      <c r="P66" s="428">
        <f t="shared" si="23"/>
        <v>412.39</v>
      </c>
      <c r="Q66" s="428">
        <f t="shared" si="23"/>
        <v>412.39</v>
      </c>
      <c r="R66" s="2" t="s">
        <v>1036</v>
      </c>
    </row>
    <row r="67" spans="2:18">
      <c r="B67" s="185"/>
      <c r="C67" s="185"/>
      <c r="D67" s="185"/>
      <c r="E67" s="185"/>
      <c r="F67" s="428"/>
      <c r="G67" s="428"/>
      <c r="H67" s="428"/>
      <c r="I67" s="428"/>
      <c r="J67" s="428"/>
      <c r="K67" s="428"/>
      <c r="L67" s="429"/>
      <c r="M67" s="428"/>
      <c r="N67" s="428"/>
      <c r="O67" s="428"/>
      <c r="P67" s="428"/>
      <c r="Q67" s="428"/>
    </row>
    <row r="68" spans="2:18" ht="15.6">
      <c r="B68" s="185"/>
      <c r="C68" s="191" t="s">
        <v>152</v>
      </c>
      <c r="D68" s="192"/>
      <c r="E68" s="192"/>
      <c r="F68" s="430"/>
      <c r="G68" s="430">
        <f>SUM(G62:G66)</f>
        <v>2434.4399999999996</v>
      </c>
      <c r="H68" s="430">
        <f t="shared" ref="H68:Q68" si="24">SUM(H62:H66)</f>
        <v>2660.3099999999995</v>
      </c>
      <c r="I68" s="430">
        <f t="shared" si="24"/>
        <v>2463.88</v>
      </c>
      <c r="J68" s="430">
        <f t="shared" si="24"/>
        <v>2934.19</v>
      </c>
      <c r="K68" s="430">
        <f>SUM(K62:K66)</f>
        <v>3322.5399999999995</v>
      </c>
      <c r="L68" s="431">
        <f t="shared" si="24"/>
        <v>3609.4299999999994</v>
      </c>
      <c r="M68" s="430">
        <f t="shared" si="24"/>
        <v>3813.7357924087582</v>
      </c>
      <c r="N68" s="430">
        <f t="shared" si="24"/>
        <v>4011.4018803577824</v>
      </c>
      <c r="O68" s="430">
        <f t="shared" si="24"/>
        <v>4189.4620460552169</v>
      </c>
      <c r="P68" s="430">
        <f t="shared" si="24"/>
        <v>4408.0731251514253</v>
      </c>
      <c r="Q68" s="430">
        <f t="shared" si="24"/>
        <v>4573.0755624289668</v>
      </c>
    </row>
    <row r="69" spans="2:18">
      <c r="B69" s="185"/>
      <c r="C69" s="185"/>
      <c r="D69" s="185"/>
      <c r="E69" s="185"/>
      <c r="F69" s="428"/>
      <c r="G69" s="428"/>
      <c r="H69" s="428"/>
      <c r="I69" s="428"/>
      <c r="J69" s="428"/>
      <c r="K69" s="428"/>
      <c r="L69" s="429"/>
      <c r="M69" s="428"/>
      <c r="N69" s="428"/>
      <c r="O69" s="428"/>
      <c r="P69" s="428"/>
      <c r="Q69" s="428"/>
    </row>
    <row r="70" spans="2:18" ht="15.6">
      <c r="B70" s="185"/>
      <c r="C70" s="185"/>
      <c r="D70" s="185"/>
      <c r="E70" s="185"/>
      <c r="F70" s="433" t="s">
        <v>392</v>
      </c>
      <c r="G70" s="434" t="str">
        <f>IF(G68=BS!G72,"OK","ERROR")</f>
        <v>OK</v>
      </c>
      <c r="H70" s="434" t="str">
        <f>IF(H68=BS!H72,"OK","ERROR")</f>
        <v>OK</v>
      </c>
      <c r="I70" s="434" t="str">
        <f>IF(I68=BS!I72,"OK","ERROR")</f>
        <v>OK</v>
      </c>
      <c r="J70" s="434" t="str">
        <f>IF(J68=BS!J72,"OK","ERROR")</f>
        <v>OK</v>
      </c>
      <c r="K70" s="434" t="str">
        <f>IF(K68=BS!K72,"OK","ERROR")</f>
        <v>OK</v>
      </c>
      <c r="L70" s="435" t="str">
        <f>IF(L68=BS!L72,"OK","ERROR")</f>
        <v>OK</v>
      </c>
      <c r="M70" s="436"/>
      <c r="N70" s="436"/>
      <c r="O70" s="436"/>
      <c r="P70" s="436"/>
      <c r="Q70" s="436"/>
    </row>
    <row r="71" spans="2:18">
      <c r="B71" s="185"/>
      <c r="C71" s="185"/>
      <c r="D71" s="185"/>
      <c r="E71" s="185"/>
      <c r="F71" s="428"/>
      <c r="G71" s="428"/>
      <c r="H71" s="428"/>
      <c r="I71" s="428"/>
      <c r="J71" s="428"/>
      <c r="K71" s="428"/>
      <c r="L71" s="429"/>
      <c r="M71" s="428"/>
      <c r="N71" s="428"/>
      <c r="O71" s="428"/>
      <c r="P71" s="428"/>
      <c r="Q71" s="428"/>
    </row>
    <row r="72" spans="2:18" ht="15.6">
      <c r="B72" s="185"/>
      <c r="C72" s="191" t="s">
        <v>155</v>
      </c>
      <c r="D72" s="192"/>
      <c r="E72" s="192"/>
      <c r="F72" s="430"/>
      <c r="G72" s="430">
        <f>G44+G56+G68</f>
        <v>8701.6299999999992</v>
      </c>
      <c r="H72" s="430">
        <f t="shared" ref="H72:L72" si="25">H44+H56+H68</f>
        <v>8436.64</v>
      </c>
      <c r="I72" s="430">
        <f t="shared" si="25"/>
        <v>9354.01</v>
      </c>
      <c r="J72" s="430">
        <f t="shared" si="25"/>
        <v>10847.13</v>
      </c>
      <c r="K72" s="430">
        <f t="shared" si="25"/>
        <v>12284.529999999999</v>
      </c>
      <c r="L72" s="431">
        <f t="shared" si="25"/>
        <v>13654.369999999999</v>
      </c>
      <c r="M72" s="430">
        <f>ROUND(M44+M56+M68,2)</f>
        <v>14769.74</v>
      </c>
      <c r="N72" s="430">
        <f t="shared" ref="N72:Q72" si="26">ROUND(N44+N56+N68,2)</f>
        <v>16007.6</v>
      </c>
      <c r="O72" s="430">
        <f t="shared" si="26"/>
        <v>17303.919999999998</v>
      </c>
      <c r="P72" s="430">
        <f t="shared" si="26"/>
        <v>18725.189999999999</v>
      </c>
      <c r="Q72" s="430">
        <f t="shared" si="26"/>
        <v>20197.07</v>
      </c>
    </row>
    <row r="73" spans="2:18">
      <c r="B73" s="185"/>
      <c r="C73" s="185"/>
      <c r="D73" s="185"/>
      <c r="E73" s="185"/>
      <c r="F73" s="428"/>
      <c r="G73" s="428"/>
      <c r="H73" s="428"/>
      <c r="I73" s="428"/>
      <c r="J73" s="428"/>
      <c r="K73" s="428"/>
      <c r="L73" s="429"/>
      <c r="M73" s="428"/>
      <c r="N73" s="428"/>
      <c r="O73" s="428"/>
      <c r="P73" s="428"/>
      <c r="Q73" s="428"/>
    </row>
    <row r="74" spans="2:18" ht="15.6">
      <c r="B74" s="101" t="s">
        <v>585</v>
      </c>
      <c r="C74" s="185"/>
      <c r="D74" s="185"/>
      <c r="E74" s="185"/>
      <c r="F74" s="433" t="s">
        <v>392</v>
      </c>
      <c r="G74" s="434" t="str">
        <f>IF(G72=G36,"OK","ERROR")</f>
        <v>OK</v>
      </c>
      <c r="H74" s="434" t="str">
        <f t="shared" ref="H74:Q74" si="27">IF(H72=H36,"OK","ERROR")</f>
        <v>OK</v>
      </c>
      <c r="I74" s="434" t="str">
        <f t="shared" si="27"/>
        <v>OK</v>
      </c>
      <c r="J74" s="434" t="str">
        <f t="shared" si="27"/>
        <v>OK</v>
      </c>
      <c r="K74" s="434" t="str">
        <f t="shared" si="27"/>
        <v>OK</v>
      </c>
      <c r="L74" s="435" t="str">
        <f t="shared" si="27"/>
        <v>OK</v>
      </c>
      <c r="M74" s="434" t="str">
        <f t="shared" si="27"/>
        <v>OK</v>
      </c>
      <c r="N74" s="434" t="str">
        <f t="shared" si="27"/>
        <v>OK</v>
      </c>
      <c r="O74" s="434" t="str">
        <f>IF(O72=O36,"OK","ERROR")</f>
        <v>OK</v>
      </c>
      <c r="P74" s="434" t="str">
        <f t="shared" si="27"/>
        <v>OK</v>
      </c>
      <c r="Q74" s="434" t="str">
        <f t="shared" si="27"/>
        <v>OK</v>
      </c>
      <c r="R74" s="419"/>
    </row>
    <row r="75" spans="2:18">
      <c r="B75" s="185"/>
      <c r="C75" s="185"/>
      <c r="D75" s="185"/>
      <c r="E75" s="185"/>
      <c r="F75" s="428"/>
      <c r="G75" s="428"/>
      <c r="H75" s="428"/>
      <c r="I75" s="428"/>
      <c r="J75" s="428"/>
      <c r="K75" s="428"/>
      <c r="L75" s="429"/>
      <c r="M75" s="428"/>
      <c r="N75" s="428"/>
      <c r="O75" s="428"/>
      <c r="P75" s="428"/>
      <c r="Q75" s="428"/>
    </row>
    <row r="76" spans="2:18" ht="15.6">
      <c r="B76" s="101">
        <v>1</v>
      </c>
      <c r="C76" s="101" t="s">
        <v>518</v>
      </c>
      <c r="D76" s="185"/>
      <c r="E76" s="185"/>
      <c r="F76" s="428"/>
      <c r="G76" s="428">
        <f>G32-G68</f>
        <v>1005.3100000000004</v>
      </c>
      <c r="H76" s="428">
        <f t="shared" ref="H76:Q76" si="28">H32-H68</f>
        <v>925.92000000000098</v>
      </c>
      <c r="I76" s="428">
        <f t="shared" si="28"/>
        <v>2416.38</v>
      </c>
      <c r="J76" s="428">
        <f t="shared" si="28"/>
        <v>1841.7499999999995</v>
      </c>
      <c r="K76" s="428">
        <f t="shared" si="28"/>
        <v>994.30000000000064</v>
      </c>
      <c r="L76" s="429">
        <f t="shared" si="28"/>
        <v>639.53000000000065</v>
      </c>
      <c r="M76" s="428">
        <f t="shared" si="28"/>
        <v>1424.1948913567912</v>
      </c>
      <c r="N76" s="428">
        <f t="shared" si="28"/>
        <v>2299.0695074976898</v>
      </c>
      <c r="O76" s="428">
        <f t="shared" si="28"/>
        <v>3372.5237699681666</v>
      </c>
      <c r="P76" s="428">
        <f t="shared" si="28"/>
        <v>4465.8346171901912</v>
      </c>
      <c r="Q76" s="428">
        <f t="shared" si="28"/>
        <v>5618.172905458403</v>
      </c>
    </row>
    <row r="77" spans="2:18" ht="15.6">
      <c r="B77" s="101">
        <v>2</v>
      </c>
      <c r="C77" s="101" t="s">
        <v>521</v>
      </c>
      <c r="D77" s="185"/>
      <c r="E77" s="185"/>
      <c r="F77" s="428"/>
      <c r="G77" s="428">
        <f>G27+G24-G63</f>
        <v>551.94000000000028</v>
      </c>
      <c r="H77" s="428">
        <f t="shared" ref="H77:Q77" si="29">H27+H24-H63</f>
        <v>678.66000000000031</v>
      </c>
      <c r="I77" s="428">
        <f t="shared" si="29"/>
        <v>711.31</v>
      </c>
      <c r="J77" s="428">
        <f t="shared" si="29"/>
        <v>380.59999999999991</v>
      </c>
      <c r="K77" s="428">
        <f t="shared" si="29"/>
        <v>539.56999999999994</v>
      </c>
      <c r="L77" s="429">
        <f t="shared" si="29"/>
        <v>686.34000000000015</v>
      </c>
      <c r="M77" s="428">
        <f t="shared" si="29"/>
        <v>765.57425953098846</v>
      </c>
      <c r="N77" s="428">
        <f t="shared" si="29"/>
        <v>829.9432380449266</v>
      </c>
      <c r="O77" s="428">
        <f t="shared" si="29"/>
        <v>887.79000258946826</v>
      </c>
      <c r="P77" s="428">
        <f t="shared" si="29"/>
        <v>951.09475352003619</v>
      </c>
      <c r="Q77" s="428">
        <f t="shared" si="29"/>
        <v>1009.2562135199805</v>
      </c>
    </row>
    <row r="78" spans="2:18" ht="15.6">
      <c r="B78" s="101">
        <v>3</v>
      </c>
      <c r="C78" s="101" t="s">
        <v>541</v>
      </c>
      <c r="D78" s="185"/>
      <c r="E78" s="185"/>
      <c r="F78" s="428"/>
      <c r="G78" s="428">
        <f>G44+G56-G42</f>
        <v>6240.66</v>
      </c>
      <c r="H78" s="428">
        <f t="shared" ref="H78:Q78" si="30">H44+H56-H42</f>
        <v>5744.9500000000007</v>
      </c>
      <c r="I78" s="428">
        <f t="shared" si="30"/>
        <v>6853.67</v>
      </c>
      <c r="J78" s="428">
        <f t="shared" si="30"/>
        <v>7876.25</v>
      </c>
      <c r="K78" s="428">
        <f t="shared" si="30"/>
        <v>8921.44</v>
      </c>
      <c r="L78" s="429">
        <f t="shared" si="30"/>
        <v>9576.77</v>
      </c>
      <c r="M78" s="428">
        <f t="shared" si="30"/>
        <v>10487.833586460461</v>
      </c>
      <c r="N78" s="428">
        <f t="shared" si="30"/>
        <v>11528.032600164492</v>
      </c>
      <c r="O78" s="428">
        <f t="shared" si="30"/>
        <v>12646.283189956212</v>
      </c>
      <c r="P78" s="428">
        <f t="shared" si="30"/>
        <v>13848.949717497097</v>
      </c>
      <c r="Q78" s="428">
        <f t="shared" si="30"/>
        <v>15155.825736493098</v>
      </c>
      <c r="R78" s="2" t="s">
        <v>542</v>
      </c>
    </row>
    <row r="79" spans="2:18" ht="15.6">
      <c r="B79" s="101">
        <v>4</v>
      </c>
      <c r="C79" s="101" t="s">
        <v>551</v>
      </c>
      <c r="D79" s="185"/>
      <c r="E79" s="185"/>
      <c r="F79" s="428"/>
      <c r="G79" s="428">
        <f>G40+G41</f>
        <v>5706.5199999999995</v>
      </c>
      <c r="H79" s="428">
        <f t="shared" ref="H79:Q79" si="31">H40+H41</f>
        <v>5631.68</v>
      </c>
      <c r="I79" s="428">
        <f t="shared" si="31"/>
        <v>6605.75</v>
      </c>
      <c r="J79" s="428">
        <f t="shared" si="31"/>
        <v>7663.53</v>
      </c>
      <c r="K79" s="428">
        <f t="shared" si="31"/>
        <v>8381.3000000000011</v>
      </c>
      <c r="L79" s="429">
        <f t="shared" si="31"/>
        <v>8973.26</v>
      </c>
      <c r="M79" s="428">
        <f t="shared" si="31"/>
        <v>9884.3235864604612</v>
      </c>
      <c r="N79" s="428">
        <f t="shared" si="31"/>
        <v>10924.522600164491</v>
      </c>
      <c r="O79" s="428">
        <f t="shared" si="31"/>
        <v>12042.773189956211</v>
      </c>
      <c r="P79" s="428">
        <f t="shared" si="31"/>
        <v>13245.439717497096</v>
      </c>
      <c r="Q79" s="428">
        <f t="shared" si="31"/>
        <v>14552.315736493098</v>
      </c>
    </row>
    <row r="80" spans="2:18" ht="15.6">
      <c r="B80" s="101">
        <v>5</v>
      </c>
      <c r="C80" s="101" t="s">
        <v>563</v>
      </c>
      <c r="D80" s="185"/>
      <c r="E80" s="185"/>
      <c r="F80" s="428"/>
      <c r="G80" s="428">
        <f>G51+G62</f>
        <v>828.82999999999993</v>
      </c>
      <c r="H80" s="428">
        <f t="shared" ref="H80:Q80" si="32">H51+H62</f>
        <v>524.28</v>
      </c>
      <c r="I80" s="428">
        <f t="shared" si="32"/>
        <v>467.13</v>
      </c>
      <c r="J80" s="428">
        <f t="shared" si="32"/>
        <v>483.27</v>
      </c>
      <c r="K80" s="428">
        <f t="shared" si="32"/>
        <v>867.65</v>
      </c>
      <c r="L80" s="429">
        <f t="shared" si="32"/>
        <v>999.02</v>
      </c>
      <c r="M80" s="428">
        <f t="shared" si="32"/>
        <v>999.02</v>
      </c>
      <c r="N80" s="428">
        <f t="shared" si="32"/>
        <v>999.02</v>
      </c>
      <c r="O80" s="428">
        <f t="shared" si="32"/>
        <v>999.02</v>
      </c>
      <c r="P80" s="428">
        <f t="shared" si="32"/>
        <v>999.02</v>
      </c>
      <c r="Q80" s="428">
        <f t="shared" si="32"/>
        <v>999.02</v>
      </c>
    </row>
    <row r="81" spans="2:18" ht="15.6">
      <c r="B81" s="101">
        <v>6</v>
      </c>
      <c r="C81" s="101" t="s">
        <v>582</v>
      </c>
      <c r="D81" s="185"/>
      <c r="E81" s="185"/>
      <c r="F81" s="428"/>
      <c r="G81" s="428">
        <f>G44-G42</f>
        <v>5706.5199999999995</v>
      </c>
      <c r="H81" s="428">
        <f t="shared" ref="H81:Q81" si="33">H44-H42</f>
        <v>5631.68</v>
      </c>
      <c r="I81" s="428">
        <f t="shared" si="33"/>
        <v>6605.75</v>
      </c>
      <c r="J81" s="428">
        <f t="shared" si="33"/>
        <v>7663.53</v>
      </c>
      <c r="K81" s="428">
        <f t="shared" si="33"/>
        <v>8381.3000000000011</v>
      </c>
      <c r="L81" s="429">
        <f t="shared" si="33"/>
        <v>8973.26</v>
      </c>
      <c r="M81" s="428">
        <f t="shared" si="33"/>
        <v>9884.3235864604612</v>
      </c>
      <c r="N81" s="428">
        <f t="shared" si="33"/>
        <v>10924.522600164491</v>
      </c>
      <c r="O81" s="428">
        <f t="shared" si="33"/>
        <v>12042.773189956211</v>
      </c>
      <c r="P81" s="428">
        <f t="shared" si="33"/>
        <v>13245.439717497096</v>
      </c>
      <c r="Q81" s="428">
        <f t="shared" si="33"/>
        <v>14552.315736493098</v>
      </c>
      <c r="R81" s="2" t="s">
        <v>584</v>
      </c>
    </row>
    <row r="82" spans="2:18" ht="15.6">
      <c r="B82" s="101">
        <v>7</v>
      </c>
      <c r="C82" s="101" t="s">
        <v>590</v>
      </c>
      <c r="D82" s="185"/>
      <c r="E82" s="185"/>
      <c r="F82" s="428"/>
      <c r="G82" s="428"/>
      <c r="H82" s="428"/>
      <c r="I82" s="428"/>
      <c r="J82" s="428"/>
      <c r="K82" s="428"/>
      <c r="L82" s="429"/>
      <c r="M82" s="428"/>
      <c r="N82" s="428"/>
      <c r="O82" s="428"/>
      <c r="P82" s="428"/>
      <c r="Q82" s="428"/>
    </row>
    <row r="83" spans="2:18" ht="15.6">
      <c r="B83" s="185"/>
      <c r="D83" s="206" t="s">
        <v>161</v>
      </c>
      <c r="E83" s="185" t="s">
        <v>591</v>
      </c>
      <c r="F83" s="428"/>
      <c r="G83" s="428" t="s">
        <v>158</v>
      </c>
      <c r="H83" s="428" t="s">
        <v>158</v>
      </c>
      <c r="I83" s="428" t="s">
        <v>158</v>
      </c>
      <c r="J83" s="428" t="s">
        <v>158</v>
      </c>
      <c r="K83" s="428" t="s">
        <v>158</v>
      </c>
      <c r="L83" s="429">
        <f>'P&amp;L(OUTPUT)'!L50*'Ratio analysis'!$G$117</f>
        <v>99467.199999999997</v>
      </c>
      <c r="M83" s="428"/>
      <c r="N83" s="428"/>
      <c r="O83" s="428"/>
      <c r="P83" s="428"/>
      <c r="Q83" s="428"/>
      <c r="R83" s="2" t="s">
        <v>608</v>
      </c>
    </row>
    <row r="84" spans="2:18" ht="15.6">
      <c r="B84" s="185"/>
      <c r="C84" s="185"/>
      <c r="D84" s="206" t="s">
        <v>161</v>
      </c>
      <c r="E84" s="185" t="s">
        <v>609</v>
      </c>
      <c r="F84" s="428"/>
      <c r="G84" s="428" t="s">
        <v>158</v>
      </c>
      <c r="H84" s="428" t="s">
        <v>158</v>
      </c>
      <c r="I84" s="428" t="s">
        <v>158</v>
      </c>
      <c r="J84" s="428" t="s">
        <v>158</v>
      </c>
      <c r="K84" s="428" t="s">
        <v>158</v>
      </c>
      <c r="L84" s="429">
        <f>L51+L62</f>
        <v>999.02</v>
      </c>
      <c r="M84" s="428"/>
      <c r="N84" s="428"/>
      <c r="O84" s="428"/>
      <c r="P84" s="428"/>
      <c r="Q84" s="428"/>
      <c r="R84" s="2" t="s">
        <v>616</v>
      </c>
    </row>
    <row r="85" spans="2:18" ht="15.6">
      <c r="B85" s="185"/>
      <c r="C85" s="101"/>
      <c r="D85" s="206" t="s">
        <v>161</v>
      </c>
      <c r="E85" s="185" t="s">
        <v>156</v>
      </c>
      <c r="F85" s="428"/>
      <c r="G85" s="428" t="s">
        <v>158</v>
      </c>
      <c r="H85" s="428" t="s">
        <v>158</v>
      </c>
      <c r="I85" s="428" t="s">
        <v>158</v>
      </c>
      <c r="J85" s="428" t="s">
        <v>158</v>
      </c>
      <c r="K85" s="428" t="s">
        <v>158</v>
      </c>
      <c r="L85" s="429">
        <f>'NCI value'!$K$7</f>
        <v>578.61900000000003</v>
      </c>
      <c r="M85" s="428"/>
      <c r="N85" s="428"/>
      <c r="O85" s="428"/>
      <c r="P85" s="428"/>
      <c r="Q85" s="428"/>
    </row>
    <row r="86" spans="2:18" ht="15.6">
      <c r="B86" s="185"/>
      <c r="C86" s="185"/>
      <c r="D86" s="206" t="s">
        <v>617</v>
      </c>
      <c r="E86" s="185" t="s">
        <v>618</v>
      </c>
      <c r="F86" s="428"/>
      <c r="G86" s="428" t="s">
        <v>158</v>
      </c>
      <c r="H86" s="428" t="s">
        <v>158</v>
      </c>
      <c r="I86" s="428" t="s">
        <v>158</v>
      </c>
      <c r="J86" s="428" t="s">
        <v>158</v>
      </c>
      <c r="K86" s="428" t="s">
        <v>158</v>
      </c>
      <c r="L86" s="429">
        <f>L26</f>
        <v>1062.3899999999999</v>
      </c>
      <c r="M86" s="428"/>
      <c r="N86" s="428"/>
      <c r="O86" s="428"/>
      <c r="P86" s="428"/>
      <c r="Q86" s="428"/>
    </row>
    <row r="87" spans="2:18" ht="15.6">
      <c r="B87" s="185"/>
      <c r="C87" s="185"/>
      <c r="D87" s="206"/>
      <c r="E87" s="185"/>
      <c r="F87" s="428"/>
      <c r="G87" s="428"/>
      <c r="H87" s="428"/>
      <c r="I87" s="428"/>
      <c r="J87" s="428"/>
      <c r="K87" s="428"/>
      <c r="L87" s="429"/>
      <c r="M87" s="428"/>
      <c r="N87" s="428"/>
      <c r="O87" s="428"/>
      <c r="P87" s="428"/>
      <c r="Q87" s="428"/>
    </row>
    <row r="88" spans="2:18" ht="15.6">
      <c r="B88" s="185"/>
      <c r="C88" s="101" t="s">
        <v>343</v>
      </c>
      <c r="D88" s="191" t="s">
        <v>619</v>
      </c>
      <c r="E88" s="192"/>
      <c r="F88" s="430"/>
      <c r="G88" s="430"/>
      <c r="H88" s="430"/>
      <c r="I88" s="430"/>
      <c r="J88" s="430"/>
      <c r="K88" s="430"/>
      <c r="L88" s="431">
        <f>SUM(L83:L85)-L86</f>
        <v>99982.449000000008</v>
      </c>
      <c r="M88" s="430">
        <f t="shared" ref="M88:Q88" si="34">SUM(M83:M85)-M86</f>
        <v>0</v>
      </c>
      <c r="N88" s="430">
        <f t="shared" si="34"/>
        <v>0</v>
      </c>
      <c r="O88" s="430">
        <f t="shared" si="34"/>
        <v>0</v>
      </c>
      <c r="P88" s="430">
        <f t="shared" si="34"/>
        <v>0</v>
      </c>
      <c r="Q88" s="430">
        <f t="shared" si="34"/>
        <v>0</v>
      </c>
    </row>
    <row r="89" spans="2:18">
      <c r="B89" s="185"/>
      <c r="C89" s="185"/>
      <c r="D89" s="185"/>
      <c r="E89" s="185"/>
      <c r="F89" s="428"/>
      <c r="G89" s="428"/>
      <c r="H89" s="428"/>
      <c r="I89" s="428"/>
      <c r="J89" s="428"/>
      <c r="K89" s="428"/>
      <c r="L89" s="429"/>
      <c r="M89" s="428"/>
      <c r="N89" s="428"/>
      <c r="O89" s="428"/>
      <c r="P89" s="428"/>
      <c r="Q89" s="428"/>
    </row>
    <row r="90" spans="2:18">
      <c r="B90" s="185"/>
      <c r="C90" s="185"/>
      <c r="D90" s="185"/>
      <c r="E90" s="185"/>
      <c r="F90" s="428"/>
      <c r="G90" s="428"/>
      <c r="H90" s="428"/>
      <c r="I90" s="428"/>
      <c r="J90" s="428"/>
      <c r="K90" s="428"/>
      <c r="L90" s="429"/>
      <c r="M90" s="428"/>
      <c r="N90" s="428"/>
      <c r="O90" s="428"/>
      <c r="P90" s="428"/>
      <c r="Q90" s="428"/>
    </row>
    <row r="91" spans="2:18" ht="15.6">
      <c r="B91" s="101">
        <v>8</v>
      </c>
      <c r="C91" s="101" t="s">
        <v>763</v>
      </c>
      <c r="D91" s="185"/>
      <c r="E91" s="185"/>
      <c r="F91" s="428"/>
      <c r="G91" s="428"/>
      <c r="H91" s="428"/>
      <c r="I91" s="428"/>
      <c r="J91" s="428"/>
      <c r="K91" s="428"/>
      <c r="L91" s="429"/>
      <c r="M91" s="428"/>
      <c r="N91" s="428"/>
      <c r="O91" s="428"/>
      <c r="P91" s="428"/>
      <c r="Q91" s="428"/>
    </row>
    <row r="92" spans="2:18">
      <c r="B92" s="185"/>
      <c r="C92" s="185"/>
      <c r="D92" s="185" t="s">
        <v>116</v>
      </c>
      <c r="E92" s="185"/>
      <c r="F92" s="428"/>
      <c r="G92" s="428">
        <f>BS!G19</f>
        <v>74.08</v>
      </c>
      <c r="H92" s="428">
        <f>BS!H19</f>
        <v>88.13</v>
      </c>
      <c r="I92" s="428">
        <f>BS!I19</f>
        <v>89.06</v>
      </c>
      <c r="J92" s="428">
        <f>BS!J19</f>
        <v>133.97999999999999</v>
      </c>
      <c r="K92" s="428">
        <f>BS!K19</f>
        <v>98.74</v>
      </c>
      <c r="L92" s="429">
        <f>BS!L19</f>
        <v>85.87</v>
      </c>
      <c r="M92" s="428">
        <f>L92</f>
        <v>85.87</v>
      </c>
      <c r="N92" s="428">
        <f t="shared" ref="N92:Q92" si="35">M92</f>
        <v>85.87</v>
      </c>
      <c r="O92" s="428">
        <f t="shared" si="35"/>
        <v>85.87</v>
      </c>
      <c r="P92" s="428">
        <f t="shared" si="35"/>
        <v>85.87</v>
      </c>
      <c r="Q92" s="428">
        <f t="shared" si="35"/>
        <v>85.87</v>
      </c>
      <c r="R92" s="2" t="s">
        <v>764</v>
      </c>
    </row>
    <row r="93" spans="2:18">
      <c r="B93" s="185"/>
      <c r="C93" s="185"/>
      <c r="D93" s="185" t="s">
        <v>108</v>
      </c>
      <c r="E93" s="185"/>
      <c r="F93" s="428"/>
      <c r="G93" s="428">
        <f>G16-G92</f>
        <v>54.160000000000011</v>
      </c>
      <c r="H93" s="428">
        <f t="shared" ref="H93:L93" si="36">H16-H92</f>
        <v>52.099999999999994</v>
      </c>
      <c r="I93" s="428">
        <f t="shared" si="36"/>
        <v>51.550000000000011</v>
      </c>
      <c r="J93" s="428">
        <f t="shared" si="36"/>
        <v>50.5</v>
      </c>
      <c r="K93" s="428">
        <f t="shared" si="36"/>
        <v>49.070000000000007</v>
      </c>
      <c r="L93" s="429">
        <f t="shared" si="36"/>
        <v>47.050000000000011</v>
      </c>
      <c r="M93" s="428">
        <f>'Fixed asset Schedule'!M49</f>
        <v>46.037992193415185</v>
      </c>
      <c r="N93" s="428">
        <f>'Fixed asset Schedule'!N49</f>
        <v>45.047751863994847</v>
      </c>
      <c r="O93" s="428">
        <f>'Fixed asset Schedule'!O49</f>
        <v>44.078810810743875</v>
      </c>
      <c r="P93" s="428">
        <f>'Fixed asset Schedule'!P49</f>
        <v>43.130710903295459</v>
      </c>
      <c r="Q93" s="428">
        <f>'Fixed asset Schedule'!Q49</f>
        <v>42.203003865299969</v>
      </c>
    </row>
    <row r="94" spans="2:18">
      <c r="B94" s="185"/>
      <c r="C94" s="185"/>
      <c r="D94" s="185"/>
      <c r="E94" s="185"/>
      <c r="F94" s="428"/>
      <c r="G94" s="428"/>
      <c r="H94" s="428"/>
      <c r="I94" s="428"/>
      <c r="J94" s="428"/>
      <c r="K94" s="428"/>
      <c r="L94" s="429"/>
      <c r="M94" s="428"/>
      <c r="N94" s="428"/>
      <c r="O94" s="428"/>
      <c r="P94" s="428"/>
      <c r="Q94" s="428"/>
    </row>
    <row r="95" spans="2:18" ht="15.6">
      <c r="B95" s="101"/>
      <c r="C95" s="101"/>
      <c r="D95" s="185"/>
      <c r="E95" s="185"/>
      <c r="F95" s="428"/>
      <c r="G95" s="428"/>
      <c r="H95" s="428"/>
      <c r="I95" s="428"/>
      <c r="J95" s="428"/>
      <c r="K95" s="428"/>
      <c r="L95" s="429"/>
      <c r="M95" s="428"/>
      <c r="N95" s="428"/>
      <c r="O95" s="428"/>
      <c r="P95" s="428"/>
      <c r="Q95" s="428"/>
    </row>
    <row r="96" spans="2:18">
      <c r="B96" s="185"/>
      <c r="C96" s="185"/>
      <c r="D96" s="185"/>
      <c r="E96" s="185"/>
      <c r="F96" s="428"/>
      <c r="G96" s="428"/>
      <c r="H96" s="428"/>
      <c r="I96" s="428"/>
      <c r="J96" s="428"/>
      <c r="K96" s="428"/>
      <c r="L96" s="429"/>
      <c r="M96" s="428"/>
      <c r="N96" s="428"/>
      <c r="O96" s="428"/>
      <c r="P96" s="428"/>
      <c r="Q96" s="428"/>
    </row>
    <row r="97" spans="2:17">
      <c r="B97" s="185"/>
      <c r="C97" s="185"/>
      <c r="D97" s="185"/>
      <c r="E97" s="185"/>
      <c r="L97" s="155"/>
    </row>
    <row r="98" spans="2:17" ht="15.6">
      <c r="B98" s="185"/>
      <c r="C98" s="101" t="s">
        <v>1021</v>
      </c>
      <c r="D98" s="185"/>
      <c r="E98" s="185"/>
      <c r="L98" s="155"/>
    </row>
    <row r="99" spans="2:17">
      <c r="B99" s="185"/>
      <c r="C99" s="185"/>
      <c r="D99" s="185"/>
      <c r="E99" s="185"/>
      <c r="L99" s="155"/>
    </row>
    <row r="100" spans="2:17" ht="15.6">
      <c r="B100" s="101" t="s">
        <v>863</v>
      </c>
      <c r="C100" s="185" t="s">
        <v>858</v>
      </c>
      <c r="D100" s="185"/>
      <c r="E100" s="185"/>
      <c r="L100" s="155"/>
    </row>
    <row r="101" spans="2:17">
      <c r="B101" s="185" t="s">
        <v>859</v>
      </c>
      <c r="C101" s="185"/>
      <c r="D101" s="185"/>
      <c r="K101" s="155"/>
      <c r="L101" s="155"/>
      <c r="M101" s="207">
        <f>M72-M36</f>
        <v>0</v>
      </c>
      <c r="N101" s="207">
        <f t="shared" ref="N101:Q101" si="37">N72-N36</f>
        <v>0</v>
      </c>
      <c r="O101" s="207">
        <f t="shared" si="37"/>
        <v>0</v>
      </c>
      <c r="P101" s="207">
        <f t="shared" si="37"/>
        <v>0</v>
      </c>
      <c r="Q101" s="207">
        <f t="shared" si="37"/>
        <v>0</v>
      </c>
    </row>
    <row r="102" spans="2:17">
      <c r="B102" s="185"/>
      <c r="C102" s="185"/>
      <c r="D102" s="185"/>
      <c r="E102" s="185"/>
      <c r="L102" s="155"/>
    </row>
    <row r="103" spans="2:17" ht="15.6">
      <c r="B103" s="101" t="s">
        <v>864</v>
      </c>
      <c r="C103" s="185" t="s">
        <v>861</v>
      </c>
      <c r="D103" s="185"/>
      <c r="E103" s="387">
        <v>0.4</v>
      </c>
      <c r="F103" s="185" t="s">
        <v>862</v>
      </c>
      <c r="L103" s="155"/>
    </row>
    <row r="104" spans="2:17">
      <c r="B104" s="185"/>
      <c r="C104" s="185"/>
      <c r="D104" s="185"/>
      <c r="E104" s="185"/>
      <c r="L104" s="155"/>
    </row>
    <row r="105" spans="2:17" ht="15.6">
      <c r="B105" s="101" t="s">
        <v>865</v>
      </c>
      <c r="C105" s="389" t="str">
        <f>"This font style is applicable for cells with formulas that used hardcoded numbers"</f>
        <v>This font style is applicable for cells with formulas that used hardcoded numbers</v>
      </c>
      <c r="D105" s="390"/>
      <c r="E105" s="390"/>
      <c r="F105" s="391"/>
      <c r="L105" s="155"/>
    </row>
    <row r="106" spans="2:17">
      <c r="B106" s="185"/>
      <c r="C106" s="185"/>
      <c r="D106" s="185"/>
      <c r="E106" s="185"/>
      <c r="L106" s="155"/>
    </row>
    <row r="107" spans="2:17" ht="15.6">
      <c r="B107" s="101" t="s">
        <v>885</v>
      </c>
      <c r="C107" s="185" t="s">
        <v>886</v>
      </c>
      <c r="D107" s="185"/>
      <c r="E107" s="185"/>
      <c r="L107" s="155"/>
    </row>
    <row r="108" spans="2:17">
      <c r="B108" s="185"/>
      <c r="C108" s="185"/>
      <c r="D108" s="185"/>
      <c r="E108" s="185"/>
      <c r="L108" s="155"/>
    </row>
    <row r="109" spans="2:17" ht="15.6">
      <c r="B109" s="101" t="s">
        <v>923</v>
      </c>
      <c r="C109" s="185" t="s">
        <v>924</v>
      </c>
      <c r="D109" s="185"/>
      <c r="E109" s="185"/>
      <c r="L109" s="155"/>
    </row>
    <row r="110" spans="2:17" ht="15.6">
      <c r="B110" s="185"/>
      <c r="C110" s="185"/>
      <c r="D110" s="185"/>
      <c r="E110" s="185"/>
      <c r="F110" s="221"/>
      <c r="L110" s="155"/>
    </row>
    <row r="111" spans="2:17" ht="15.6">
      <c r="B111" s="101" t="s">
        <v>951</v>
      </c>
      <c r="C111" s="185" t="s">
        <v>970</v>
      </c>
      <c r="D111" s="185"/>
      <c r="E111" s="185"/>
      <c r="F111" s="128"/>
      <c r="L111" s="155"/>
    </row>
    <row r="112" spans="2:17">
      <c r="B112" s="185"/>
      <c r="C112" s="185"/>
      <c r="D112" s="185"/>
      <c r="E112" s="185"/>
      <c r="F112" s="128"/>
      <c r="L112" s="155"/>
    </row>
    <row r="113" spans="2:12" ht="15.6">
      <c r="B113" s="101" t="s">
        <v>971</v>
      </c>
      <c r="C113" s="185" t="s">
        <v>1066</v>
      </c>
      <c r="D113" s="185"/>
      <c r="E113" s="185"/>
      <c r="F113" s="154"/>
      <c r="L113" s="155"/>
    </row>
    <row r="114" spans="2:12">
      <c r="B114" s="185"/>
      <c r="C114" s="185"/>
      <c r="D114" s="185"/>
      <c r="E114" s="185"/>
      <c r="L114" s="155"/>
    </row>
    <row r="115" spans="2:12">
      <c r="B115" s="185"/>
      <c r="C115" s="185"/>
      <c r="D115" s="185"/>
      <c r="E115" s="185"/>
      <c r="L115" s="155"/>
    </row>
    <row r="116" spans="2:12">
      <c r="B116" s="185"/>
      <c r="C116" s="185"/>
      <c r="D116" s="185"/>
      <c r="E116" s="185"/>
      <c r="L116" s="155"/>
    </row>
    <row r="117" spans="2:12">
      <c r="B117" s="185"/>
      <c r="C117" s="185"/>
      <c r="D117" s="185"/>
      <c r="E117" s="185"/>
      <c r="L117" s="155"/>
    </row>
    <row r="118" spans="2:12">
      <c r="B118" s="185"/>
      <c r="C118" s="185"/>
      <c r="D118" s="185"/>
      <c r="E118" s="185"/>
      <c r="L118" s="155"/>
    </row>
    <row r="119" spans="2:12">
      <c r="L119" s="155"/>
    </row>
    <row r="120" spans="2:12">
      <c r="L120" s="155"/>
    </row>
    <row r="121" spans="2:12">
      <c r="L121" s="155"/>
    </row>
    <row r="122" spans="2:12">
      <c r="L122" s="155"/>
    </row>
    <row r="123" spans="2:12">
      <c r="L123" s="155"/>
    </row>
    <row r="124" spans="2:12">
      <c r="L124" s="155"/>
    </row>
  </sheetData>
  <hyperlinks>
    <hyperlink ref="B1" location="Forecasting!L15" display="Forecasting sheet Link" xr:uid="{EC3D6FC0-0E5C-490E-A63D-AA7FCF038BAB}"/>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C8163-CDB7-4996-94E4-0AFF4A88116D}">
  <sheetPr codeName="Sheet24"/>
  <dimension ref="A1:R101"/>
  <sheetViews>
    <sheetView showGridLines="0" zoomScaleNormal="100" workbookViewId="0">
      <pane ySplit="3" topLeftCell="A4" activePane="bottomLeft" state="frozen"/>
      <selection activeCell="C2" sqref="C2"/>
      <selection pane="bottomLeft" activeCell="C75" sqref="C75:N78"/>
    </sheetView>
  </sheetViews>
  <sheetFormatPr defaultColWidth="11.77734375" defaultRowHeight="15"/>
  <cols>
    <col min="1" max="1" width="2.6640625" style="119" customWidth="1"/>
    <col min="2" max="5" width="15.5546875" style="119" customWidth="1"/>
    <col min="6" max="6" width="16.88671875" style="119" customWidth="1"/>
    <col min="7" max="17" width="15.5546875" style="119" customWidth="1"/>
    <col min="18" max="18" width="106.21875" style="119" customWidth="1"/>
    <col min="19" max="24" width="15.5546875" style="119" customWidth="1"/>
    <col min="25" max="16384" width="11.77734375" style="119"/>
  </cols>
  <sheetData>
    <row r="1" spans="2:18" s="2" customFormat="1" ht="23.4">
      <c r="B1" s="456" t="s">
        <v>1017</v>
      </c>
      <c r="L1" s="157"/>
    </row>
    <row r="2" spans="2:18" s="2" customFormat="1" ht="15.6">
      <c r="F2" s="3" t="s">
        <v>82</v>
      </c>
      <c r="G2" s="119" t="s">
        <v>350</v>
      </c>
      <c r="H2" s="119" t="s">
        <v>350</v>
      </c>
      <c r="I2" s="119" t="s">
        <v>350</v>
      </c>
      <c r="J2" s="119" t="s">
        <v>350</v>
      </c>
      <c r="K2" s="119" t="s">
        <v>350</v>
      </c>
      <c r="L2" s="155" t="s">
        <v>350</v>
      </c>
      <c r="M2" s="119" t="s">
        <v>351</v>
      </c>
      <c r="N2" s="119" t="s">
        <v>351</v>
      </c>
      <c r="O2" s="119" t="s">
        <v>351</v>
      </c>
      <c r="P2" s="119" t="s">
        <v>351</v>
      </c>
      <c r="Q2" s="119" t="s">
        <v>351</v>
      </c>
    </row>
    <row r="3" spans="2:18" s="2" customFormat="1">
      <c r="C3" s="121" t="s">
        <v>356</v>
      </c>
      <c r="D3" s="120"/>
      <c r="E3" s="120"/>
      <c r="F3" s="120"/>
      <c r="G3" s="127" t="s">
        <v>41</v>
      </c>
      <c r="H3" s="127" t="s">
        <v>42</v>
      </c>
      <c r="I3" s="127" t="s">
        <v>43</v>
      </c>
      <c r="J3" s="127" t="s">
        <v>44</v>
      </c>
      <c r="K3" s="127" t="s">
        <v>45</v>
      </c>
      <c r="L3" s="156" t="s">
        <v>46</v>
      </c>
      <c r="M3" s="127" t="s">
        <v>349</v>
      </c>
      <c r="N3" s="127" t="s">
        <v>352</v>
      </c>
      <c r="O3" s="127" t="s">
        <v>353</v>
      </c>
      <c r="P3" s="127" t="s">
        <v>354</v>
      </c>
      <c r="Q3" s="127" t="s">
        <v>355</v>
      </c>
      <c r="R3" s="130" t="s">
        <v>365</v>
      </c>
    </row>
    <row r="4" spans="2:18" ht="15.6">
      <c r="L4" s="181"/>
      <c r="R4" s="185"/>
    </row>
    <row r="5" spans="2:18">
      <c r="L5" s="155"/>
      <c r="R5" s="185"/>
    </row>
    <row r="6" spans="2:18">
      <c r="B6" s="185"/>
      <c r="C6" s="185"/>
      <c r="D6" s="185"/>
      <c r="L6" s="155"/>
      <c r="R6" s="185"/>
    </row>
    <row r="7" spans="2:18" ht="15.6">
      <c r="B7" s="185"/>
      <c r="C7" s="101" t="s">
        <v>363</v>
      </c>
      <c r="D7" s="185"/>
      <c r="G7" s="128">
        <f>'P&amp;L'!G8+'P&amp;L'!G14</f>
        <v>7721.85</v>
      </c>
      <c r="H7" s="119">
        <f>'P&amp;L'!H8+'P&amp;L'!H14</f>
        <v>8514.99</v>
      </c>
      <c r="I7" s="119">
        <f>'P&amp;L'!I8+'P&amp;L'!I14</f>
        <v>8684.64</v>
      </c>
      <c r="J7" s="119">
        <f>'P&amp;L'!J8+'P&amp;L'!J14</f>
        <v>9546.6</v>
      </c>
      <c r="K7" s="119">
        <f>'P&amp;L'!K8+'P&amp;L'!K14</f>
        <v>10888.68</v>
      </c>
      <c r="L7" s="155">
        <f>'P&amp;L'!L8+'P&amp;L'!L14</f>
        <v>11529.89</v>
      </c>
      <c r="M7" s="128">
        <f>'Revenue '!M5</f>
        <v>12636.726650000001</v>
      </c>
      <c r="N7" s="128">
        <f>'Revenue '!N5</f>
        <v>13838.367231556902</v>
      </c>
      <c r="O7" s="128">
        <f>'Revenue '!O5</f>
        <v>14876.24477392367</v>
      </c>
      <c r="P7" s="128">
        <f>'Revenue '!P5</f>
        <v>15917.581908098327</v>
      </c>
      <c r="Q7" s="128">
        <f>'Revenue '!Q5</f>
        <v>16952.22473212472</v>
      </c>
      <c r="R7" s="185" t="s">
        <v>1040</v>
      </c>
    </row>
    <row r="8" spans="2:18">
      <c r="B8" s="185"/>
      <c r="C8" s="185"/>
      <c r="D8" s="185"/>
      <c r="L8" s="155"/>
      <c r="R8" s="185"/>
    </row>
    <row r="9" spans="2:18" ht="15.6">
      <c r="B9" s="185"/>
      <c r="C9" s="101" t="s">
        <v>361</v>
      </c>
      <c r="D9" s="185"/>
      <c r="G9" s="128">
        <f>'P&amp;L'!G13+'P&amp;L'!G16+'P&amp;L'!G15</f>
        <v>-3819.92</v>
      </c>
      <c r="H9" s="128">
        <f>'P&amp;L'!H13+'P&amp;L'!H16+'P&amp;L'!H15</f>
        <v>-4290.9699999999993</v>
      </c>
      <c r="I9" s="128">
        <f>'P&amp;L'!I13+'P&amp;L'!I16+'P&amp;L'!I15</f>
        <v>-4341.29</v>
      </c>
      <c r="J9" s="128">
        <f>'P&amp;L'!J13+'P&amp;L'!J16+'P&amp;L'!J15</f>
        <v>-4773.91</v>
      </c>
      <c r="K9" s="128">
        <f>'P&amp;L'!K13+'P&amp;L'!K16+'P&amp;L'!K15</f>
        <v>-5639.69</v>
      </c>
      <c r="L9" s="166">
        <f>'P&amp;L'!L13+'P&amp;L'!L16+'P&amp;L'!L15</f>
        <v>-6268.67</v>
      </c>
      <c r="M9" s="128">
        <f>COGS!M10*-1</f>
        <v>-6663.3459625450005</v>
      </c>
      <c r="N9" s="128">
        <f>COGS!N10*-1</f>
        <v>-7200.102470579056</v>
      </c>
      <c r="O9" s="128">
        <f>COGS!O10*-1</f>
        <v>-7695.4814215507149</v>
      </c>
      <c r="P9" s="128">
        <f>COGS!P10*-1</f>
        <v>-8218.2475391511671</v>
      </c>
      <c r="Q9" s="128">
        <f>COGS!Q10*-1</f>
        <v>-8718.5291797317423</v>
      </c>
      <c r="R9" s="131" t="s">
        <v>1041</v>
      </c>
    </row>
    <row r="10" spans="2:18" ht="15.6">
      <c r="B10" s="185"/>
      <c r="C10" s="101"/>
      <c r="D10" s="185"/>
      <c r="G10" s="128"/>
      <c r="H10" s="128"/>
      <c r="I10" s="128"/>
      <c r="J10" s="128"/>
      <c r="K10" s="128"/>
      <c r="L10" s="166"/>
      <c r="M10" s="128"/>
      <c r="N10" s="128"/>
      <c r="O10" s="128"/>
      <c r="P10" s="128"/>
      <c r="Q10" s="128"/>
      <c r="R10" s="185"/>
    </row>
    <row r="11" spans="2:18" ht="15.6">
      <c r="B11" s="185"/>
      <c r="C11" s="188" t="s">
        <v>362</v>
      </c>
      <c r="D11" s="189"/>
      <c r="E11" s="182"/>
      <c r="F11" s="182"/>
      <c r="G11" s="129">
        <f>G7+G9</f>
        <v>3901.9300000000003</v>
      </c>
      <c r="H11" s="129">
        <f t="shared" ref="H11:Q11" si="0">H7+H9</f>
        <v>4224.0200000000004</v>
      </c>
      <c r="I11" s="129">
        <f t="shared" si="0"/>
        <v>4343.3499999999995</v>
      </c>
      <c r="J11" s="129">
        <f t="shared" si="0"/>
        <v>4772.6900000000005</v>
      </c>
      <c r="K11" s="129">
        <f t="shared" si="0"/>
        <v>5248.9900000000007</v>
      </c>
      <c r="L11" s="167">
        <f t="shared" si="0"/>
        <v>5261.2199999999993</v>
      </c>
      <c r="M11" s="129">
        <f t="shared" si="0"/>
        <v>5973.380687455</v>
      </c>
      <c r="N11" s="129">
        <f t="shared" si="0"/>
        <v>6638.264760977846</v>
      </c>
      <c r="O11" s="129">
        <f t="shared" si="0"/>
        <v>7180.7633523729555</v>
      </c>
      <c r="P11" s="129">
        <f t="shared" si="0"/>
        <v>7699.3343689471603</v>
      </c>
      <c r="Q11" s="129">
        <f t="shared" si="0"/>
        <v>8233.6955523929773</v>
      </c>
      <c r="R11" s="185"/>
    </row>
    <row r="12" spans="2:18">
      <c r="B12" s="185"/>
      <c r="C12" s="190" t="s">
        <v>366</v>
      </c>
      <c r="D12" s="185"/>
      <c r="G12" s="132">
        <f t="shared" ref="G12:L12" si="1">IFERROR(G11/G$7,"-")</f>
        <v>0.50531025596197798</v>
      </c>
      <c r="H12" s="132">
        <f t="shared" si="1"/>
        <v>0.49606869767316231</v>
      </c>
      <c r="I12" s="132">
        <f t="shared" si="1"/>
        <v>0.50011860019528731</v>
      </c>
      <c r="J12" s="132">
        <f t="shared" si="1"/>
        <v>0.49993610290574658</v>
      </c>
      <c r="K12" s="132">
        <f t="shared" si="1"/>
        <v>0.48205934970997411</v>
      </c>
      <c r="L12" s="168">
        <f t="shared" si="1"/>
        <v>0.4563113785127178</v>
      </c>
      <c r="M12" s="132">
        <f t="shared" ref="M12:Q12" si="2">IFERROR(M11/M$7,"-")</f>
        <v>0.47270000000000001</v>
      </c>
      <c r="N12" s="132">
        <f t="shared" si="2"/>
        <v>0.47970000000000002</v>
      </c>
      <c r="O12" s="132">
        <f t="shared" si="2"/>
        <v>0.48269999999999996</v>
      </c>
      <c r="P12" s="132">
        <f t="shared" si="2"/>
        <v>0.48369999999999996</v>
      </c>
      <c r="Q12" s="132">
        <f t="shared" si="2"/>
        <v>0.48570000000000008</v>
      </c>
      <c r="R12" s="185"/>
    </row>
    <row r="13" spans="2:18">
      <c r="B13" s="185"/>
      <c r="C13" s="185"/>
      <c r="D13" s="185"/>
      <c r="G13" s="128"/>
      <c r="H13" s="128"/>
      <c r="I13" s="128"/>
      <c r="J13" s="128"/>
      <c r="K13" s="128"/>
      <c r="L13" s="166"/>
      <c r="M13" s="128"/>
      <c r="N13" s="128"/>
      <c r="O13" s="128"/>
      <c r="P13" s="128"/>
      <c r="Q13" s="128"/>
      <c r="R13" s="185"/>
    </row>
    <row r="14" spans="2:18" ht="15.6">
      <c r="B14" s="185"/>
      <c r="C14" s="101" t="s">
        <v>364</v>
      </c>
      <c r="D14" s="185"/>
      <c r="G14" s="128"/>
      <c r="H14" s="128"/>
      <c r="I14" s="128"/>
      <c r="J14" s="128"/>
      <c r="K14" s="128"/>
      <c r="L14" s="166"/>
      <c r="M14" s="128"/>
      <c r="N14" s="128"/>
      <c r="O14" s="128"/>
      <c r="P14" s="128"/>
      <c r="Q14" s="128"/>
      <c r="R14" s="185"/>
    </row>
    <row r="15" spans="2:18">
      <c r="B15" s="185"/>
      <c r="C15" s="185"/>
      <c r="D15" s="185"/>
      <c r="G15" s="128"/>
      <c r="H15" s="128"/>
      <c r="I15" s="128"/>
      <c r="J15" s="128"/>
      <c r="K15" s="128"/>
      <c r="L15" s="166"/>
      <c r="M15" s="128"/>
      <c r="N15" s="128"/>
      <c r="O15" s="128"/>
      <c r="P15" s="128"/>
      <c r="Q15" s="128"/>
      <c r="R15" s="185"/>
    </row>
    <row r="16" spans="2:18">
      <c r="B16" s="185"/>
      <c r="C16" s="185"/>
      <c r="D16" s="185" t="str">
        <f>'P&amp;L'!C17</f>
        <v>Employee benefits expense</v>
      </c>
      <c r="G16" s="128">
        <f>'P&amp;L'!G17</f>
        <v>-792.79</v>
      </c>
      <c r="H16" s="128">
        <f>'P&amp;L'!H17</f>
        <v>-937.91</v>
      </c>
      <c r="I16" s="128">
        <f>'P&amp;L'!I17</f>
        <v>-947.74</v>
      </c>
      <c r="J16" s="128">
        <f>'P&amp;L'!J17</f>
        <v>-1033.46</v>
      </c>
      <c r="K16" s="128">
        <f>'P&amp;L'!K17</f>
        <v>-1079.95</v>
      </c>
      <c r="L16" s="166">
        <f>'P&amp;L'!L17</f>
        <v>-1137</v>
      </c>
      <c r="M16" s="128">
        <f>OPEX!M6*-1</f>
        <v>-1263.6726650000001</v>
      </c>
      <c r="N16" s="128">
        <f>OPEX!N6*-1</f>
        <v>-1411.5134576188038</v>
      </c>
      <c r="O16" s="128">
        <f>OPEX!O6*-1</f>
        <v>-1562.0057012619855</v>
      </c>
      <c r="P16" s="128">
        <f>OPEX!P6*-1</f>
        <v>-1671.3461003503244</v>
      </c>
      <c r="Q16" s="128">
        <f>OPEX!Q6*-1</f>
        <v>-1779.9835968730954</v>
      </c>
      <c r="R16" s="185"/>
    </row>
    <row r="17" spans="2:18">
      <c r="B17" s="185"/>
      <c r="C17" s="185"/>
      <c r="D17" s="185" t="str">
        <f>'P&amp;L'!D23</f>
        <v>Advertisement and publicity</v>
      </c>
      <c r="G17" s="128">
        <f>'P&amp;L'!G23</f>
        <v>-606.71</v>
      </c>
      <c r="H17" s="128">
        <f>'P&amp;L'!H23</f>
        <v>-608.33000000000004</v>
      </c>
      <c r="I17" s="128">
        <f>'P&amp;L'!I23</f>
        <v>-649.98</v>
      </c>
      <c r="J17" s="128">
        <f>'P&amp;L'!J23</f>
        <v>-784.36</v>
      </c>
      <c r="K17" s="128">
        <f>'P&amp;L'!K23</f>
        <v>-777.94</v>
      </c>
      <c r="L17" s="166">
        <f>'P&amp;L'!L23</f>
        <v>-640.27</v>
      </c>
      <c r="M17" s="128">
        <f>OPEX!M7*-1</f>
        <v>-1048.8483119500002</v>
      </c>
      <c r="N17" s="128">
        <f>OPEX!N7*-1</f>
        <v>-1107.0693785245521</v>
      </c>
      <c r="O17" s="128">
        <f>OPEX!O7*-1</f>
        <v>-1190.0995819138936</v>
      </c>
      <c r="P17" s="128">
        <f>OPEX!P7*-1</f>
        <v>-1273.4065526478662</v>
      </c>
      <c r="Q17" s="128">
        <f>OPEX!Q7*-1</f>
        <v>-1322.2735291057281</v>
      </c>
      <c r="R17" s="185"/>
    </row>
    <row r="18" spans="2:18">
      <c r="B18" s="185"/>
      <c r="C18" s="185"/>
      <c r="D18" s="185" t="s">
        <v>367</v>
      </c>
      <c r="G18" s="128">
        <f>'P&amp;L'!G24</f>
        <v>-884.99</v>
      </c>
      <c r="H18" s="128">
        <f>'P&amp;L'!H24</f>
        <v>-938.22</v>
      </c>
      <c r="I18" s="128">
        <f>'P&amp;L'!I24</f>
        <v>-953.28</v>
      </c>
      <c r="J18" s="128">
        <f>'P&amp;L'!J24</f>
        <v>-952.19</v>
      </c>
      <c r="K18" s="128">
        <f>'P&amp;L'!K24</f>
        <v>-1137.29</v>
      </c>
      <c r="L18" s="166">
        <f>'P&amp;L'!L24</f>
        <v>-1319.83</v>
      </c>
      <c r="M18" s="128">
        <f>OPEX!M8*-1</f>
        <v>-1390.0399315</v>
      </c>
      <c r="N18" s="128">
        <f>OPEX!N8*-1</f>
        <v>-1522.2203954712593</v>
      </c>
      <c r="O18" s="128">
        <f>OPEX!O8*-1</f>
        <v>-1636.3869251316037</v>
      </c>
      <c r="P18" s="128">
        <f>OPEX!P8*-1</f>
        <v>-1750.934009890816</v>
      </c>
      <c r="Q18" s="128">
        <f>OPEX!Q8*-1</f>
        <v>-1864.7447205337191</v>
      </c>
      <c r="R18" s="185"/>
    </row>
    <row r="19" spans="2:18">
      <c r="B19" s="185"/>
      <c r="C19" s="185"/>
      <c r="D19" s="185"/>
      <c r="G19" s="128"/>
      <c r="H19" s="128"/>
      <c r="I19" s="128"/>
      <c r="J19" s="128"/>
      <c r="K19" s="128"/>
      <c r="L19" s="166"/>
      <c r="M19" s="128"/>
      <c r="N19" s="128"/>
      <c r="O19" s="128"/>
      <c r="P19" s="128"/>
      <c r="Q19" s="128"/>
      <c r="R19" s="185"/>
    </row>
    <row r="20" spans="2:18" ht="15.6">
      <c r="B20" s="185"/>
      <c r="C20" s="185"/>
      <c r="D20" s="101" t="s">
        <v>368</v>
      </c>
      <c r="G20" s="133">
        <f>SUM(G16:G18)</f>
        <v>-2284.4899999999998</v>
      </c>
      <c r="H20" s="133">
        <f t="shared" ref="H20:Q20" si="3">SUM(H16:H18)</f>
        <v>-2484.46</v>
      </c>
      <c r="I20" s="133">
        <f t="shared" si="3"/>
        <v>-2551</v>
      </c>
      <c r="J20" s="133">
        <f t="shared" si="3"/>
        <v>-2770.01</v>
      </c>
      <c r="K20" s="133">
        <f t="shared" si="3"/>
        <v>-2995.1800000000003</v>
      </c>
      <c r="L20" s="169">
        <f t="shared" si="3"/>
        <v>-3097.1</v>
      </c>
      <c r="M20" s="133">
        <f t="shared" si="3"/>
        <v>-3702.5609084500002</v>
      </c>
      <c r="N20" s="133">
        <f t="shared" si="3"/>
        <v>-4040.8032316146155</v>
      </c>
      <c r="O20" s="133">
        <f t="shared" si="3"/>
        <v>-4388.4922083074825</v>
      </c>
      <c r="P20" s="133">
        <f t="shared" si="3"/>
        <v>-4695.6866628890066</v>
      </c>
      <c r="Q20" s="133">
        <f t="shared" si="3"/>
        <v>-4967.0018465125431</v>
      </c>
      <c r="R20" s="185" t="s">
        <v>1043</v>
      </c>
    </row>
    <row r="21" spans="2:18">
      <c r="B21" s="185"/>
      <c r="C21" s="185"/>
      <c r="D21" s="185"/>
      <c r="G21" s="128"/>
      <c r="H21" s="128"/>
      <c r="I21" s="128"/>
      <c r="J21" s="128"/>
      <c r="K21" s="128"/>
      <c r="L21" s="166"/>
      <c r="M21" s="128"/>
      <c r="N21" s="128"/>
      <c r="O21" s="128"/>
      <c r="P21" s="128"/>
      <c r="Q21" s="128"/>
      <c r="R21" s="185"/>
    </row>
    <row r="22" spans="2:18" ht="15.6">
      <c r="B22" s="185"/>
      <c r="C22" s="188" t="s">
        <v>372</v>
      </c>
      <c r="D22" s="189"/>
      <c r="E22" s="182"/>
      <c r="F22" s="182"/>
      <c r="G22" s="129">
        <f>G11+G20</f>
        <v>1617.4400000000005</v>
      </c>
      <c r="H22" s="129">
        <f t="shared" ref="H22:Q22" si="4">H11+H20</f>
        <v>1739.5600000000004</v>
      </c>
      <c r="I22" s="129">
        <f t="shared" si="4"/>
        <v>1792.3499999999995</v>
      </c>
      <c r="J22" s="129">
        <f t="shared" si="4"/>
        <v>2002.6800000000003</v>
      </c>
      <c r="K22" s="129">
        <f t="shared" si="4"/>
        <v>2253.8100000000004</v>
      </c>
      <c r="L22" s="167">
        <f t="shared" si="4"/>
        <v>2164.1199999999994</v>
      </c>
      <c r="M22" s="129">
        <f t="shared" si="4"/>
        <v>2270.8197790049999</v>
      </c>
      <c r="N22" s="129">
        <f t="shared" si="4"/>
        <v>2597.4615293632305</v>
      </c>
      <c r="O22" s="129">
        <f t="shared" si="4"/>
        <v>2792.271144065473</v>
      </c>
      <c r="P22" s="129">
        <f t="shared" si="4"/>
        <v>3003.6477060581537</v>
      </c>
      <c r="Q22" s="129">
        <f t="shared" si="4"/>
        <v>3266.6937058804342</v>
      </c>
      <c r="R22" s="185"/>
    </row>
    <row r="23" spans="2:18">
      <c r="B23" s="185"/>
      <c r="C23" s="190" t="s">
        <v>366</v>
      </c>
      <c r="D23" s="185"/>
      <c r="G23" s="132">
        <f t="shared" ref="G23:L23" si="5">IFERROR(G22/G$7,"-")</f>
        <v>0.20946275827683786</v>
      </c>
      <c r="H23" s="132">
        <f t="shared" si="5"/>
        <v>0.20429383945254198</v>
      </c>
      <c r="I23" s="132">
        <f t="shared" si="5"/>
        <v>0.20638161167302266</v>
      </c>
      <c r="J23" s="132">
        <f t="shared" si="5"/>
        <v>0.20977939790082334</v>
      </c>
      <c r="K23" s="132">
        <f t="shared" si="5"/>
        <v>0.20698652178225463</v>
      </c>
      <c r="L23" s="168">
        <f t="shared" si="5"/>
        <v>0.18769650014007069</v>
      </c>
      <c r="M23" s="132">
        <f t="shared" ref="M23:Q23" si="6">IFERROR(M22/M$7,"-")</f>
        <v>0.17969999999999997</v>
      </c>
      <c r="N23" s="132">
        <f t="shared" si="6"/>
        <v>0.18770000000000001</v>
      </c>
      <c r="O23" s="132">
        <f t="shared" si="6"/>
        <v>0.18770000000000001</v>
      </c>
      <c r="P23" s="132">
        <f t="shared" si="6"/>
        <v>0.18869999999999995</v>
      </c>
      <c r="Q23" s="132">
        <f t="shared" si="6"/>
        <v>0.19270000000000004</v>
      </c>
      <c r="R23" s="185"/>
    </row>
    <row r="24" spans="2:18">
      <c r="B24" s="185"/>
      <c r="C24" s="185"/>
      <c r="D24" s="185"/>
      <c r="G24" s="128"/>
      <c r="H24" s="128"/>
      <c r="I24" s="128"/>
      <c r="J24" s="128"/>
      <c r="K24" s="128"/>
      <c r="L24" s="166"/>
      <c r="M24" s="128"/>
      <c r="N24" s="128"/>
      <c r="O24" s="128"/>
      <c r="P24" s="128"/>
      <c r="Q24" s="128"/>
      <c r="R24" s="185"/>
    </row>
    <row r="25" spans="2:18" ht="15.6">
      <c r="B25" s="185"/>
      <c r="C25" s="101" t="s">
        <v>283</v>
      </c>
      <c r="D25" s="185"/>
      <c r="G25" s="128">
        <f>'P&amp;L'!G21</f>
        <v>-162.18</v>
      </c>
      <c r="H25" s="128">
        <f>'P&amp;L'!H21</f>
        <v>-176.9</v>
      </c>
      <c r="I25" s="128">
        <f>'P&amp;L'!I21</f>
        <v>-220.45</v>
      </c>
      <c r="J25" s="128">
        <f>'P&amp;L'!J21</f>
        <v>-240.13</v>
      </c>
      <c r="K25" s="128">
        <f>'P&amp;L'!K21</f>
        <v>-252.89</v>
      </c>
      <c r="L25" s="166">
        <f>'P&amp;L'!L21</f>
        <v>-310.95999999999998</v>
      </c>
      <c r="M25" s="128">
        <f>'Fixed asset Schedule'!M82*-1</f>
        <v>-301.18131166797656</v>
      </c>
      <c r="N25" s="128">
        <f>'Fixed asset Schedule'!N82*-1</f>
        <v>-329.70298165272266</v>
      </c>
      <c r="O25" s="128">
        <f>'Fixed asset Schedule'!O82*-1</f>
        <v>-354.33513797580099</v>
      </c>
      <c r="P25" s="128">
        <f>'Fixed asset Schedule'!P82*-1</f>
        <v>-379.04993061457691</v>
      </c>
      <c r="Q25" s="128">
        <f>'Fixed asset Schedule'!Q82*-1</f>
        <v>-403.60615674108732</v>
      </c>
      <c r="R25" s="185" t="s">
        <v>1022</v>
      </c>
    </row>
    <row r="26" spans="2:18">
      <c r="B26" s="185"/>
      <c r="C26" s="185"/>
      <c r="D26" s="185"/>
      <c r="G26" s="128"/>
      <c r="H26" s="128"/>
      <c r="I26" s="128"/>
      <c r="J26" s="128"/>
      <c r="K26" s="128"/>
      <c r="L26" s="166"/>
      <c r="M26" s="128"/>
      <c r="N26" s="128"/>
      <c r="O26" s="128"/>
      <c r="P26" s="128"/>
      <c r="Q26" s="128"/>
      <c r="R26" s="185"/>
    </row>
    <row r="27" spans="2:18" ht="15.6">
      <c r="B27" s="185"/>
      <c r="C27" s="188" t="s">
        <v>373</v>
      </c>
      <c r="D27" s="189"/>
      <c r="E27" s="182"/>
      <c r="F27" s="182"/>
      <c r="G27" s="129">
        <f>G22+G25</f>
        <v>1455.2600000000004</v>
      </c>
      <c r="H27" s="129">
        <f t="shared" ref="H27:Q27" si="7">H22+H25</f>
        <v>1562.6600000000003</v>
      </c>
      <c r="I27" s="129">
        <f t="shared" si="7"/>
        <v>1571.8999999999994</v>
      </c>
      <c r="J27" s="129">
        <f t="shared" si="7"/>
        <v>1762.5500000000002</v>
      </c>
      <c r="K27" s="129">
        <f t="shared" si="7"/>
        <v>2000.9200000000005</v>
      </c>
      <c r="L27" s="167">
        <f t="shared" si="7"/>
        <v>1853.1599999999994</v>
      </c>
      <c r="M27" s="129">
        <f t="shared" si="7"/>
        <v>1969.6384673370233</v>
      </c>
      <c r="N27" s="129">
        <f t="shared" si="7"/>
        <v>2267.7585477105076</v>
      </c>
      <c r="O27" s="129">
        <f t="shared" si="7"/>
        <v>2437.936006089672</v>
      </c>
      <c r="P27" s="129">
        <f t="shared" si="7"/>
        <v>2624.5977754435767</v>
      </c>
      <c r="Q27" s="129">
        <f t="shared" si="7"/>
        <v>2863.0875491393467</v>
      </c>
      <c r="R27" s="185"/>
    </row>
    <row r="28" spans="2:18">
      <c r="B28" s="185"/>
      <c r="C28" s="190" t="s">
        <v>366</v>
      </c>
      <c r="D28" s="185"/>
      <c r="G28" s="132">
        <f>IFERROR(G27/G$7,"-")</f>
        <v>0.18846001929589418</v>
      </c>
      <c r="H28" s="132">
        <f t="shared" ref="H28:Q28" si="8">IFERROR(H27/H$7,"-")</f>
        <v>0.18351871229443609</v>
      </c>
      <c r="I28" s="132">
        <f t="shared" si="8"/>
        <v>0.1809977155069179</v>
      </c>
      <c r="J28" s="132">
        <f t="shared" si="8"/>
        <v>0.18462594012528022</v>
      </c>
      <c r="K28" s="132">
        <f t="shared" si="8"/>
        <v>0.18376148440398657</v>
      </c>
      <c r="L28" s="168">
        <f t="shared" si="8"/>
        <v>0.16072659843242212</v>
      </c>
      <c r="M28" s="132">
        <f t="shared" si="8"/>
        <v>0.15586619240015159</v>
      </c>
      <c r="N28" s="132">
        <f t="shared" si="8"/>
        <v>0.16387471944949755</v>
      </c>
      <c r="O28" s="132">
        <f t="shared" si="8"/>
        <v>0.1638811436044055</v>
      </c>
      <c r="P28" s="132">
        <f t="shared" si="8"/>
        <v>0.16488671398689458</v>
      </c>
      <c r="Q28" s="132">
        <f t="shared" si="8"/>
        <v>0.16889155225235736</v>
      </c>
      <c r="R28" s="185"/>
    </row>
    <row r="29" spans="2:18">
      <c r="B29" s="185"/>
      <c r="C29" s="185"/>
      <c r="D29" s="185"/>
      <c r="G29" s="128"/>
      <c r="H29" s="128"/>
      <c r="I29" s="128"/>
      <c r="J29" s="128"/>
      <c r="K29" s="128"/>
      <c r="L29" s="166"/>
      <c r="M29" s="128"/>
      <c r="N29" s="128"/>
      <c r="O29" s="128"/>
      <c r="P29" s="128"/>
      <c r="Q29" s="128"/>
      <c r="R29" s="185"/>
    </row>
    <row r="30" spans="2:18">
      <c r="B30" s="185"/>
      <c r="C30" s="185" t="s">
        <v>284</v>
      </c>
      <c r="D30" s="185"/>
      <c r="G30" s="128">
        <f>'P&amp;L'!G19</f>
        <v>-42.38</v>
      </c>
      <c r="H30" s="128">
        <f>'P&amp;L'!H19</f>
        <v>-49.2</v>
      </c>
      <c r="I30" s="128">
        <f>'P&amp;L'!I19</f>
        <v>-41.12</v>
      </c>
      <c r="J30" s="128">
        <f>'P&amp;L'!J19</f>
        <v>-24.05</v>
      </c>
      <c r="K30" s="128">
        <f>'P&amp;L'!K19</f>
        <v>-20.61</v>
      </c>
      <c r="L30" s="166">
        <f>'P&amp;L'!L19</f>
        <v>-58.51</v>
      </c>
      <c r="M30" s="128">
        <f>M33-M31</f>
        <v>-53.680421272647756</v>
      </c>
      <c r="N30" s="128">
        <f t="shared" ref="N30:Q30" si="9">N33-N31</f>
        <v>-58.784953041267116</v>
      </c>
      <c r="O30" s="128">
        <f t="shared" si="9"/>
        <v>-63.193824519362153</v>
      </c>
      <c r="P30" s="128">
        <f t="shared" si="9"/>
        <v>-67.617392235717503</v>
      </c>
      <c r="Q30" s="128">
        <f t="shared" si="9"/>
        <v>-72.012522731039141</v>
      </c>
      <c r="R30" s="185" t="s">
        <v>1042</v>
      </c>
    </row>
    <row r="31" spans="2:18">
      <c r="B31" s="185"/>
      <c r="C31" s="185" t="s">
        <v>327</v>
      </c>
      <c r="D31" s="185"/>
      <c r="G31" s="128">
        <f>'P&amp;L'!G20</f>
        <v>-10.67</v>
      </c>
      <c r="H31" s="128">
        <f>'P&amp;L'!H20</f>
        <v>-10.38</v>
      </c>
      <c r="I31" s="128">
        <f>'P&amp;L'!I20</f>
        <v>-8.42</v>
      </c>
      <c r="J31" s="128">
        <f>'P&amp;L'!J20</f>
        <v>-6.76</v>
      </c>
      <c r="K31" s="128">
        <f>'P&amp;L'!K20</f>
        <v>-17.989999999999998</v>
      </c>
      <c r="L31" s="166">
        <f>'P&amp;L'!L20</f>
        <v>-19.73</v>
      </c>
      <c r="M31" s="136">
        <v>0</v>
      </c>
      <c r="N31" s="136">
        <v>0</v>
      </c>
      <c r="O31" s="136">
        <v>0</v>
      </c>
      <c r="P31" s="136">
        <v>0</v>
      </c>
      <c r="Q31" s="136">
        <v>0</v>
      </c>
      <c r="R31" s="185" t="s">
        <v>769</v>
      </c>
    </row>
    <row r="32" spans="2:18">
      <c r="B32" s="185"/>
      <c r="C32" s="185"/>
      <c r="D32" s="185"/>
      <c r="G32" s="128"/>
      <c r="H32" s="128"/>
      <c r="I32" s="128"/>
      <c r="J32" s="128"/>
      <c r="K32" s="128"/>
      <c r="L32" s="166"/>
      <c r="M32" s="128"/>
      <c r="N32" s="128"/>
      <c r="O32" s="128"/>
      <c r="P32" s="128"/>
      <c r="Q32" s="128"/>
      <c r="R32" s="185"/>
    </row>
    <row r="33" spans="2:18" ht="15.6">
      <c r="B33" s="185"/>
      <c r="C33" s="185"/>
      <c r="D33" s="101" t="s">
        <v>369</v>
      </c>
      <c r="G33" s="133">
        <f>SUM(G30:G31)</f>
        <v>-53.050000000000004</v>
      </c>
      <c r="H33" s="133">
        <f t="shared" ref="H33:L33" si="10">SUM(H30:H31)</f>
        <v>-59.580000000000005</v>
      </c>
      <c r="I33" s="133">
        <f t="shared" si="10"/>
        <v>-49.54</v>
      </c>
      <c r="J33" s="133">
        <f t="shared" si="10"/>
        <v>-30.810000000000002</v>
      </c>
      <c r="K33" s="133">
        <f t="shared" si="10"/>
        <v>-38.599999999999994</v>
      </c>
      <c r="L33" s="169">
        <f t="shared" si="10"/>
        <v>-78.239999999999995</v>
      </c>
      <c r="M33" s="133">
        <f>'Interest paid &amp; Other income'!M5*-1</f>
        <v>-53.680421272647756</v>
      </c>
      <c r="N33" s="133">
        <f>'Interest paid &amp; Other income'!N5*-1</f>
        <v>-58.784953041267116</v>
      </c>
      <c r="O33" s="133">
        <f>'Interest paid &amp; Other income'!O5*-1</f>
        <v>-63.193824519362153</v>
      </c>
      <c r="P33" s="133">
        <f>'Interest paid &amp; Other income'!P5*-1</f>
        <v>-67.617392235717503</v>
      </c>
      <c r="Q33" s="133">
        <f>'Interest paid &amp; Other income'!Q5*-1</f>
        <v>-72.012522731039141</v>
      </c>
      <c r="R33" s="185"/>
    </row>
    <row r="34" spans="2:18">
      <c r="B34" s="185"/>
      <c r="C34" s="185"/>
      <c r="D34" s="185"/>
      <c r="G34" s="128"/>
      <c r="H34" s="128"/>
      <c r="I34" s="128"/>
      <c r="J34" s="128"/>
      <c r="K34" s="128"/>
      <c r="L34" s="166"/>
      <c r="M34" s="128"/>
      <c r="N34" s="128"/>
      <c r="O34" s="128"/>
      <c r="P34" s="128"/>
      <c r="Q34" s="128"/>
      <c r="R34" s="185"/>
    </row>
    <row r="35" spans="2:18" ht="15.6">
      <c r="B35" s="185"/>
      <c r="C35" s="191" t="s">
        <v>374</v>
      </c>
      <c r="D35" s="192"/>
      <c r="E35" s="183"/>
      <c r="F35" s="183"/>
      <c r="G35" s="134">
        <f>G27+G33</f>
        <v>1402.2100000000005</v>
      </c>
      <c r="H35" s="134">
        <f t="shared" ref="H35:Q35" si="11">H27+H33</f>
        <v>1503.0800000000004</v>
      </c>
      <c r="I35" s="134">
        <f t="shared" si="11"/>
        <v>1522.3599999999994</v>
      </c>
      <c r="J35" s="134">
        <f t="shared" si="11"/>
        <v>1731.7400000000002</v>
      </c>
      <c r="K35" s="134">
        <f t="shared" si="11"/>
        <v>1962.3200000000006</v>
      </c>
      <c r="L35" s="170">
        <f t="shared" si="11"/>
        <v>1774.9199999999994</v>
      </c>
      <c r="M35" s="134">
        <f t="shared" si="11"/>
        <v>1915.9580460643756</v>
      </c>
      <c r="N35" s="134">
        <f t="shared" si="11"/>
        <v>2208.9735946692404</v>
      </c>
      <c r="O35" s="134">
        <f t="shared" si="11"/>
        <v>2374.7421815703096</v>
      </c>
      <c r="P35" s="134">
        <f t="shared" si="11"/>
        <v>2556.9803832078592</v>
      </c>
      <c r="Q35" s="134">
        <f t="shared" si="11"/>
        <v>2791.0750264083076</v>
      </c>
      <c r="R35" s="185" t="s">
        <v>370</v>
      </c>
    </row>
    <row r="36" spans="2:18">
      <c r="B36" s="185"/>
      <c r="C36" s="190" t="s">
        <v>366</v>
      </c>
      <c r="D36" s="185"/>
      <c r="G36" s="132">
        <f>IFERROR(G35/G$7,"-")</f>
        <v>0.18158990397378871</v>
      </c>
      <c r="H36" s="132">
        <f t="shared" ref="H36:Q36" si="12">IFERROR(H35/H$7,"-")</f>
        <v>0.17652164007239005</v>
      </c>
      <c r="I36" s="132">
        <f t="shared" si="12"/>
        <v>0.17529339155106022</v>
      </c>
      <c r="J36" s="132">
        <f t="shared" si="12"/>
        <v>0.1813986131188067</v>
      </c>
      <c r="K36" s="132">
        <f t="shared" si="12"/>
        <v>0.18021651843933337</v>
      </c>
      <c r="L36" s="168">
        <f t="shared" si="12"/>
        <v>0.15394075745735644</v>
      </c>
      <c r="M36" s="132">
        <f t="shared" si="12"/>
        <v>0.15161822354243734</v>
      </c>
      <c r="N36" s="132">
        <f t="shared" si="12"/>
        <v>0.1596267505917833</v>
      </c>
      <c r="O36" s="132">
        <f t="shared" si="12"/>
        <v>0.15963317474669125</v>
      </c>
      <c r="P36" s="132">
        <f t="shared" si="12"/>
        <v>0.16063874512918033</v>
      </c>
      <c r="Q36" s="132">
        <f t="shared" si="12"/>
        <v>0.16464358339464311</v>
      </c>
      <c r="R36" s="185"/>
    </row>
    <row r="37" spans="2:18">
      <c r="B37" s="185"/>
      <c r="C37" s="190"/>
      <c r="D37" s="185"/>
      <c r="G37" s="132"/>
      <c r="H37" s="132"/>
      <c r="I37" s="132"/>
      <c r="J37" s="132"/>
      <c r="K37" s="132"/>
      <c r="L37" s="168"/>
      <c r="M37" s="132"/>
      <c r="N37" s="132"/>
      <c r="O37" s="132"/>
      <c r="P37" s="132"/>
      <c r="Q37" s="132"/>
      <c r="R37" s="185"/>
    </row>
    <row r="38" spans="2:18">
      <c r="B38" s="185"/>
      <c r="C38" s="185" t="s">
        <v>375</v>
      </c>
      <c r="D38" s="185"/>
      <c r="G38" s="128">
        <f>'P&amp;L'!G9</f>
        <v>305.18</v>
      </c>
      <c r="H38" s="128">
        <f>'P&amp;L'!H9</f>
        <v>296.17</v>
      </c>
      <c r="I38" s="128">
        <f>'P&amp;L'!I9</f>
        <v>305.29000000000002</v>
      </c>
      <c r="J38" s="128">
        <f>'P&amp;L'!J9</f>
        <v>325.29000000000002</v>
      </c>
      <c r="K38" s="128">
        <f>'P&amp;L'!K9</f>
        <v>393.16</v>
      </c>
      <c r="L38" s="166">
        <f>'P&amp;L'!L9</f>
        <v>445.39</v>
      </c>
      <c r="M38" s="128">
        <f>'Interest paid &amp; Other income'!M23</f>
        <v>459.69667743096102</v>
      </c>
      <c r="N38" s="128">
        <f>'Interest paid &amp; Other income'!N23</f>
        <v>503.4097526685199</v>
      </c>
      <c r="O38" s="128">
        <f>'Interest paid &amp; Other income'!O23</f>
        <v>541.16548411865892</v>
      </c>
      <c r="P38" s="128">
        <f>'Interest paid &amp; Other income'!P23</f>
        <v>579.04706800696499</v>
      </c>
      <c r="Q38" s="128">
        <f>'Interest paid &amp; Other income'!Q23</f>
        <v>616.6851274274178</v>
      </c>
      <c r="R38" s="185" t="s">
        <v>1042</v>
      </c>
    </row>
    <row r="39" spans="2:18">
      <c r="B39" s="185"/>
      <c r="C39" s="185" t="s">
        <v>376</v>
      </c>
      <c r="D39" s="185"/>
      <c r="G39" s="128">
        <f>'P&amp;L'!G34</f>
        <v>-14.54</v>
      </c>
      <c r="H39" s="128">
        <f>'P&amp;L'!H34</f>
        <v>-75.34</v>
      </c>
      <c r="I39" s="128">
        <f>'P&amp;L'!I34</f>
        <v>-100</v>
      </c>
      <c r="J39" s="128">
        <f>'P&amp;L'!J34</f>
        <v>0</v>
      </c>
      <c r="K39" s="128">
        <f>'P&amp;L'!K34</f>
        <v>-85</v>
      </c>
      <c r="L39" s="166">
        <f>'P&amp;L'!L34</f>
        <v>0</v>
      </c>
      <c r="M39" s="136">
        <v>0</v>
      </c>
      <c r="N39" s="136">
        <f>M39</f>
        <v>0</v>
      </c>
      <c r="O39" s="136">
        <f t="shared" ref="O39:Q39" si="13">N39</f>
        <v>0</v>
      </c>
      <c r="P39" s="136">
        <f t="shared" si="13"/>
        <v>0</v>
      </c>
      <c r="Q39" s="136">
        <f t="shared" si="13"/>
        <v>0</v>
      </c>
      <c r="R39" s="185" t="s">
        <v>769</v>
      </c>
    </row>
    <row r="40" spans="2:18">
      <c r="B40" s="185"/>
      <c r="C40" s="185"/>
      <c r="D40" s="185"/>
      <c r="G40" s="128"/>
      <c r="H40" s="128"/>
      <c r="I40" s="128"/>
      <c r="J40" s="128"/>
      <c r="K40" s="128"/>
      <c r="L40" s="166"/>
      <c r="M40" s="128"/>
      <c r="N40" s="128"/>
      <c r="O40" s="128"/>
      <c r="P40" s="128"/>
      <c r="Q40" s="128"/>
      <c r="R40" s="185"/>
    </row>
    <row r="41" spans="2:18" ht="15.6">
      <c r="B41" s="185"/>
      <c r="C41" s="191" t="s">
        <v>377</v>
      </c>
      <c r="D41" s="192"/>
      <c r="E41" s="183"/>
      <c r="F41" s="183"/>
      <c r="G41" s="134">
        <f>SUM(G35+G38+G39)</f>
        <v>1692.8500000000006</v>
      </c>
      <c r="H41" s="134">
        <f t="shared" ref="H41:Q41" si="14">SUM(H35+H38+H39)</f>
        <v>1723.9100000000005</v>
      </c>
      <c r="I41" s="134">
        <f t="shared" si="14"/>
        <v>1727.6499999999994</v>
      </c>
      <c r="J41" s="134">
        <f t="shared" si="14"/>
        <v>2057.0300000000002</v>
      </c>
      <c r="K41" s="134">
        <f t="shared" si="14"/>
        <v>2270.4800000000005</v>
      </c>
      <c r="L41" s="170">
        <f t="shared" si="14"/>
        <v>2220.3099999999995</v>
      </c>
      <c r="M41" s="134">
        <f t="shared" si="14"/>
        <v>2375.6547234953368</v>
      </c>
      <c r="N41" s="134">
        <f t="shared" si="14"/>
        <v>2712.3833473377604</v>
      </c>
      <c r="O41" s="134">
        <f t="shared" si="14"/>
        <v>2915.9076656889683</v>
      </c>
      <c r="P41" s="134">
        <f t="shared" si="14"/>
        <v>3136.0274512148244</v>
      </c>
      <c r="Q41" s="134">
        <f t="shared" si="14"/>
        <v>3407.7601538357253</v>
      </c>
      <c r="R41" s="185"/>
    </row>
    <row r="42" spans="2:18">
      <c r="B42" s="185"/>
      <c r="C42" s="185"/>
      <c r="D42" s="185"/>
      <c r="L42" s="155"/>
      <c r="R42" s="185"/>
    </row>
    <row r="43" spans="2:18">
      <c r="B43" s="185"/>
      <c r="C43" s="185" t="s">
        <v>378</v>
      </c>
      <c r="D43" s="185"/>
      <c r="G43" s="128">
        <f>'P&amp;L'!G41</f>
        <v>-335.34999999999997</v>
      </c>
      <c r="H43" s="128">
        <f>'P&amp;L'!H41</f>
        <v>-278.62</v>
      </c>
      <c r="I43" s="128">
        <f>'P&amp;L'!I41</f>
        <v>-279.72000000000003</v>
      </c>
      <c r="J43" s="128">
        <f>'P&amp;L'!J41</f>
        <v>-361.07</v>
      </c>
      <c r="K43" s="128">
        <f>'P&amp;L'!K41</f>
        <v>-526.38</v>
      </c>
      <c r="L43" s="166">
        <f>'P&amp;L'!L41</f>
        <v>-517.35</v>
      </c>
      <c r="M43" s="128">
        <f>M80*M41*-1</f>
        <v>-553.52755057441357</v>
      </c>
      <c r="N43" s="128">
        <f t="shared" ref="N43:Q43" si="15">N80*N41*-1</f>
        <v>-631.98531992969822</v>
      </c>
      <c r="O43" s="128">
        <f t="shared" si="15"/>
        <v>-679.40648610552967</v>
      </c>
      <c r="P43" s="128">
        <f t="shared" si="15"/>
        <v>-730.69439613305417</v>
      </c>
      <c r="Q43" s="128">
        <f t="shared" si="15"/>
        <v>-794.008115843724</v>
      </c>
      <c r="R43" s="185" t="s">
        <v>386</v>
      </c>
    </row>
    <row r="44" spans="2:18" ht="15.6">
      <c r="B44" s="185"/>
      <c r="C44" s="190" t="s">
        <v>371</v>
      </c>
      <c r="D44" s="185"/>
      <c r="G44" s="132">
        <f>IFERROR((G43*-1)/G41,"-")</f>
        <v>0.19809788226954536</v>
      </c>
      <c r="H44" s="132">
        <f t="shared" ref="H44:Q44" si="16">IFERROR((H43*-1)/H41,"-")</f>
        <v>0.16162096629174372</v>
      </c>
      <c r="I44" s="132">
        <f t="shared" si="16"/>
        <v>0.16190779382398063</v>
      </c>
      <c r="J44" s="132">
        <f t="shared" si="16"/>
        <v>0.17552976864702993</v>
      </c>
      <c r="K44" s="132">
        <f t="shared" si="16"/>
        <v>0.23183643987174513</v>
      </c>
      <c r="L44" s="168">
        <f t="shared" si="16"/>
        <v>0.23300800338691449</v>
      </c>
      <c r="M44" s="132">
        <f>IFERROR((M43*-1)/M41,"-")</f>
        <v>0.23300000000000004</v>
      </c>
      <c r="N44" s="132">
        <f t="shared" si="16"/>
        <v>0.23300000000000001</v>
      </c>
      <c r="O44" s="132">
        <f t="shared" si="16"/>
        <v>0.23300000000000001</v>
      </c>
      <c r="P44" s="132">
        <f t="shared" si="16"/>
        <v>0.23300000000000004</v>
      </c>
      <c r="Q44" s="132">
        <f t="shared" si="16"/>
        <v>0.23300000000000001</v>
      </c>
      <c r="R44" s="101" t="s">
        <v>870</v>
      </c>
    </row>
    <row r="45" spans="2:18">
      <c r="B45" s="185"/>
      <c r="C45" s="185"/>
      <c r="D45" s="185"/>
      <c r="G45" s="128"/>
      <c r="H45" s="128"/>
      <c r="I45" s="128"/>
      <c r="J45" s="128"/>
      <c r="K45" s="128"/>
      <c r="L45" s="166"/>
      <c r="M45" s="128"/>
      <c r="N45" s="128"/>
      <c r="O45" s="128"/>
      <c r="P45" s="128"/>
      <c r="Q45" s="128"/>
      <c r="R45" s="185"/>
    </row>
    <row r="46" spans="2:18">
      <c r="B46" s="185"/>
      <c r="C46" s="185"/>
      <c r="D46" s="185"/>
      <c r="L46" s="155"/>
      <c r="R46" s="185"/>
    </row>
    <row r="47" spans="2:18" ht="15.6">
      <c r="B47" s="185"/>
      <c r="C47" s="191" t="s">
        <v>454</v>
      </c>
      <c r="D47" s="192"/>
      <c r="E47" s="183"/>
      <c r="F47" s="183"/>
      <c r="G47" s="134">
        <f>G41+G43</f>
        <v>1357.5000000000007</v>
      </c>
      <c r="H47" s="134">
        <f t="shared" ref="H47:Q47" si="17">H41+H43</f>
        <v>1445.2900000000004</v>
      </c>
      <c r="I47" s="134">
        <f t="shared" si="17"/>
        <v>1447.9299999999994</v>
      </c>
      <c r="J47" s="134">
        <f t="shared" si="17"/>
        <v>1695.9600000000003</v>
      </c>
      <c r="K47" s="134">
        <f t="shared" si="17"/>
        <v>1744.1000000000004</v>
      </c>
      <c r="L47" s="170">
        <f t="shared" si="17"/>
        <v>1702.9599999999996</v>
      </c>
      <c r="M47" s="134">
        <f t="shared" si="17"/>
        <v>1822.1271729209234</v>
      </c>
      <c r="N47" s="134">
        <f t="shared" si="17"/>
        <v>2080.3980274080623</v>
      </c>
      <c r="O47" s="134">
        <f t="shared" si="17"/>
        <v>2236.5011795834389</v>
      </c>
      <c r="P47" s="134">
        <f t="shared" si="17"/>
        <v>2405.33305508177</v>
      </c>
      <c r="Q47" s="134">
        <f t="shared" si="17"/>
        <v>2613.7520379920015</v>
      </c>
      <c r="R47" s="185" t="s">
        <v>455</v>
      </c>
    </row>
    <row r="48" spans="2:18">
      <c r="B48" s="185"/>
      <c r="C48" s="190" t="s">
        <v>366</v>
      </c>
      <c r="D48" s="185"/>
      <c r="G48" s="132">
        <f t="shared" ref="G48:L48" si="18">IFERROR(G47/G$7,"-")</f>
        <v>0.17579984071174662</v>
      </c>
      <c r="H48" s="132">
        <f t="shared" si="18"/>
        <v>0.16973478536087541</v>
      </c>
      <c r="I48" s="132">
        <f t="shared" si="18"/>
        <v>0.16672308811879358</v>
      </c>
      <c r="J48" s="132">
        <f t="shared" si="18"/>
        <v>0.17765068191816985</v>
      </c>
      <c r="K48" s="132">
        <f t="shared" si="18"/>
        <v>0.16017552173449862</v>
      </c>
      <c r="L48" s="168">
        <f t="shared" si="18"/>
        <v>0.14769958776709921</v>
      </c>
      <c r="M48" s="132">
        <f t="shared" ref="M48" si="19">IFERROR(M47/M$7,"-")</f>
        <v>0.1441929720716815</v>
      </c>
      <c r="N48" s="132">
        <f t="shared" ref="N48" si="20">IFERROR(N47/N$7,"-")</f>
        <v>0.15033551231852985</v>
      </c>
      <c r="O48" s="132">
        <f t="shared" ref="O48" si="21">IFERROR(O47/O$7,"-")</f>
        <v>0.15034043964534421</v>
      </c>
      <c r="P48" s="132">
        <f t="shared" ref="P48" si="22">IFERROR(P47/P$7,"-")</f>
        <v>0.15111171212871333</v>
      </c>
      <c r="Q48" s="132">
        <f t="shared" ref="Q48" si="23">IFERROR(Q47/Q$7,"-")</f>
        <v>0.15418342307832331</v>
      </c>
      <c r="R48" s="185"/>
    </row>
    <row r="49" spans="1:18">
      <c r="B49" s="185"/>
      <c r="C49" s="190"/>
      <c r="D49" s="185"/>
      <c r="G49" s="132"/>
      <c r="H49" s="132"/>
      <c r="I49" s="132"/>
      <c r="J49" s="132"/>
      <c r="K49" s="132"/>
      <c r="L49" s="168"/>
      <c r="M49" s="132"/>
      <c r="N49" s="132"/>
      <c r="O49" s="132"/>
      <c r="P49" s="132"/>
      <c r="Q49" s="132"/>
      <c r="R49" s="185"/>
    </row>
    <row r="50" spans="1:18" ht="15.6">
      <c r="B50" s="185"/>
      <c r="C50" s="194" t="s">
        <v>586</v>
      </c>
      <c r="D50" s="185"/>
      <c r="G50" s="63">
        <f>'P&amp;L'!G65</f>
        <v>176.81</v>
      </c>
      <c r="H50" s="63">
        <f>'P&amp;L'!H65</f>
        <v>177.26</v>
      </c>
      <c r="I50" s="63">
        <f>'P&amp;L'!I65</f>
        <v>177.24</v>
      </c>
      <c r="J50" s="63">
        <f>'P&amp;L'!J65</f>
        <v>177.22</v>
      </c>
      <c r="K50" s="63">
        <f>'P&amp;L'!K65</f>
        <v>177.26</v>
      </c>
      <c r="L50" s="172">
        <f>'P&amp;L'!L65</f>
        <v>177.62</v>
      </c>
      <c r="M50" s="63">
        <f>L50</f>
        <v>177.62</v>
      </c>
      <c r="N50" s="63">
        <f t="shared" ref="N50:Q50" si="24">M50</f>
        <v>177.62</v>
      </c>
      <c r="O50" s="63">
        <f t="shared" si="24"/>
        <v>177.62</v>
      </c>
      <c r="P50" s="63">
        <f t="shared" si="24"/>
        <v>177.62</v>
      </c>
      <c r="Q50" s="63">
        <f t="shared" si="24"/>
        <v>177.62</v>
      </c>
      <c r="R50" s="185" t="s">
        <v>1044</v>
      </c>
    </row>
    <row r="51" spans="1:18" s="64" customFormat="1">
      <c r="A51" s="119"/>
      <c r="B51" s="187"/>
      <c r="C51" s="193"/>
      <c r="D51" s="187"/>
      <c r="G51" s="142"/>
      <c r="H51" s="142"/>
      <c r="I51" s="142"/>
      <c r="J51" s="142"/>
      <c r="K51" s="142"/>
      <c r="L51" s="171"/>
      <c r="M51" s="142"/>
      <c r="N51" s="142"/>
      <c r="O51" s="142"/>
      <c r="P51" s="142"/>
      <c r="Q51" s="142"/>
      <c r="R51" s="187"/>
    </row>
    <row r="52" spans="1:18" s="64" customFormat="1" ht="15.6">
      <c r="A52" s="119"/>
      <c r="B52" s="187"/>
      <c r="C52" s="194" t="s">
        <v>457</v>
      </c>
      <c r="D52" s="187"/>
      <c r="G52" s="63">
        <f>IFERROR(G47/G50,"-")</f>
        <v>7.6777331598891507</v>
      </c>
      <c r="H52" s="63">
        <f t="shared" ref="H52:Q52" si="25">IFERROR(H47/H50,"-")</f>
        <v>8.1535033284440956</v>
      </c>
      <c r="I52" s="63">
        <f t="shared" si="25"/>
        <v>8.1693184382757806</v>
      </c>
      <c r="J52" s="63">
        <f t="shared" si="25"/>
        <v>9.5698002482789768</v>
      </c>
      <c r="K52" s="63">
        <f t="shared" si="25"/>
        <v>9.8392192259957145</v>
      </c>
      <c r="L52" s="172">
        <f t="shared" si="25"/>
        <v>9.5876590474045695</v>
      </c>
      <c r="M52" s="63">
        <f t="shared" si="25"/>
        <v>10.258569828402901</v>
      </c>
      <c r="N52" s="63">
        <f t="shared" si="25"/>
        <v>11.712633866727071</v>
      </c>
      <c r="O52" s="63">
        <f t="shared" si="25"/>
        <v>12.59149408615831</v>
      </c>
      <c r="P52" s="63">
        <f t="shared" si="25"/>
        <v>13.54201697490018</v>
      </c>
      <c r="Q52" s="63">
        <f t="shared" si="25"/>
        <v>14.715415144645881</v>
      </c>
      <c r="R52" s="187"/>
    </row>
    <row r="53" spans="1:18" s="64" customFormat="1" ht="15.6">
      <c r="A53" s="119"/>
      <c r="B53" s="187"/>
      <c r="C53" s="194"/>
      <c r="D53" s="187"/>
      <c r="G53" s="63"/>
      <c r="H53" s="63"/>
      <c r="I53" s="63"/>
      <c r="J53" s="63"/>
      <c r="K53" s="63"/>
      <c r="L53" s="172"/>
      <c r="M53" s="63"/>
      <c r="N53" s="63"/>
      <c r="O53" s="63"/>
      <c r="P53" s="63"/>
      <c r="Q53" s="63"/>
      <c r="R53" s="187"/>
    </row>
    <row r="54" spans="1:18" s="64" customFormat="1" ht="15.6">
      <c r="A54" s="119"/>
      <c r="B54" s="187"/>
      <c r="C54" s="194" t="s">
        <v>860</v>
      </c>
      <c r="D54" s="187"/>
      <c r="G54" s="63">
        <f>'P&amp;L'!G78</f>
        <v>7.5</v>
      </c>
      <c r="H54" s="63">
        <f>'P&amp;L'!H78</f>
        <v>2.75</v>
      </c>
      <c r="I54" s="63">
        <f>'P&amp;L'!I78</f>
        <v>3</v>
      </c>
      <c r="J54" s="63">
        <f>'P&amp;L'!J78</f>
        <v>4.75</v>
      </c>
      <c r="K54" s="63">
        <f>'P&amp;L'!K78</f>
        <v>5.2</v>
      </c>
      <c r="L54" s="172">
        <f>'P&amp;L'!L78</f>
        <v>5.2</v>
      </c>
      <c r="M54" s="63">
        <f>M81*M52</f>
        <v>5.1292849142014507</v>
      </c>
      <c r="N54" s="63">
        <f t="shared" ref="N54:Q54" si="26">N81*N52</f>
        <v>5.8563169333635354</v>
      </c>
      <c r="O54" s="63">
        <f t="shared" si="26"/>
        <v>6.2957470430791549</v>
      </c>
      <c r="P54" s="63">
        <f t="shared" si="26"/>
        <v>6.7710084874500902</v>
      </c>
      <c r="Q54" s="63">
        <f t="shared" si="26"/>
        <v>7.3577075723229406</v>
      </c>
      <c r="R54" s="187" t="s">
        <v>1045</v>
      </c>
    </row>
    <row r="55" spans="1:18" s="64" customFormat="1" ht="15.6">
      <c r="A55" s="119"/>
      <c r="B55" s="187"/>
      <c r="C55" s="194"/>
      <c r="D55" s="187"/>
      <c r="H55" s="63"/>
      <c r="I55" s="63"/>
      <c r="J55" s="63"/>
      <c r="K55" s="63"/>
      <c r="L55" s="172"/>
      <c r="M55" s="63"/>
      <c r="N55" s="63"/>
      <c r="O55" s="63"/>
      <c r="P55" s="63"/>
      <c r="Q55" s="63"/>
      <c r="R55" s="187"/>
    </row>
    <row r="56" spans="1:18" s="64" customFormat="1" ht="15.6">
      <c r="A56" s="119"/>
      <c r="B56" s="187"/>
      <c r="C56" s="194" t="s">
        <v>240</v>
      </c>
      <c r="D56" s="187"/>
      <c r="G56" s="63">
        <f>G52-G54</f>
        <v>0.17773315988915073</v>
      </c>
      <c r="H56" s="63">
        <f t="shared" ref="H56:Q56" si="27">H52-H54</f>
        <v>5.4035033284440956</v>
      </c>
      <c r="I56" s="63">
        <f t="shared" si="27"/>
        <v>5.1693184382757806</v>
      </c>
      <c r="J56" s="63">
        <f t="shared" si="27"/>
        <v>4.8198002482789768</v>
      </c>
      <c r="K56" s="63">
        <f t="shared" si="27"/>
        <v>4.6392192259957143</v>
      </c>
      <c r="L56" s="172">
        <f t="shared" si="27"/>
        <v>4.3876590474045694</v>
      </c>
      <c r="M56" s="63">
        <f t="shared" si="27"/>
        <v>5.1292849142014507</v>
      </c>
      <c r="N56" s="63">
        <f t="shared" si="27"/>
        <v>5.8563169333635354</v>
      </c>
      <c r="O56" s="63">
        <f t="shared" si="27"/>
        <v>6.2957470430791549</v>
      </c>
      <c r="P56" s="63">
        <f t="shared" si="27"/>
        <v>6.7710084874500902</v>
      </c>
      <c r="Q56" s="63">
        <f t="shared" si="27"/>
        <v>7.3577075723229406</v>
      </c>
      <c r="R56" s="187"/>
    </row>
    <row r="57" spans="1:18" s="64" customFormat="1" ht="15.6">
      <c r="A57" s="119"/>
      <c r="B57" s="187"/>
      <c r="C57" s="195"/>
      <c r="D57" s="196"/>
      <c r="E57" s="184"/>
      <c r="F57" s="184"/>
      <c r="G57" s="143"/>
      <c r="H57" s="143"/>
      <c r="I57" s="143"/>
      <c r="J57" s="143"/>
      <c r="K57" s="143"/>
      <c r="L57" s="173"/>
      <c r="M57" s="143"/>
      <c r="N57" s="143"/>
      <c r="O57" s="143"/>
      <c r="P57" s="143"/>
      <c r="Q57" s="143"/>
      <c r="R57" s="187"/>
    </row>
    <row r="58" spans="1:18" s="64" customFormat="1" ht="15.6">
      <c r="A58" s="119"/>
      <c r="B58" s="187"/>
      <c r="C58" s="194"/>
      <c r="D58" s="187"/>
      <c r="G58" s="63"/>
      <c r="H58" s="63"/>
      <c r="I58" s="63"/>
      <c r="J58" s="63"/>
      <c r="K58" s="63"/>
      <c r="L58" s="172"/>
      <c r="M58" s="63"/>
      <c r="N58" s="63"/>
      <c r="O58" s="63"/>
      <c r="P58" s="63"/>
      <c r="Q58" s="63"/>
      <c r="R58" s="187"/>
    </row>
    <row r="59" spans="1:18" s="64" customFormat="1" ht="15.6">
      <c r="A59" s="119"/>
      <c r="B59" s="187"/>
      <c r="C59" s="194" t="s">
        <v>458</v>
      </c>
      <c r="D59" s="187"/>
      <c r="G59" s="63">
        <f>'P&amp;L'!G30</f>
        <v>0.24</v>
      </c>
      <c r="H59" s="63">
        <f>'P&amp;L'!H30</f>
        <v>0.96</v>
      </c>
      <c r="I59" s="63">
        <f>'P&amp;L'!I30</f>
        <v>-0.01</v>
      </c>
      <c r="J59" s="63">
        <f>'P&amp;L'!J30</f>
        <v>-1.01</v>
      </c>
      <c r="K59" s="63">
        <f>'P&amp;L'!K30</f>
        <v>-1.8</v>
      </c>
      <c r="L59" s="172">
        <f>'P&amp;L'!L30</f>
        <v>-1.63</v>
      </c>
      <c r="M59" s="63">
        <f>'P&amp;L'!M30</f>
        <v>0</v>
      </c>
      <c r="N59" s="63">
        <f>'P&amp;L'!N30</f>
        <v>0</v>
      </c>
      <c r="O59" s="63">
        <f>'P&amp;L'!O30</f>
        <v>0</v>
      </c>
      <c r="P59" s="63">
        <f>'P&amp;L'!P30</f>
        <v>0</v>
      </c>
      <c r="Q59" s="63">
        <f>'P&amp;L'!Q30</f>
        <v>0</v>
      </c>
      <c r="R59" s="187" t="s">
        <v>769</v>
      </c>
    </row>
    <row r="60" spans="1:18" s="64" customFormat="1" ht="15.6">
      <c r="A60" s="119"/>
      <c r="B60" s="187"/>
      <c r="C60" s="194"/>
      <c r="D60" s="187"/>
      <c r="G60" s="63"/>
      <c r="H60" s="63"/>
      <c r="I60" s="63"/>
      <c r="J60" s="63"/>
      <c r="K60" s="63"/>
      <c r="L60" s="172"/>
      <c r="M60" s="63"/>
      <c r="N60" s="63"/>
      <c r="O60" s="63"/>
      <c r="P60" s="63"/>
      <c r="Q60" s="63"/>
      <c r="R60" s="187"/>
    </row>
    <row r="61" spans="1:18" ht="15.6">
      <c r="B61" s="185"/>
      <c r="C61" s="194" t="s">
        <v>459</v>
      </c>
      <c r="D61" s="187"/>
      <c r="E61" s="64"/>
      <c r="F61" s="64"/>
      <c r="G61" s="63">
        <f>G47+G59</f>
        <v>1357.7400000000007</v>
      </c>
      <c r="H61" s="63">
        <f t="shared" ref="H61:Q61" si="28">H47+H59</f>
        <v>1446.2500000000005</v>
      </c>
      <c r="I61" s="63">
        <f t="shared" si="28"/>
        <v>1447.9199999999994</v>
      </c>
      <c r="J61" s="63">
        <f t="shared" si="28"/>
        <v>1694.9500000000003</v>
      </c>
      <c r="K61" s="63">
        <f t="shared" si="28"/>
        <v>1742.3000000000004</v>
      </c>
      <c r="L61" s="172">
        <f t="shared" si="28"/>
        <v>1701.3299999999995</v>
      </c>
      <c r="M61" s="63">
        <f t="shared" si="28"/>
        <v>1822.1271729209234</v>
      </c>
      <c r="N61" s="63">
        <f t="shared" si="28"/>
        <v>2080.3980274080623</v>
      </c>
      <c r="O61" s="63">
        <f t="shared" si="28"/>
        <v>2236.5011795834389</v>
      </c>
      <c r="P61" s="63">
        <f t="shared" si="28"/>
        <v>2405.33305508177</v>
      </c>
      <c r="Q61" s="63">
        <f t="shared" si="28"/>
        <v>2613.7520379920015</v>
      </c>
      <c r="R61" s="185"/>
    </row>
    <row r="62" spans="1:18" ht="15.6">
      <c r="B62" s="185"/>
      <c r="C62" s="194"/>
      <c r="D62" s="187"/>
      <c r="E62" s="64"/>
      <c r="F62" s="64"/>
      <c r="G62" s="63"/>
      <c r="H62" s="63"/>
      <c r="I62" s="63"/>
      <c r="J62" s="63"/>
      <c r="K62" s="63"/>
      <c r="L62" s="172"/>
      <c r="M62" s="63"/>
      <c r="N62" s="63"/>
      <c r="O62" s="63"/>
      <c r="P62" s="63"/>
      <c r="Q62" s="63"/>
      <c r="R62" s="185"/>
    </row>
    <row r="63" spans="1:18" ht="15.6">
      <c r="B63" s="185"/>
      <c r="C63" s="195"/>
      <c r="D63" s="196"/>
      <c r="E63" s="184"/>
      <c r="F63" s="184"/>
      <c r="G63" s="143"/>
      <c r="H63" s="143"/>
      <c r="I63" s="143"/>
      <c r="J63" s="143"/>
      <c r="K63" s="143"/>
      <c r="L63" s="173"/>
      <c r="M63" s="143"/>
      <c r="N63" s="143"/>
      <c r="O63" s="143"/>
      <c r="P63" s="143"/>
      <c r="Q63" s="143"/>
      <c r="R63" s="185"/>
    </row>
    <row r="64" spans="1:18" ht="15.6">
      <c r="B64" s="185"/>
      <c r="C64" s="194"/>
      <c r="D64" s="187"/>
      <c r="E64" s="64"/>
      <c r="F64" s="64"/>
      <c r="G64" s="63"/>
      <c r="H64" s="63"/>
      <c r="I64" s="63"/>
      <c r="J64" s="63"/>
      <c r="K64" s="63"/>
      <c r="L64" s="172"/>
      <c r="M64" s="63"/>
      <c r="N64" s="63"/>
      <c r="O64" s="63"/>
      <c r="P64" s="63"/>
      <c r="Q64" s="63"/>
      <c r="R64" s="185"/>
    </row>
    <row r="65" spans="2:18" ht="15.6">
      <c r="B65" s="185"/>
      <c r="C65" s="185"/>
      <c r="D65" s="101"/>
      <c r="E65" s="101" t="s">
        <v>1039</v>
      </c>
      <c r="L65" s="155"/>
      <c r="R65" s="185"/>
    </row>
    <row r="66" spans="2:18">
      <c r="B66" s="185"/>
      <c r="C66" s="185"/>
      <c r="D66" s="185"/>
      <c r="L66" s="155"/>
      <c r="R66" s="185"/>
    </row>
    <row r="67" spans="2:18">
      <c r="B67" s="185"/>
      <c r="C67" s="185"/>
      <c r="D67" s="187"/>
      <c r="L67" s="155"/>
      <c r="R67" s="185"/>
    </row>
    <row r="68" spans="2:18">
      <c r="B68" s="185"/>
      <c r="C68" s="185"/>
      <c r="D68" s="187"/>
      <c r="E68" s="197" t="s">
        <v>379</v>
      </c>
      <c r="F68" s="174"/>
      <c r="G68" s="29" t="str">
        <f>IF(G9+G20+G25+G33='P&amp;L'!G26-'P&amp;L'!G14,"OK","ERROR")</f>
        <v>OK</v>
      </c>
      <c r="H68" s="29" t="str">
        <f>IF(H9+H20+H25+H33='P&amp;L'!H26-'P&amp;L'!H14,"OK","ERROR")</f>
        <v>OK</v>
      </c>
      <c r="I68" s="29" t="str">
        <f>IF(I9+I20+I25+I33='P&amp;L'!I26-'P&amp;L'!I14,"OK","ERROR")</f>
        <v>OK</v>
      </c>
      <c r="J68" s="29" t="str">
        <f>IF(J9+J20+J25+J33='P&amp;L'!J26-'P&amp;L'!J14,"OK","ERROR")</f>
        <v>OK</v>
      </c>
      <c r="K68" s="29" t="str">
        <f>IF(K9+K20+K25+K33='P&amp;L'!K26-'P&amp;L'!K14,"OK","ERROR")</f>
        <v>OK</v>
      </c>
      <c r="L68" s="174" t="str">
        <f>IF(L9+L20+L25+L33='P&amp;L'!L26-'P&amp;L'!L14,"OK","ERROR")</f>
        <v>OK</v>
      </c>
      <c r="M68" s="64"/>
      <c r="N68" s="64"/>
      <c r="O68" s="64"/>
      <c r="P68" s="64"/>
      <c r="Q68" s="64"/>
      <c r="R68" s="185"/>
    </row>
    <row r="69" spans="2:18">
      <c r="B69" s="185"/>
      <c r="C69" s="185"/>
      <c r="D69" s="187"/>
      <c r="E69" s="197" t="s">
        <v>456</v>
      </c>
      <c r="F69" s="174"/>
      <c r="G69" s="29" t="str">
        <f>IF(G47='P&amp;L'!G45-'P&amp;L'!G30,"OK","ERROR")</f>
        <v>OK</v>
      </c>
      <c r="H69" s="29" t="str">
        <f>IF(H47='P&amp;L'!H45-'P&amp;L'!H30,"OK","ERROR")</f>
        <v>OK</v>
      </c>
      <c r="I69" s="29" t="str">
        <f>IF(I47='P&amp;L'!I45-'P&amp;L'!I30,"OK","ERROR")</f>
        <v>OK</v>
      </c>
      <c r="J69" s="29" t="str">
        <f>IF(J47='P&amp;L'!J45-'P&amp;L'!J30,"OK","ERROR")</f>
        <v>OK</v>
      </c>
      <c r="K69" s="29" t="str">
        <f>IF(K47='P&amp;L'!K45-'P&amp;L'!K30,"OK","ERROR")</f>
        <v>OK</v>
      </c>
      <c r="L69" s="174" t="str">
        <f>IF(L47='P&amp;L'!L45-'P&amp;L'!L30,"OK","ERROR")</f>
        <v>OK</v>
      </c>
      <c r="M69" s="64"/>
      <c r="N69" s="64"/>
      <c r="O69" s="64"/>
      <c r="P69" s="64"/>
      <c r="Q69" s="64"/>
      <c r="R69" s="185"/>
    </row>
    <row r="70" spans="2:18">
      <c r="B70" s="187"/>
      <c r="C70" s="187"/>
      <c r="D70" s="187"/>
      <c r="E70" s="64"/>
      <c r="F70" s="64"/>
      <c r="G70" s="64"/>
      <c r="H70" s="64"/>
      <c r="I70" s="64"/>
      <c r="J70" s="64"/>
      <c r="K70" s="64"/>
      <c r="L70" s="175"/>
      <c r="M70" s="64"/>
      <c r="N70" s="64"/>
      <c r="O70" s="64"/>
      <c r="P70" s="64"/>
      <c r="Q70" s="64"/>
      <c r="R70" s="187"/>
    </row>
    <row r="71" spans="2:18">
      <c r="B71" s="185"/>
      <c r="C71" s="185"/>
      <c r="D71" s="185"/>
      <c r="L71" s="155"/>
      <c r="R71" s="185"/>
    </row>
    <row r="72" spans="2:18" ht="15.6">
      <c r="B72" s="185"/>
      <c r="C72" s="101" t="s">
        <v>380</v>
      </c>
      <c r="D72" s="185"/>
      <c r="L72" s="155"/>
      <c r="R72" s="185"/>
    </row>
    <row r="73" spans="2:18">
      <c r="B73" s="185"/>
      <c r="C73" s="185"/>
      <c r="D73" s="185"/>
      <c r="L73" s="155"/>
      <c r="R73" s="185"/>
    </row>
    <row r="74" spans="2:18">
      <c r="B74" s="185"/>
      <c r="C74" s="185" t="s">
        <v>381</v>
      </c>
      <c r="D74" s="185"/>
      <c r="G74" s="119" t="s">
        <v>158</v>
      </c>
      <c r="H74" s="177">
        <f>IFERROR((H7-G7)/G7,"-")</f>
        <v>0.10271372792789285</v>
      </c>
      <c r="I74" s="177">
        <f t="shared" ref="I74:Q74" si="29">IFERROR((I7-H7)/H7,"-")</f>
        <v>1.9923687520478548E-2</v>
      </c>
      <c r="J74" s="177">
        <f t="shared" si="29"/>
        <v>9.9251091582380047E-2</v>
      </c>
      <c r="K74" s="177">
        <f t="shared" si="29"/>
        <v>0.1405819873043806</v>
      </c>
      <c r="L74" s="178">
        <f t="shared" si="29"/>
        <v>5.888776233666515E-2</v>
      </c>
      <c r="M74" s="177">
        <f t="shared" si="29"/>
        <v>9.5997156087352195E-2</v>
      </c>
      <c r="N74" s="177">
        <f t="shared" si="29"/>
        <v>9.5091127222958594E-2</v>
      </c>
      <c r="O74" s="177">
        <f t="shared" si="29"/>
        <v>7.5000000000000053E-2</v>
      </c>
      <c r="P74" s="177">
        <f t="shared" si="29"/>
        <v>7.0000000000000007E-2</v>
      </c>
      <c r="Q74" s="177">
        <f t="shared" si="29"/>
        <v>6.5000000000000058E-2</v>
      </c>
      <c r="R74" s="185"/>
    </row>
    <row r="75" spans="2:18">
      <c r="B75" s="185"/>
      <c r="C75" s="185" t="s">
        <v>382</v>
      </c>
      <c r="D75" s="185"/>
      <c r="G75" s="177">
        <f>IFERROR((G9*-1)/G7,"-")</f>
        <v>0.49468974403802196</v>
      </c>
      <c r="H75" s="177">
        <f t="shared" ref="H75:Q75" si="30">IFERROR((H9*-1)/H7,"-")</f>
        <v>0.50393130232683769</v>
      </c>
      <c r="I75" s="177">
        <f t="shared" si="30"/>
        <v>0.49988139980471274</v>
      </c>
      <c r="J75" s="177">
        <f t="shared" si="30"/>
        <v>0.50006389709425336</v>
      </c>
      <c r="K75" s="177">
        <f t="shared" si="30"/>
        <v>0.51794065029002589</v>
      </c>
      <c r="L75" s="178">
        <f t="shared" si="30"/>
        <v>0.54368862148728225</v>
      </c>
      <c r="M75" s="177">
        <f t="shared" si="30"/>
        <v>0.52729999999999999</v>
      </c>
      <c r="N75" s="177">
        <f t="shared" si="30"/>
        <v>0.52029999999999998</v>
      </c>
      <c r="O75" s="177">
        <f t="shared" si="30"/>
        <v>0.51729999999999998</v>
      </c>
      <c r="P75" s="177">
        <f t="shared" si="30"/>
        <v>0.51630000000000009</v>
      </c>
      <c r="Q75" s="177">
        <f t="shared" si="30"/>
        <v>0.51429999999999998</v>
      </c>
      <c r="R75" s="185"/>
    </row>
    <row r="76" spans="2:18">
      <c r="B76" s="185"/>
      <c r="C76" s="185" t="s">
        <v>383</v>
      </c>
      <c r="D76" s="185"/>
      <c r="G76" s="177">
        <f>IFERROR((G20*-1)/G7,"-")</f>
        <v>0.29584749768514018</v>
      </c>
      <c r="H76" s="177">
        <f t="shared" ref="H76:Q76" si="31">IFERROR((H20*-1)/H7,"-")</f>
        <v>0.29177485822062033</v>
      </c>
      <c r="I76" s="177">
        <f t="shared" si="31"/>
        <v>0.2937369885222646</v>
      </c>
      <c r="J76" s="177">
        <f t="shared" si="31"/>
        <v>0.29015670500492324</v>
      </c>
      <c r="K76" s="177">
        <f t="shared" si="31"/>
        <v>0.27507282792771948</v>
      </c>
      <c r="L76" s="178">
        <f t="shared" si="31"/>
        <v>0.26861487837264708</v>
      </c>
      <c r="M76" s="177">
        <f t="shared" si="31"/>
        <v>0.29299999999999998</v>
      </c>
      <c r="N76" s="177">
        <f t="shared" si="31"/>
        <v>0.29199999999999998</v>
      </c>
      <c r="O76" s="177">
        <f t="shared" si="31"/>
        <v>0.29499999999999998</v>
      </c>
      <c r="P76" s="177">
        <f t="shared" si="31"/>
        <v>0.29499999999999998</v>
      </c>
      <c r="Q76" s="177">
        <f t="shared" si="31"/>
        <v>0.29300000000000004</v>
      </c>
      <c r="R76" s="185"/>
    </row>
    <row r="77" spans="2:18">
      <c r="B77" s="185"/>
      <c r="C77" s="185" t="s">
        <v>384</v>
      </c>
      <c r="D77" s="185"/>
      <c r="G77" s="177">
        <f>IFERROR(G25*-1/G7,"-")</f>
        <v>2.1002738980943687E-2</v>
      </c>
      <c r="H77" s="177">
        <f t="shared" ref="H77:Q77" si="32">IFERROR(H25*-1/H7,"-")</f>
        <v>2.0775127158105883E-2</v>
      </c>
      <c r="I77" s="177">
        <f t="shared" si="32"/>
        <v>2.5383896166104754E-2</v>
      </c>
      <c r="J77" s="177">
        <f t="shared" si="32"/>
        <v>2.5153457775543123E-2</v>
      </c>
      <c r="K77" s="177">
        <f t="shared" si="32"/>
        <v>2.322503737826807E-2</v>
      </c>
      <c r="L77" s="178">
        <f t="shared" si="32"/>
        <v>2.6969901707648555E-2</v>
      </c>
      <c r="M77" s="177">
        <f t="shared" si="32"/>
        <v>2.3833807599848378E-2</v>
      </c>
      <c r="N77" s="177">
        <f t="shared" si="32"/>
        <v>2.3825280550502419E-2</v>
      </c>
      <c r="O77" s="177">
        <f t="shared" si="32"/>
        <v>2.3818856395594494E-2</v>
      </c>
      <c r="P77" s="177">
        <f t="shared" si="32"/>
        <v>2.3813286013105363E-2</v>
      </c>
      <c r="Q77" s="177">
        <f t="shared" si="32"/>
        <v>2.380844774764268E-2</v>
      </c>
      <c r="R77" s="185"/>
    </row>
    <row r="78" spans="2:18">
      <c r="B78" s="185"/>
      <c r="C78" s="185" t="s">
        <v>385</v>
      </c>
      <c r="D78" s="185"/>
      <c r="G78" s="177">
        <f>G33*-1/G7</f>
        <v>6.8701153221054538E-3</v>
      </c>
      <c r="H78" s="177">
        <f t="shared" ref="H78:Q78" si="33">H33*-1/H7</f>
        <v>6.997072222046063E-3</v>
      </c>
      <c r="I78" s="177">
        <f t="shared" si="33"/>
        <v>5.7043239558576984E-3</v>
      </c>
      <c r="J78" s="177">
        <f t="shared" si="33"/>
        <v>3.2273270064735091E-3</v>
      </c>
      <c r="K78" s="177">
        <f t="shared" si="33"/>
        <v>3.5449659646531986E-3</v>
      </c>
      <c r="L78" s="178">
        <f t="shared" si="33"/>
        <v>6.7858409750656771E-3</v>
      </c>
      <c r="M78" s="177">
        <f t="shared" si="33"/>
        <v>4.2479688577142525E-3</v>
      </c>
      <c r="N78" s="177">
        <f t="shared" si="33"/>
        <v>4.2479688577142525E-3</v>
      </c>
      <c r="O78" s="177">
        <f t="shared" si="33"/>
        <v>4.2479688577142525E-3</v>
      </c>
      <c r="P78" s="177">
        <f t="shared" si="33"/>
        <v>4.2479688577142525E-3</v>
      </c>
      <c r="Q78" s="177">
        <f t="shared" si="33"/>
        <v>4.2479688577142525E-3</v>
      </c>
      <c r="R78" s="185"/>
    </row>
    <row r="79" spans="2:18">
      <c r="B79" s="185"/>
      <c r="C79" s="185" t="s">
        <v>448</v>
      </c>
      <c r="D79" s="185"/>
      <c r="G79" s="177">
        <f>IFERROR(G38/G7,"-")</f>
        <v>3.95216172290319E-2</v>
      </c>
      <c r="H79" s="177">
        <f t="shared" ref="H79:Q79" si="34">IFERROR(H38/H7,"-")</f>
        <v>3.4782189996699943E-2</v>
      </c>
      <c r="I79" s="177">
        <f t="shared" si="34"/>
        <v>3.5152867591517901E-2</v>
      </c>
      <c r="J79" s="177">
        <f t="shared" si="34"/>
        <v>3.4073911130664318E-2</v>
      </c>
      <c r="K79" s="177">
        <f t="shared" si="34"/>
        <v>3.6107223281426216E-2</v>
      </c>
      <c r="L79" s="178">
        <f t="shared" si="34"/>
        <v>3.8629162984208869E-2</v>
      </c>
      <c r="M79" s="177">
        <f t="shared" si="34"/>
        <v>3.637782870225819E-2</v>
      </c>
      <c r="N79" s="177">
        <f t="shared" si="34"/>
        <v>3.637782870225819E-2</v>
      </c>
      <c r="O79" s="177">
        <f t="shared" si="34"/>
        <v>3.637782870225819E-2</v>
      </c>
      <c r="P79" s="177">
        <f t="shared" si="34"/>
        <v>3.637782870225819E-2</v>
      </c>
      <c r="Q79" s="177">
        <f t="shared" si="34"/>
        <v>3.637782870225819E-2</v>
      </c>
      <c r="R79" s="185" t="s">
        <v>449</v>
      </c>
    </row>
    <row r="80" spans="2:18">
      <c r="B80" s="185"/>
      <c r="C80" s="185" t="s">
        <v>371</v>
      </c>
      <c r="D80" s="185"/>
      <c r="G80" s="177">
        <f t="shared" ref="G80:L80" si="35">IFERROR(G43*-1/G41,"-")</f>
        <v>0.19809788226954536</v>
      </c>
      <c r="H80" s="177">
        <f t="shared" si="35"/>
        <v>0.16162096629174372</v>
      </c>
      <c r="I80" s="177">
        <f t="shared" si="35"/>
        <v>0.16190779382398063</v>
      </c>
      <c r="J80" s="177">
        <f t="shared" si="35"/>
        <v>0.17552976864702993</v>
      </c>
      <c r="K80" s="177">
        <f t="shared" si="35"/>
        <v>0.23183643987174513</v>
      </c>
      <c r="L80" s="178">
        <f t="shared" si="35"/>
        <v>0.23300800338691449</v>
      </c>
      <c r="M80" s="202">
        <v>0.23300000000000001</v>
      </c>
      <c r="N80" s="177">
        <f>M80</f>
        <v>0.23300000000000001</v>
      </c>
      <c r="O80" s="177">
        <f t="shared" ref="O80:Q81" si="36">N80</f>
        <v>0.23300000000000001</v>
      </c>
      <c r="P80" s="177">
        <f t="shared" si="36"/>
        <v>0.23300000000000001</v>
      </c>
      <c r="Q80" s="177">
        <f t="shared" si="36"/>
        <v>0.23300000000000001</v>
      </c>
      <c r="R80" s="185" t="s">
        <v>386</v>
      </c>
    </row>
    <row r="81" spans="2:18">
      <c r="B81" s="185"/>
      <c r="C81" s="185" t="s">
        <v>587</v>
      </c>
      <c r="D81" s="185"/>
      <c r="G81" s="177">
        <f t="shared" ref="G81:L81" si="37">IFERROR(G54/G52,"-")</f>
        <v>0.9768508287292812</v>
      </c>
      <c r="H81" s="177">
        <f t="shared" si="37"/>
        <v>0.33727833168429855</v>
      </c>
      <c r="I81" s="177">
        <f t="shared" si="37"/>
        <v>0.36722769747156303</v>
      </c>
      <c r="J81" s="177">
        <f t="shared" si="37"/>
        <v>0.49635309795042326</v>
      </c>
      <c r="K81" s="177">
        <f t="shared" si="37"/>
        <v>0.52849721919614689</v>
      </c>
      <c r="L81" s="178">
        <f t="shared" si="37"/>
        <v>0.54236388406069447</v>
      </c>
      <c r="M81" s="202">
        <v>0.5</v>
      </c>
      <c r="N81" s="177">
        <f>M81</f>
        <v>0.5</v>
      </c>
      <c r="O81" s="177">
        <f t="shared" si="36"/>
        <v>0.5</v>
      </c>
      <c r="P81" s="177">
        <f t="shared" si="36"/>
        <v>0.5</v>
      </c>
      <c r="Q81" s="177">
        <f t="shared" si="36"/>
        <v>0.5</v>
      </c>
      <c r="R81" s="185"/>
    </row>
    <row r="82" spans="2:18">
      <c r="B82" s="185"/>
      <c r="C82" s="185" t="s">
        <v>782</v>
      </c>
      <c r="D82" s="185"/>
      <c r="G82" s="177">
        <f>G56/G52</f>
        <v>2.3149171270718763E-2</v>
      </c>
      <c r="H82" s="177">
        <f t="shared" ref="H82:Q82" si="38">H56/H52</f>
        <v>0.66272166831570145</v>
      </c>
      <c r="I82" s="177">
        <f t="shared" si="38"/>
        <v>0.63277230252843697</v>
      </c>
      <c r="J82" s="177">
        <f t="shared" si="38"/>
        <v>0.50364690204957674</v>
      </c>
      <c r="K82" s="177">
        <f t="shared" si="38"/>
        <v>0.47150278080385311</v>
      </c>
      <c r="L82" s="178">
        <f t="shared" si="38"/>
        <v>0.45763611593930553</v>
      </c>
      <c r="M82" s="177">
        <f t="shared" si="38"/>
        <v>0.5</v>
      </c>
      <c r="N82" s="177">
        <f t="shared" si="38"/>
        <v>0.5</v>
      </c>
      <c r="O82" s="177">
        <f t="shared" si="38"/>
        <v>0.5</v>
      </c>
      <c r="P82" s="177">
        <f t="shared" si="38"/>
        <v>0.5</v>
      </c>
      <c r="Q82" s="177">
        <f t="shared" si="38"/>
        <v>0.5</v>
      </c>
      <c r="R82" s="185"/>
    </row>
    <row r="83" spans="2:18" ht="15.6">
      <c r="B83" s="101" t="s">
        <v>585</v>
      </c>
      <c r="C83" s="185"/>
      <c r="D83" s="185"/>
      <c r="L83" s="155"/>
      <c r="R83" s="185"/>
    </row>
    <row r="84" spans="2:18" ht="15.6">
      <c r="B84" s="185"/>
      <c r="C84" s="101"/>
      <c r="D84" s="185"/>
      <c r="L84" s="155"/>
      <c r="R84" s="185"/>
    </row>
    <row r="85" spans="2:18" ht="15.6">
      <c r="B85" s="259">
        <v>1</v>
      </c>
      <c r="C85" s="101" t="s">
        <v>557</v>
      </c>
      <c r="D85" s="185"/>
      <c r="G85" s="128">
        <f>IFERROR(G27*(1-G44),"-")</f>
        <v>1166.9760758484217</v>
      </c>
      <c r="H85" s="128">
        <f t="shared" ref="H85:Q85" si="39">IFERROR(H27*(1-H44),"-")</f>
        <v>1310.101380814544</v>
      </c>
      <c r="I85" s="128">
        <f t="shared" si="39"/>
        <v>1317.3971388880846</v>
      </c>
      <c r="J85" s="128">
        <f t="shared" si="39"/>
        <v>1453.1700062711775</v>
      </c>
      <c r="K85" s="128">
        <f t="shared" si="39"/>
        <v>1537.0338307318279</v>
      </c>
      <c r="L85" s="166">
        <f t="shared" si="39"/>
        <v>1421.3588884435051</v>
      </c>
      <c r="M85" s="128">
        <f t="shared" si="39"/>
        <v>1510.7127044474967</v>
      </c>
      <c r="N85" s="128">
        <f t="shared" si="39"/>
        <v>1739.3708060939593</v>
      </c>
      <c r="O85" s="128">
        <f t="shared" si="39"/>
        <v>1869.8969166707784</v>
      </c>
      <c r="P85" s="128">
        <f t="shared" si="39"/>
        <v>2013.066493765223</v>
      </c>
      <c r="Q85" s="128">
        <f t="shared" si="39"/>
        <v>2195.988150189879</v>
      </c>
    </row>
    <row r="86" spans="2:18" ht="15.6">
      <c r="B86" s="259"/>
      <c r="C86" s="101"/>
      <c r="D86" s="185"/>
      <c r="G86" s="63"/>
      <c r="H86" s="63"/>
      <c r="I86" s="63"/>
      <c r="J86" s="63"/>
      <c r="K86" s="63"/>
      <c r="L86" s="172"/>
      <c r="M86" s="63"/>
      <c r="N86" s="63"/>
      <c r="O86" s="63"/>
      <c r="P86" s="63"/>
      <c r="Q86" s="63"/>
      <c r="R86" s="185"/>
    </row>
    <row r="87" spans="2:18" ht="15.6">
      <c r="B87" s="259">
        <v>2</v>
      </c>
      <c r="C87" s="101" t="s">
        <v>666</v>
      </c>
      <c r="D87" s="101"/>
      <c r="E87" s="221"/>
      <c r="F87" s="221"/>
      <c r="G87" s="248">
        <f>G9*-1</f>
        <v>3819.92</v>
      </c>
      <c r="H87" s="248">
        <f t="shared" ref="H87:Q87" si="40">H9*-1</f>
        <v>4290.9699999999993</v>
      </c>
      <c r="I87" s="248">
        <f t="shared" si="40"/>
        <v>4341.29</v>
      </c>
      <c r="J87" s="248">
        <f t="shared" si="40"/>
        <v>4773.91</v>
      </c>
      <c r="K87" s="248">
        <f t="shared" si="40"/>
        <v>5639.69</v>
      </c>
      <c r="L87" s="249">
        <f t="shared" si="40"/>
        <v>6268.67</v>
      </c>
      <c r="M87" s="248">
        <f t="shared" si="40"/>
        <v>6663.3459625450005</v>
      </c>
      <c r="N87" s="248">
        <f t="shared" si="40"/>
        <v>7200.102470579056</v>
      </c>
      <c r="O87" s="248">
        <f t="shared" si="40"/>
        <v>7695.4814215507149</v>
      </c>
      <c r="P87" s="248">
        <f t="shared" si="40"/>
        <v>8218.2475391511671</v>
      </c>
      <c r="Q87" s="248">
        <f t="shared" si="40"/>
        <v>8718.5291797317423</v>
      </c>
      <c r="R87" s="221"/>
    </row>
    <row r="88" spans="2:18">
      <c r="B88" s="259"/>
      <c r="C88" s="185"/>
      <c r="D88" s="185"/>
      <c r="L88" s="155"/>
    </row>
    <row r="89" spans="2:18">
      <c r="B89" s="259"/>
      <c r="C89" s="2" t="s">
        <v>667</v>
      </c>
      <c r="D89" s="185"/>
      <c r="G89" s="128">
        <f>'P&amp;L'!G13*-1</f>
        <v>3220.05</v>
      </c>
      <c r="H89" s="128">
        <f>'P&amp;L'!H13*-1</f>
        <v>3475.35</v>
      </c>
      <c r="I89" s="128">
        <f>'P&amp;L'!I13*-1</f>
        <v>3731.71</v>
      </c>
      <c r="J89" s="128">
        <f>'P&amp;L'!J13*-1</f>
        <v>3998.58</v>
      </c>
      <c r="K89" s="128">
        <f>'P&amp;L'!K13*-1</f>
        <v>4766.12</v>
      </c>
      <c r="L89" s="245">
        <f>'P&amp;L'!L13*-1</f>
        <v>5306.97</v>
      </c>
      <c r="M89" s="128">
        <f>COGS!M6</f>
        <v>5686.5269925000002</v>
      </c>
      <c r="N89" s="128">
        <f>COGS!N6</f>
        <v>6061.2048474219228</v>
      </c>
      <c r="O89" s="128">
        <f>COGS!O6</f>
        <v>6471.1664766567965</v>
      </c>
      <c r="P89" s="128">
        <f>COGS!P6</f>
        <v>6908.2305481146741</v>
      </c>
      <c r="Q89" s="128">
        <f>COGS!Q6</f>
        <v>7323.3610842778789</v>
      </c>
    </row>
    <row r="90" spans="2:18">
      <c r="B90" s="259"/>
      <c r="C90" s="2" t="s">
        <v>668</v>
      </c>
      <c r="G90" s="128">
        <f>'P&amp;L'!G15*-1</f>
        <v>665.8</v>
      </c>
      <c r="H90" s="128">
        <f>'P&amp;L'!H15*-1</f>
        <v>802.98</v>
      </c>
      <c r="I90" s="128">
        <f>'P&amp;L'!I15*-1</f>
        <v>674.62</v>
      </c>
      <c r="J90" s="128">
        <f>'P&amp;L'!J15*-1</f>
        <v>982.53</v>
      </c>
      <c r="K90" s="128">
        <f>'P&amp;L'!K15*-1</f>
        <v>882.12</v>
      </c>
      <c r="L90" s="245">
        <f>'P&amp;L'!L15*-1</f>
        <v>1052.49</v>
      </c>
      <c r="M90" s="128">
        <f>COGS!M7</f>
        <v>1074.1217652500002</v>
      </c>
      <c r="N90" s="128">
        <f>COGS!N7</f>
        <v>1245.453050840121</v>
      </c>
      <c r="O90" s="128">
        <f>COGS!O7</f>
        <v>1338.8620296531303</v>
      </c>
      <c r="P90" s="128">
        <f>COGS!P7</f>
        <v>1432.5823717288495</v>
      </c>
      <c r="Q90" s="128">
        <f>COGS!Q7</f>
        <v>1525.7002258912248</v>
      </c>
    </row>
    <row r="91" spans="2:18">
      <c r="B91" s="259"/>
      <c r="C91" s="2" t="s">
        <v>669</v>
      </c>
      <c r="G91" s="128">
        <f>'P&amp;L'!G16*-1</f>
        <v>-65.930000000000007</v>
      </c>
      <c r="H91" s="128">
        <f>'P&amp;L'!H16*-1</f>
        <v>12.64</v>
      </c>
      <c r="I91" s="128">
        <f>'P&amp;L'!I16*-1</f>
        <v>-65.040000000000006</v>
      </c>
      <c r="J91" s="128">
        <f>'P&amp;L'!J16*-1</f>
        <v>-207.2</v>
      </c>
      <c r="K91" s="128">
        <f>'P&amp;L'!K16*-1</f>
        <v>-8.5500000000000007</v>
      </c>
      <c r="L91" s="245">
        <f>'P&amp;L'!L16*-1</f>
        <v>-90.79</v>
      </c>
      <c r="M91" s="128">
        <f>COGS!M8</f>
        <v>-97.30279520500001</v>
      </c>
      <c r="N91" s="128">
        <f>COGS!N8</f>
        <v>-106.55542768298815</v>
      </c>
      <c r="O91" s="128">
        <f>COGS!O8</f>
        <v>-114.54708475921227</v>
      </c>
      <c r="P91" s="128">
        <f>COGS!P8</f>
        <v>-122.56538069235712</v>
      </c>
      <c r="Q91" s="128">
        <f>COGS!Q8</f>
        <v>-130.53213043736034</v>
      </c>
    </row>
    <row r="92" spans="2:18">
      <c r="B92" s="259"/>
      <c r="C92" s="2"/>
      <c r="G92" s="128"/>
      <c r="H92" s="128"/>
      <c r="I92" s="128"/>
      <c r="J92" s="128"/>
      <c r="K92" s="128"/>
      <c r="L92" s="245"/>
      <c r="M92" s="128"/>
      <c r="N92" s="128"/>
      <c r="O92" s="128"/>
      <c r="P92" s="128"/>
      <c r="Q92" s="128"/>
    </row>
    <row r="93" spans="2:18">
      <c r="B93" s="259"/>
      <c r="C93" s="182"/>
      <c r="D93" s="182"/>
      <c r="E93" s="182"/>
      <c r="F93" s="182"/>
      <c r="G93" s="250">
        <f>SUM(G89:G91)</f>
        <v>3819.9200000000005</v>
      </c>
      <c r="H93" s="250">
        <f t="shared" ref="H93:Q93" si="41">SUM(H89:H91)</f>
        <v>4290.97</v>
      </c>
      <c r="I93" s="250">
        <f t="shared" si="41"/>
        <v>4341.29</v>
      </c>
      <c r="J93" s="250">
        <f t="shared" si="41"/>
        <v>4773.91</v>
      </c>
      <c r="K93" s="250">
        <f t="shared" si="41"/>
        <v>5639.69</v>
      </c>
      <c r="L93" s="251">
        <f t="shared" si="41"/>
        <v>6268.67</v>
      </c>
      <c r="M93" s="250">
        <f t="shared" si="41"/>
        <v>6663.3459625450005</v>
      </c>
      <c r="N93" s="250">
        <f t="shared" si="41"/>
        <v>7200.102470579056</v>
      </c>
      <c r="O93" s="250">
        <f t="shared" si="41"/>
        <v>7695.4814215507149</v>
      </c>
      <c r="P93" s="250">
        <f t="shared" si="41"/>
        <v>8218.2475391511671</v>
      </c>
      <c r="Q93" s="250">
        <f t="shared" si="41"/>
        <v>8718.5291797317423</v>
      </c>
    </row>
    <row r="94" spans="2:18">
      <c r="B94" s="259"/>
      <c r="L94" s="242"/>
    </row>
    <row r="95" spans="2:18">
      <c r="B95" s="259"/>
      <c r="L95" s="242"/>
    </row>
    <row r="96" spans="2:18">
      <c r="B96" s="259"/>
      <c r="L96" s="242"/>
    </row>
    <row r="97" spans="2:12">
      <c r="B97" s="259"/>
      <c r="L97" s="242"/>
    </row>
    <row r="98" spans="2:12">
      <c r="L98" s="242"/>
    </row>
    <row r="99" spans="2:12">
      <c r="L99" s="242"/>
    </row>
    <row r="100" spans="2:12">
      <c r="L100" s="242"/>
    </row>
    <row r="101" spans="2:12">
      <c r="L101" s="242"/>
    </row>
  </sheetData>
  <phoneticPr fontId="11" type="noConversion"/>
  <hyperlinks>
    <hyperlink ref="B1" location="Forecasting!L15" display="Forecasting sheet Link" xr:uid="{B8BC5876-C33A-4674-8D3F-30894BFAFAE5}"/>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6D74A-F9E4-4DBA-9577-A58C2A7E1ECE}">
  <sheetPr codeName="Sheet25"/>
  <dimension ref="B1:R169"/>
  <sheetViews>
    <sheetView showGridLines="0" zoomScaleNormal="100" workbookViewId="0">
      <pane ySplit="3" topLeftCell="A4" activePane="bottomLeft" state="frozen"/>
      <selection activeCell="C2" sqref="C2"/>
      <selection pane="bottomLeft" activeCell="G31" sqref="G31:P31"/>
    </sheetView>
  </sheetViews>
  <sheetFormatPr defaultColWidth="11.77734375" defaultRowHeight="15"/>
  <cols>
    <col min="1" max="1" width="2.6640625" style="2" customWidth="1"/>
    <col min="2" max="17" width="15.5546875" style="2" customWidth="1"/>
    <col min="18" max="18" width="60.6640625" style="2" customWidth="1"/>
    <col min="19" max="16384" width="11.77734375" style="2"/>
  </cols>
  <sheetData>
    <row r="1" spans="2:18" ht="23.4">
      <c r="B1" s="456" t="s">
        <v>1017</v>
      </c>
      <c r="L1" s="157"/>
    </row>
    <row r="2" spans="2:18" ht="15.6">
      <c r="E2" s="3" t="s">
        <v>82</v>
      </c>
      <c r="G2" s="119" t="s">
        <v>350</v>
      </c>
      <c r="H2" s="119" t="s">
        <v>350</v>
      </c>
      <c r="I2" s="119" t="s">
        <v>350</v>
      </c>
      <c r="J2" s="119" t="s">
        <v>350</v>
      </c>
      <c r="K2" s="119" t="s">
        <v>350</v>
      </c>
      <c r="L2" s="155" t="s">
        <v>350</v>
      </c>
      <c r="M2" s="119" t="s">
        <v>351</v>
      </c>
      <c r="N2" s="119" t="s">
        <v>351</v>
      </c>
      <c r="O2" s="119" t="s">
        <v>351</v>
      </c>
      <c r="P2" s="119" t="s">
        <v>351</v>
      </c>
      <c r="Q2" s="119" t="s">
        <v>351</v>
      </c>
    </row>
    <row r="3" spans="2:18">
      <c r="C3" s="121" t="s">
        <v>412</v>
      </c>
      <c r="D3" s="120"/>
      <c r="E3" s="120"/>
      <c r="F3" s="120"/>
      <c r="G3" s="127" t="s">
        <v>229</v>
      </c>
      <c r="H3" s="127" t="s">
        <v>42</v>
      </c>
      <c r="I3" s="127" t="s">
        <v>43</v>
      </c>
      <c r="J3" s="127" t="s">
        <v>44</v>
      </c>
      <c r="K3" s="127" t="s">
        <v>45</v>
      </c>
      <c r="L3" s="156" t="s">
        <v>46</v>
      </c>
      <c r="M3" s="127" t="s">
        <v>349</v>
      </c>
      <c r="N3" s="127" t="s">
        <v>352</v>
      </c>
      <c r="O3" s="127" t="s">
        <v>353</v>
      </c>
      <c r="P3" s="127" t="s">
        <v>354</v>
      </c>
      <c r="Q3" s="127" t="s">
        <v>355</v>
      </c>
      <c r="R3" s="130" t="s">
        <v>365</v>
      </c>
    </row>
    <row r="4" spans="2:18" ht="15.6">
      <c r="G4" s="119"/>
      <c r="H4" s="119"/>
      <c r="I4" s="119"/>
      <c r="J4" s="119"/>
      <c r="K4" s="119"/>
      <c r="L4" s="181"/>
      <c r="M4" s="119"/>
      <c r="N4" s="119"/>
      <c r="O4" s="119"/>
      <c r="P4" s="119"/>
      <c r="Q4" s="119"/>
    </row>
    <row r="5" spans="2:18">
      <c r="B5" s="185"/>
      <c r="C5" s="185"/>
      <c r="D5" s="185"/>
      <c r="E5" s="185"/>
      <c r="F5" s="185"/>
      <c r="G5" s="119"/>
      <c r="H5" s="119"/>
      <c r="I5" s="119"/>
      <c r="J5" s="119"/>
      <c r="K5" s="119"/>
      <c r="L5" s="155"/>
      <c r="M5" s="119"/>
      <c r="N5" s="119"/>
      <c r="O5" s="119"/>
      <c r="P5" s="119"/>
      <c r="Q5" s="119"/>
      <c r="R5" s="185"/>
    </row>
    <row r="6" spans="2:18" ht="15.6">
      <c r="B6" s="185"/>
      <c r="C6" s="101" t="s">
        <v>413</v>
      </c>
      <c r="D6" s="185"/>
      <c r="E6" s="185"/>
      <c r="F6" s="185"/>
      <c r="G6" s="119"/>
      <c r="H6" s="119"/>
      <c r="I6" s="119"/>
      <c r="J6" s="119"/>
      <c r="K6" s="119"/>
      <c r="L6" s="155"/>
      <c r="M6" s="119"/>
      <c r="N6" s="119"/>
      <c r="O6" s="119"/>
      <c r="P6" s="119"/>
      <c r="Q6" s="119"/>
      <c r="R6" s="185"/>
    </row>
    <row r="7" spans="2:18">
      <c r="B7" s="185"/>
      <c r="C7" s="185"/>
      <c r="D7" s="185"/>
      <c r="E7" s="185"/>
      <c r="F7" s="185"/>
      <c r="G7" s="128"/>
      <c r="H7" s="128"/>
      <c r="I7" s="128"/>
      <c r="J7" s="128"/>
      <c r="K7" s="128"/>
      <c r="L7" s="166"/>
      <c r="M7" s="128"/>
      <c r="N7" s="128"/>
      <c r="O7" s="128"/>
      <c r="P7" s="128"/>
      <c r="Q7" s="128"/>
      <c r="R7" s="185"/>
    </row>
    <row r="8" spans="2:18">
      <c r="B8" s="185"/>
      <c r="C8" s="185"/>
      <c r="D8" s="185" t="s">
        <v>282</v>
      </c>
      <c r="E8" s="185"/>
      <c r="F8" s="185"/>
      <c r="G8" s="128">
        <f>'P&amp;L(OUTPUT)'!G41</f>
        <v>1692.8500000000006</v>
      </c>
      <c r="H8" s="128">
        <f>'P&amp;L(OUTPUT)'!H41</f>
        <v>1723.9100000000005</v>
      </c>
      <c r="I8" s="128">
        <f>'P&amp;L(OUTPUT)'!I41</f>
        <v>1727.6499999999994</v>
      </c>
      <c r="J8" s="128">
        <f>'P&amp;L(OUTPUT)'!J41</f>
        <v>2057.0300000000002</v>
      </c>
      <c r="K8" s="128">
        <f>'P&amp;L(OUTPUT)'!K41</f>
        <v>2270.4800000000005</v>
      </c>
      <c r="L8" s="166">
        <f>'P&amp;L(OUTPUT)'!L41</f>
        <v>2220.3099999999995</v>
      </c>
      <c r="M8" s="128">
        <f>'P&amp;L(OUTPUT)'!M41</f>
        <v>2375.6547234953368</v>
      </c>
      <c r="N8" s="128">
        <f>'P&amp;L(OUTPUT)'!N41</f>
        <v>2712.3833473377604</v>
      </c>
      <c r="O8" s="128">
        <f>'P&amp;L(OUTPUT)'!O41</f>
        <v>2915.9076656889683</v>
      </c>
      <c r="P8" s="128">
        <f>'P&amp;L(OUTPUT)'!P41</f>
        <v>3136.0274512148244</v>
      </c>
      <c r="Q8" s="128">
        <f>'P&amp;L(OUTPUT)'!Q41</f>
        <v>3407.7601538357253</v>
      </c>
      <c r="R8" s="185" t="s">
        <v>898</v>
      </c>
    </row>
    <row r="9" spans="2:18">
      <c r="B9" s="185"/>
      <c r="C9" s="185"/>
      <c r="D9" s="185"/>
      <c r="E9" s="185"/>
      <c r="F9" s="185"/>
      <c r="G9" s="128"/>
      <c r="H9" s="128"/>
      <c r="I9" s="128"/>
      <c r="J9" s="128"/>
      <c r="K9" s="128"/>
      <c r="L9" s="166"/>
      <c r="M9" s="128"/>
      <c r="N9" s="128"/>
      <c r="O9" s="128"/>
      <c r="P9" s="128"/>
      <c r="Q9" s="128"/>
      <c r="R9" s="185"/>
    </row>
    <row r="10" spans="2:18" ht="15.6">
      <c r="B10" s="185"/>
      <c r="C10" s="185"/>
      <c r="D10" s="101" t="s">
        <v>414</v>
      </c>
      <c r="E10" s="185"/>
      <c r="F10" s="185"/>
      <c r="G10" s="128"/>
      <c r="H10" s="128"/>
      <c r="I10" s="128"/>
      <c r="J10" s="128"/>
      <c r="K10" s="128"/>
      <c r="L10" s="166"/>
      <c r="M10" s="128"/>
      <c r="N10" s="128"/>
      <c r="O10" s="128"/>
      <c r="P10" s="128"/>
      <c r="Q10" s="128"/>
      <c r="R10" s="185"/>
    </row>
    <row r="11" spans="2:18">
      <c r="B11" s="185"/>
      <c r="C11" s="185"/>
      <c r="D11" s="185"/>
      <c r="E11" s="185" t="s">
        <v>283</v>
      </c>
      <c r="F11" s="185"/>
      <c r="G11" s="128">
        <f>'P&amp;L(OUTPUT)'!G25*-1</f>
        <v>162.18</v>
      </c>
      <c r="H11" s="128">
        <f>'P&amp;L(OUTPUT)'!H25*-1</f>
        <v>176.9</v>
      </c>
      <c r="I11" s="128">
        <f>'P&amp;L(OUTPUT)'!I25*-1</f>
        <v>220.45</v>
      </c>
      <c r="J11" s="128">
        <f>'P&amp;L(OUTPUT)'!J25*-1</f>
        <v>240.13</v>
      </c>
      <c r="K11" s="128">
        <f>'P&amp;L(OUTPUT)'!K25*-1</f>
        <v>252.89</v>
      </c>
      <c r="L11" s="166">
        <f>'P&amp;L(OUTPUT)'!L25*-1</f>
        <v>310.95999999999998</v>
      </c>
      <c r="M11" s="128">
        <f>'P&amp;L(OUTPUT)'!M25*-1</f>
        <v>301.18131166797656</v>
      </c>
      <c r="N11" s="128">
        <f>'P&amp;L(OUTPUT)'!N25*-1</f>
        <v>329.70298165272266</v>
      </c>
      <c r="O11" s="128">
        <f>'P&amp;L(OUTPUT)'!O25*-1</f>
        <v>354.33513797580099</v>
      </c>
      <c r="P11" s="128">
        <f>'P&amp;L(OUTPUT)'!P25*-1</f>
        <v>379.04993061457691</v>
      </c>
      <c r="Q11" s="128">
        <f>'P&amp;L(OUTPUT)'!Q25*-1</f>
        <v>403.60615674108732</v>
      </c>
      <c r="R11" s="185" t="s">
        <v>899</v>
      </c>
    </row>
    <row r="12" spans="2:18">
      <c r="B12" s="185"/>
      <c r="C12" s="185"/>
      <c r="D12" s="185"/>
      <c r="E12" s="185" t="s">
        <v>327</v>
      </c>
      <c r="F12" s="185"/>
      <c r="G12" s="128">
        <f>'P&amp;L(OUTPUT)'!G33*-1</f>
        <v>53.050000000000004</v>
      </c>
      <c r="H12" s="128">
        <f>'P&amp;L(OUTPUT)'!H33*-1</f>
        <v>59.580000000000005</v>
      </c>
      <c r="I12" s="128">
        <f>'P&amp;L(OUTPUT)'!I33*-1</f>
        <v>49.54</v>
      </c>
      <c r="J12" s="128">
        <f>'P&amp;L(OUTPUT)'!J33*-1</f>
        <v>30.810000000000002</v>
      </c>
      <c r="K12" s="128">
        <f>'P&amp;L(OUTPUT)'!K33*-1</f>
        <v>38.599999999999994</v>
      </c>
      <c r="L12" s="166">
        <f>'P&amp;L(OUTPUT)'!L33*-1</f>
        <v>78.239999999999995</v>
      </c>
      <c r="M12" s="128">
        <f>'P&amp;L(OUTPUT)'!M33*-1</f>
        <v>53.680421272647756</v>
      </c>
      <c r="N12" s="128">
        <f>'P&amp;L(OUTPUT)'!N33*-1</f>
        <v>58.784953041267116</v>
      </c>
      <c r="O12" s="128">
        <f>'P&amp;L(OUTPUT)'!O33*-1</f>
        <v>63.193824519362153</v>
      </c>
      <c r="P12" s="128">
        <f>'P&amp;L(OUTPUT)'!P33*-1</f>
        <v>67.617392235717503</v>
      </c>
      <c r="Q12" s="128">
        <f>'P&amp;L(OUTPUT)'!Q33*-1</f>
        <v>72.012522731039141</v>
      </c>
      <c r="R12" s="185" t="s">
        <v>900</v>
      </c>
    </row>
    <row r="13" spans="2:18">
      <c r="B13" s="185"/>
      <c r="C13" s="185"/>
      <c r="D13" s="185"/>
      <c r="E13" s="185" t="s">
        <v>287</v>
      </c>
      <c r="F13" s="185"/>
      <c r="G13" s="128">
        <f>'Cash flow'!G14</f>
        <v>-241.51999999999998</v>
      </c>
      <c r="H13" s="128">
        <f>'Cash flow'!H14</f>
        <v>-249.39</v>
      </c>
      <c r="I13" s="128">
        <f>'Cash flow'!I14</f>
        <v>-241.2</v>
      </c>
      <c r="J13" s="128">
        <f>'Cash flow'!J14</f>
        <v>-260.77999999999997</v>
      </c>
      <c r="K13" s="128">
        <f>'Cash flow'!K14</f>
        <v>-323.33999999999997</v>
      </c>
      <c r="L13" s="166">
        <f>'Cash flow'!L14</f>
        <v>-361.13</v>
      </c>
      <c r="M13" s="128">
        <f>'P&amp;L(OUTPUT)'!M38*-1</f>
        <v>-459.69667743096102</v>
      </c>
      <c r="N13" s="128">
        <f>'P&amp;L(OUTPUT)'!N38*-1</f>
        <v>-503.4097526685199</v>
      </c>
      <c r="O13" s="128">
        <f>'P&amp;L(OUTPUT)'!O38*-1</f>
        <v>-541.16548411865892</v>
      </c>
      <c r="P13" s="128">
        <f>'P&amp;L(OUTPUT)'!P38*-1</f>
        <v>-579.04706800696499</v>
      </c>
      <c r="Q13" s="128">
        <f>'P&amp;L(OUTPUT)'!Q38*-1</f>
        <v>-616.6851274274178</v>
      </c>
      <c r="R13" s="185" t="s">
        <v>902</v>
      </c>
    </row>
    <row r="14" spans="2:18">
      <c r="B14" s="185"/>
      <c r="C14" s="185"/>
      <c r="D14" s="185"/>
      <c r="E14" s="185" t="s">
        <v>300</v>
      </c>
      <c r="F14" s="185"/>
      <c r="G14" s="128">
        <f>'Cash flow'!G15+'Cash flow'!G16+'Cash flow'!G17</f>
        <v>11.370000000000431</v>
      </c>
      <c r="H14" s="128">
        <f>'Cash flow'!H15+'Cash flow'!H16+'Cash flow'!H17</f>
        <v>155.97999999999954</v>
      </c>
      <c r="I14" s="128">
        <f>'Cash flow'!I15+'Cash flow'!I16+'Cash flow'!I17</f>
        <v>224.11999999999753</v>
      </c>
      <c r="J14" s="128">
        <f>'Cash flow'!J15+'Cash flow'!J16+'Cash flow'!J17</f>
        <v>-18.550000000001106</v>
      </c>
      <c r="K14" s="128">
        <f>'Cash flow'!K15+'Cash flow'!K16+'Cash flow'!K17</f>
        <v>49.880000000001189</v>
      </c>
      <c r="L14" s="166">
        <f>'Cash flow'!L15+'Cash flow'!L16+'Cash flow'!L17</f>
        <v>-103.79999999999951</v>
      </c>
      <c r="M14" s="128">
        <f>'Cash flow'!M15+'Cash flow'!M16+'Cash flow'!M17</f>
        <v>0</v>
      </c>
      <c r="N14" s="128">
        <f>'Cash flow'!N15+'Cash flow'!N16+'Cash flow'!N17</f>
        <v>0</v>
      </c>
      <c r="O14" s="128">
        <f>'Cash flow'!O15+'Cash flow'!O16+'Cash flow'!O17</f>
        <v>0</v>
      </c>
      <c r="P14" s="128">
        <f>'Cash flow'!P15+'Cash flow'!P16+'Cash flow'!P17</f>
        <v>0</v>
      </c>
      <c r="Q14" s="128">
        <f>'Cash flow'!Q15+'Cash flow'!Q16+'Cash flow'!Q17</f>
        <v>0</v>
      </c>
      <c r="R14" s="185" t="s">
        <v>415</v>
      </c>
    </row>
    <row r="15" spans="2:18">
      <c r="B15" s="185"/>
      <c r="C15" s="185"/>
      <c r="D15" s="185"/>
      <c r="E15" s="185"/>
      <c r="F15" s="185"/>
      <c r="G15" s="128"/>
      <c r="H15" s="128"/>
      <c r="I15" s="128"/>
      <c r="J15" s="128"/>
      <c r="K15" s="128"/>
      <c r="L15" s="166"/>
      <c r="M15" s="128"/>
      <c r="N15" s="128"/>
      <c r="O15" s="128"/>
      <c r="P15" s="128"/>
      <c r="Q15" s="128"/>
      <c r="R15" s="185"/>
    </row>
    <row r="16" spans="2:18" ht="15.6">
      <c r="B16" s="185"/>
      <c r="C16" s="185"/>
      <c r="D16" s="101" t="s">
        <v>416</v>
      </c>
      <c r="E16" s="185"/>
      <c r="F16" s="185"/>
      <c r="G16" s="128"/>
      <c r="H16" s="128"/>
      <c r="I16" s="128"/>
      <c r="J16" s="128"/>
      <c r="K16" s="128"/>
      <c r="L16" s="166"/>
      <c r="M16" s="128"/>
      <c r="N16" s="128"/>
      <c r="O16" s="128"/>
      <c r="P16" s="128"/>
      <c r="Q16" s="128"/>
      <c r="R16" s="185"/>
    </row>
    <row r="17" spans="2:18">
      <c r="B17" s="185"/>
      <c r="C17" s="185"/>
      <c r="D17" s="185"/>
      <c r="E17" s="185" t="str">
        <f>'Cash flow'!D25</f>
        <v>Change in inventories</v>
      </c>
      <c r="F17" s="185"/>
      <c r="G17" s="136">
        <f>149.47*-1</f>
        <v>-149.47</v>
      </c>
      <c r="H17" s="128">
        <f>('BS(OUTPUT)'!H24-'BS(OUTPUT)'!G24)*-1</f>
        <v>-44.349999999999909</v>
      </c>
      <c r="I17" s="128">
        <f>('BS(OUTPUT)'!I24-'BS(OUTPUT)'!H24)*-1</f>
        <v>-79.039999999999964</v>
      </c>
      <c r="J17" s="128">
        <f>('BS(OUTPUT)'!J24-'BS(OUTPUT)'!I24)*-1</f>
        <v>-354.71000000000004</v>
      </c>
      <c r="K17" s="128">
        <f>('BS(OUTPUT)'!K24-'BS(OUTPUT)'!J24)*-1</f>
        <v>-177.08999999999992</v>
      </c>
      <c r="L17" s="166">
        <f>('BS(OUTPUT)'!L24-'BS(OUTPUT)'!K24)*-1</f>
        <v>-112.83000000000015</v>
      </c>
      <c r="M17" s="128">
        <f>('BS(OUTPUT)'!M24-'BS(OUTPUT)'!L24)*-1</f>
        <v>-131.31635493449335</v>
      </c>
      <c r="N17" s="128">
        <f>('BS(OUTPUT)'!N24-'BS(OUTPUT)'!M24)*-1</f>
        <v>-205.37484613149263</v>
      </c>
      <c r="O17" s="128">
        <f>('BS(OUTPUT)'!O24-'BS(OUTPUT)'!N24)*-1</f>
        <v>-105.36145885779752</v>
      </c>
      <c r="P17" s="128">
        <f>('BS(OUTPUT)'!P24-'BS(OUTPUT)'!O24)*-1</f>
        <v>-222.55399140132067</v>
      </c>
      <c r="Q17" s="128">
        <f>('BS(OUTPUT)'!Q24-'BS(OUTPUT)'!P24)*-1</f>
        <v>-91.257623208201039</v>
      </c>
      <c r="R17" s="185" t="s">
        <v>1046</v>
      </c>
    </row>
    <row r="18" spans="2:18">
      <c r="B18" s="185"/>
      <c r="C18" s="185"/>
      <c r="D18" s="185"/>
      <c r="E18" s="185" t="str">
        <f>'Cash flow'!D26</f>
        <v>Trade recievables</v>
      </c>
      <c r="F18" s="185"/>
      <c r="G18" s="136">
        <f>'Cash flow'!G26</f>
        <v>-59.89</v>
      </c>
      <c r="H18" s="128">
        <f>('BS(OUTPUT)'!H27-'BS(OUTPUT)'!G27)*-1</f>
        <v>-127.4799999999999</v>
      </c>
      <c r="I18" s="128">
        <f>('BS(OUTPUT)'!I27-'BS(OUTPUT)'!H27)*-1</f>
        <v>19.669999999999959</v>
      </c>
      <c r="J18" s="128">
        <f>('BS(OUTPUT)'!J27-'BS(OUTPUT)'!I27)*-1</f>
        <v>252.30999999999995</v>
      </c>
      <c r="K18" s="128">
        <f>('BS(OUTPUT)'!K27-'BS(OUTPUT)'!J27)*-1</f>
        <v>-84.569999999999936</v>
      </c>
      <c r="L18" s="166">
        <f>('BS(OUTPUT)'!L27-'BS(OUTPUT)'!K27)*-1</f>
        <v>-202.60000000000002</v>
      </c>
      <c r="M18" s="128">
        <f>('BS(OUTPUT)'!M27-'BS(OUTPUT)'!L27)*-1</f>
        <v>-135.43329700525373</v>
      </c>
      <c r="N18" s="128">
        <f>('BS(OUTPUT)'!N27-'BS(OUTPUT)'!M27)*-1</f>
        <v>-38.862396331469881</v>
      </c>
      <c r="O18" s="128">
        <f>('BS(OUTPUT)'!O27-'BS(OUTPUT)'!N27)*-1</f>
        <v>-111.67977794417857</v>
      </c>
      <c r="P18" s="128">
        <f>('BS(OUTPUT)'!P27-'BS(OUTPUT)'!O27)*-1</f>
        <v>-39.364203579055356</v>
      </c>
      <c r="Q18" s="128">
        <f>('BS(OUTPUT)'!Q27-'BS(OUTPUT)'!P27)*-1</f>
        <v>-110.70878092010071</v>
      </c>
      <c r="R18" s="185" t="s">
        <v>1046</v>
      </c>
    </row>
    <row r="19" spans="2:18">
      <c r="B19" s="185"/>
      <c r="C19" s="185"/>
      <c r="D19" s="185"/>
      <c r="E19" s="185" t="str">
        <f>'Cash flow'!D27</f>
        <v>Trade Payables</v>
      </c>
      <c r="F19" s="185"/>
      <c r="G19" s="136">
        <f>'Cash flow'!G27</f>
        <v>85.75</v>
      </c>
      <c r="H19" s="128">
        <f>'BS(OUTPUT)'!H63-'BS(OUTPUT)'!G63</f>
        <v>45.1099999999999</v>
      </c>
      <c r="I19" s="128">
        <f>'BS(OUTPUT)'!I63-'BS(OUTPUT)'!H63</f>
        <v>26.720000000000255</v>
      </c>
      <c r="J19" s="128">
        <f>'BS(OUTPUT)'!J63-'BS(OUTPUT)'!I63</f>
        <v>433.11000000000013</v>
      </c>
      <c r="K19" s="128">
        <f>'BS(OUTPUT)'!K63-'BS(OUTPUT)'!J63</f>
        <v>102.68999999999983</v>
      </c>
      <c r="L19" s="166">
        <f>'BS(OUTPUT)'!L63-'BS(OUTPUT)'!K63</f>
        <v>168.65999999999963</v>
      </c>
      <c r="M19" s="128">
        <f>'BS(OUTPUT)'!M63-'BS(OUTPUT)'!L63</f>
        <v>187.515392408759</v>
      </c>
      <c r="N19" s="128">
        <f>'BS(OUTPUT)'!N63-'BS(OUTPUT)'!M63</f>
        <v>179.86826394902437</v>
      </c>
      <c r="O19" s="128">
        <f>'BS(OUTPUT)'!O63-'BS(OUTPUT)'!N63</f>
        <v>159.19447225743443</v>
      </c>
      <c r="P19" s="128">
        <f>'BS(OUTPUT)'!P63-'BS(OUTPUT)'!O63</f>
        <v>198.61344404980809</v>
      </c>
      <c r="Q19" s="128">
        <f>'BS(OUTPUT)'!Q63-'BS(OUTPUT)'!P63</f>
        <v>143.80494412835742</v>
      </c>
      <c r="R19" s="185" t="s">
        <v>1046</v>
      </c>
    </row>
    <row r="20" spans="2:18">
      <c r="B20" s="185"/>
      <c r="C20" s="185"/>
      <c r="D20" s="185"/>
      <c r="E20" s="185" t="str">
        <f>'Cash flow'!D28</f>
        <v>Chages in other assets</v>
      </c>
      <c r="F20" s="185"/>
      <c r="G20" s="128">
        <f>'Cash flow'!G28</f>
        <v>-138.13999999999987</v>
      </c>
      <c r="H20" s="128">
        <f>'Cash flow'!H28</f>
        <v>108.63999999999987</v>
      </c>
      <c r="I20" s="128">
        <f>'Cash flow'!I28</f>
        <v>-25.340000000000373</v>
      </c>
      <c r="J20" s="128">
        <f>'Cash flow'!J28</f>
        <v>57.649999999999636</v>
      </c>
      <c r="K20" s="128">
        <f>'Cash flow'!K28</f>
        <v>62.1899999999996</v>
      </c>
      <c r="L20" s="166">
        <f>'Cash flow'!L28</f>
        <v>-13.299999999999272</v>
      </c>
      <c r="M20" s="128">
        <f>'Cash flow'!M28</f>
        <v>0</v>
      </c>
      <c r="N20" s="128">
        <f>'Cash flow'!N28</f>
        <v>0</v>
      </c>
      <c r="O20" s="128">
        <f>'Cash flow'!O28</f>
        <v>0</v>
      </c>
      <c r="P20" s="128">
        <f>'Cash flow'!P28</f>
        <v>0</v>
      </c>
      <c r="Q20" s="128">
        <f>'Cash flow'!Q28</f>
        <v>0</v>
      </c>
      <c r="R20" s="185" t="s">
        <v>903</v>
      </c>
    </row>
    <row r="21" spans="2:18">
      <c r="B21" s="185"/>
      <c r="C21" s="185"/>
      <c r="D21" s="185"/>
      <c r="E21" s="185"/>
      <c r="F21" s="185"/>
      <c r="G21" s="128"/>
      <c r="H21" s="128"/>
      <c r="I21" s="128"/>
      <c r="J21" s="128"/>
      <c r="K21" s="128"/>
      <c r="L21" s="166"/>
      <c r="M21" s="128"/>
      <c r="N21" s="128"/>
      <c r="O21" s="128"/>
      <c r="P21" s="128"/>
      <c r="Q21" s="128"/>
      <c r="R21" s="185"/>
    </row>
    <row r="22" spans="2:18">
      <c r="B22" s="185"/>
      <c r="C22" s="185"/>
      <c r="D22" s="185"/>
      <c r="E22" s="185"/>
      <c r="F22" s="185"/>
      <c r="G22" s="128"/>
      <c r="H22" s="128"/>
      <c r="I22" s="128"/>
      <c r="J22" s="128"/>
      <c r="K22" s="128"/>
      <c r="L22" s="166"/>
      <c r="M22" s="128"/>
      <c r="N22" s="128"/>
      <c r="O22" s="128"/>
      <c r="P22" s="128"/>
      <c r="Q22" s="128"/>
      <c r="R22" s="185"/>
    </row>
    <row r="23" spans="2:18" ht="15.6">
      <c r="B23" s="185"/>
      <c r="C23" s="185"/>
      <c r="D23" s="101" t="s">
        <v>417</v>
      </c>
      <c r="E23" s="185"/>
      <c r="F23" s="185"/>
      <c r="G23" s="128">
        <f>'Cash flow'!G37</f>
        <v>-324.92</v>
      </c>
      <c r="H23" s="128">
        <f>'Cash flow'!H37</f>
        <v>-350.73</v>
      </c>
      <c r="I23" s="128">
        <f>'Cash flow'!I37</f>
        <v>-308.94</v>
      </c>
      <c r="J23" s="128">
        <f>'Cash flow'!J37</f>
        <v>-321.32</v>
      </c>
      <c r="K23" s="128">
        <f>'Cash flow'!K37</f>
        <v>-387.6</v>
      </c>
      <c r="L23" s="166">
        <f>'Cash flow'!L37</f>
        <v>-494.45</v>
      </c>
      <c r="M23" s="128">
        <f>'P&amp;L(OUTPUT)'!M43</f>
        <v>-553.52755057441357</v>
      </c>
      <c r="N23" s="128">
        <f>'P&amp;L(OUTPUT)'!N43</f>
        <v>-631.98531992969822</v>
      </c>
      <c r="O23" s="128">
        <f>'P&amp;L(OUTPUT)'!O43</f>
        <v>-679.40648610552967</v>
      </c>
      <c r="P23" s="128">
        <f>'P&amp;L(OUTPUT)'!P43</f>
        <v>-730.69439613305417</v>
      </c>
      <c r="Q23" s="128">
        <f>'P&amp;L(OUTPUT)'!Q43</f>
        <v>-794.008115843724</v>
      </c>
      <c r="R23" s="185" t="s">
        <v>901</v>
      </c>
    </row>
    <row r="24" spans="2:18">
      <c r="B24" s="185"/>
      <c r="C24" s="185"/>
      <c r="D24" s="185"/>
      <c r="E24" s="185"/>
      <c r="F24" s="185"/>
      <c r="G24" s="128"/>
      <c r="H24" s="128"/>
      <c r="I24" s="128"/>
      <c r="J24" s="128"/>
      <c r="K24" s="128"/>
      <c r="L24" s="166"/>
      <c r="M24" s="128"/>
      <c r="N24" s="128"/>
      <c r="O24" s="128"/>
      <c r="P24" s="128"/>
      <c r="Q24" s="128"/>
      <c r="R24" s="185"/>
    </row>
    <row r="25" spans="2:18" ht="15.6">
      <c r="B25" s="185"/>
      <c r="C25" s="191" t="s">
        <v>313</v>
      </c>
      <c r="D25" s="192"/>
      <c r="E25" s="192"/>
      <c r="F25" s="192"/>
      <c r="G25" s="134">
        <f>SUM(G8:G23)</f>
        <v>1091.2600000000009</v>
      </c>
      <c r="H25" s="134">
        <f t="shared" ref="H25:Q25" si="0">SUM(H8:H23)</f>
        <v>1498.1699999999998</v>
      </c>
      <c r="I25" s="134">
        <f t="shared" si="0"/>
        <v>1613.6299999999967</v>
      </c>
      <c r="J25" s="134">
        <f t="shared" si="0"/>
        <v>2115.6799999999989</v>
      </c>
      <c r="K25" s="134">
        <f t="shared" si="0"/>
        <v>1804.1300000000006</v>
      </c>
      <c r="L25" s="170">
        <f t="shared" si="0"/>
        <v>1490.0599999999995</v>
      </c>
      <c r="M25" s="134">
        <f t="shared" si="0"/>
        <v>1638.0579688995981</v>
      </c>
      <c r="N25" s="134">
        <f t="shared" si="0"/>
        <v>1901.1072309195938</v>
      </c>
      <c r="O25" s="134">
        <f t="shared" si="0"/>
        <v>2055.0178934154019</v>
      </c>
      <c r="P25" s="134">
        <f t="shared" si="0"/>
        <v>2209.6485589945314</v>
      </c>
      <c r="Q25" s="134">
        <f t="shared" si="0"/>
        <v>2414.5241300367661</v>
      </c>
      <c r="R25" s="185"/>
    </row>
    <row r="26" spans="2:18">
      <c r="B26" s="185"/>
      <c r="C26" s="185"/>
      <c r="D26" s="185"/>
      <c r="E26" s="185"/>
      <c r="F26" s="185"/>
      <c r="G26" s="128"/>
      <c r="H26" s="128"/>
      <c r="I26" s="128"/>
      <c r="J26" s="128"/>
      <c r="K26" s="128"/>
      <c r="L26" s="166"/>
      <c r="M26" s="128"/>
      <c r="N26" s="128"/>
      <c r="O26" s="128"/>
      <c r="P26" s="128"/>
      <c r="Q26" s="128"/>
      <c r="R26" s="185"/>
    </row>
    <row r="27" spans="2:18">
      <c r="B27" s="185"/>
      <c r="C27" s="185"/>
      <c r="D27" s="185"/>
      <c r="E27" s="185"/>
      <c r="F27" s="185"/>
      <c r="G27" s="28" t="str">
        <f>IF(G25='Cash flow'!G41-'P&amp;L'!G30,"OK","ERROR")</f>
        <v>OK</v>
      </c>
      <c r="H27" s="28" t="str">
        <f>IF(H25='Cash flow'!H41-'P&amp;L'!H30,"OK","ERROR")</f>
        <v>OK</v>
      </c>
      <c r="I27" s="28" t="str">
        <f>IF(I25='Cash flow'!I41-'P&amp;L'!I30,"OK","ERROR")</f>
        <v>OK</v>
      </c>
      <c r="J27" s="28" t="str">
        <f>IF(J25='Cash flow'!J41-'P&amp;L'!J30,"OK","ERROR")</f>
        <v>OK</v>
      </c>
      <c r="K27" s="28" t="str">
        <f>IF(K25='Cash flow'!K41-'P&amp;L'!K30,"OK","ERROR")</f>
        <v>OK</v>
      </c>
      <c r="L27" s="176" t="str">
        <f>IF(L25='Cash flow'!L41-'P&amp;L'!L30,"OK","ERROR")</f>
        <v>OK</v>
      </c>
      <c r="M27" s="63"/>
      <c r="N27" s="63"/>
      <c r="O27" s="63"/>
      <c r="P27" s="63"/>
      <c r="Q27" s="63"/>
      <c r="R27" s="185"/>
    </row>
    <row r="28" spans="2:18">
      <c r="B28" s="185"/>
      <c r="C28" s="185"/>
      <c r="D28" s="185"/>
      <c r="E28" s="185"/>
      <c r="F28" s="185"/>
      <c r="G28" s="128"/>
      <c r="H28" s="128"/>
      <c r="I28" s="128"/>
      <c r="J28" s="128"/>
      <c r="K28" s="128"/>
      <c r="L28" s="166"/>
      <c r="M28" s="128"/>
      <c r="N28" s="128"/>
      <c r="O28" s="128"/>
      <c r="P28" s="128"/>
      <c r="Q28" s="128"/>
      <c r="R28" s="185"/>
    </row>
    <row r="29" spans="2:18" ht="15.6">
      <c r="B29" s="185"/>
      <c r="C29" s="101" t="s">
        <v>419</v>
      </c>
      <c r="D29" s="185"/>
      <c r="E29" s="185"/>
      <c r="F29" s="185"/>
      <c r="G29" s="128"/>
      <c r="H29" s="128"/>
      <c r="I29" s="128"/>
      <c r="J29" s="128"/>
      <c r="K29" s="128"/>
      <c r="L29" s="166"/>
      <c r="M29" s="128"/>
      <c r="N29" s="128"/>
      <c r="O29" s="128"/>
      <c r="P29" s="128"/>
      <c r="Q29" s="128"/>
      <c r="R29" s="185"/>
    </row>
    <row r="30" spans="2:18">
      <c r="B30" s="185"/>
      <c r="C30" s="185"/>
      <c r="D30" s="185"/>
      <c r="E30" s="185"/>
      <c r="F30" s="185"/>
      <c r="G30" s="128"/>
      <c r="H30" s="128"/>
      <c r="I30" s="128"/>
      <c r="J30" s="128"/>
      <c r="K30" s="128"/>
      <c r="L30" s="166"/>
      <c r="M30" s="128"/>
      <c r="N30" s="128"/>
      <c r="O30" s="128"/>
      <c r="P30" s="128"/>
      <c r="Q30" s="128"/>
      <c r="R30" s="185"/>
    </row>
    <row r="31" spans="2:18">
      <c r="B31" s="185" t="s">
        <v>422</v>
      </c>
      <c r="C31" s="185"/>
      <c r="D31" s="185" t="s">
        <v>420</v>
      </c>
      <c r="E31" s="185"/>
      <c r="F31" s="185"/>
      <c r="G31" s="128">
        <f>'Cash flow'!G44</f>
        <v>-230.88000000000005</v>
      </c>
      <c r="H31" s="128">
        <f>('Fixed asset Schedule'!H14+'Fixed asset Schedule'!H9+'Fixed asset Schedule'!H51+'Fixed asset Schedule'!H46+'Fixed asset Schedule'!H69+'Fixed asset Schedule'!H64)*-1</f>
        <v>-193.32000000000056</v>
      </c>
      <c r="I31" s="128">
        <f>('Fixed asset Schedule'!I14+'Fixed asset Schedule'!I9+'Fixed asset Schedule'!I51+'Fixed asset Schedule'!I46+'Fixed asset Schedule'!I69+'Fixed asset Schedule'!I64)*-1</f>
        <v>-504.16999999999996</v>
      </c>
      <c r="J31" s="128">
        <f>('Fixed asset Schedule'!J14+'Fixed asset Schedule'!J9+'Fixed asset Schedule'!J51+'Fixed asset Schedule'!J46+'Fixed asset Schedule'!J69+'Fixed asset Schedule'!J64)*-1</f>
        <v>-230.32999999999981</v>
      </c>
      <c r="K31" s="128">
        <f>('Fixed asset Schedule'!K14+'Fixed asset Schedule'!K9+'Fixed asset Schedule'!K51+'Fixed asset Schedule'!K46+'Fixed asset Schedule'!K69+'Fixed asset Schedule'!K64)*-1</f>
        <v>-402.73</v>
      </c>
      <c r="L31" s="166">
        <f>('Fixed asset Schedule'!L14+'Fixed asset Schedule'!L9+'Fixed asset Schedule'!L51+'Fixed asset Schedule'!L46+'Fixed asset Schedule'!L69+'Fixed asset Schedule'!L64)*-1</f>
        <v>-1427.6099999999994</v>
      </c>
      <c r="M31" s="128">
        <f>('Fixed asset Schedule'!M14+'Fixed asset Schedule'!M9+'Fixed asset Schedule'!M51+'Fixed asset Schedule'!M46+'Fixed asset Schedule'!M69+'Fixed asset Schedule'!M64)*-1</f>
        <v>-460.18960677164853</v>
      </c>
      <c r="N31" s="128">
        <f>('Fixed asset Schedule'!N14+'Fixed asset Schedule'!N9+'Fixed asset Schedule'!N51+'Fixed asset Schedule'!N46+'Fixed asset Schedule'!N69+'Fixed asset Schedule'!N64)*-1</f>
        <v>-503.94955521585484</v>
      </c>
      <c r="O31" s="128">
        <f>('Fixed asset Schedule'!O14+'Fixed asset Schedule'!O9+'Fixed asset Schedule'!O51+'Fixed asset Schedule'!O46+'Fixed asset Schedule'!O69+'Fixed asset Schedule'!O64)*-1</f>
        <v>-541.74577185704345</v>
      </c>
      <c r="P31" s="128">
        <f>('Fixed asset Schedule'!P14+'Fixed asset Schedule'!P9+'Fixed asset Schedule'!P51+'Fixed asset Schedule'!P46+'Fixed asset Schedule'!P69+'Fixed asset Schedule'!P64)*-1</f>
        <v>-579.66797588703639</v>
      </c>
      <c r="Q31" s="128">
        <f>('Fixed asset Schedule'!Q14+'Fixed asset Schedule'!Q9+'Fixed asset Schedule'!Q51+'Fixed asset Schedule'!Q46+'Fixed asset Schedule'!Q69+'Fixed asset Schedule'!Q64)*-1</f>
        <v>-617.3463943196939</v>
      </c>
      <c r="R31" s="185" t="s">
        <v>908</v>
      </c>
    </row>
    <row r="32" spans="2:18">
      <c r="B32" s="185" t="s">
        <v>907</v>
      </c>
      <c r="C32" s="185"/>
      <c r="D32" s="185" t="s">
        <v>802</v>
      </c>
      <c r="E32" s="185"/>
      <c r="F32" s="185"/>
      <c r="G32" s="128">
        <f>'Cash flow'!G47</f>
        <v>28.830000000000048</v>
      </c>
      <c r="H32" s="128">
        <f>'Cash flow'!H47</f>
        <v>24.730000000000018</v>
      </c>
      <c r="I32" s="128">
        <f>'Cash flow'!I47</f>
        <v>13.53000000000006</v>
      </c>
      <c r="J32" s="128">
        <f>'Cash flow'!J47</f>
        <v>80.819999999999823</v>
      </c>
      <c r="K32" s="128">
        <f>'Cash flow'!K47</f>
        <v>55.590000000000096</v>
      </c>
      <c r="L32" s="166">
        <f>'Cash flow'!L47</f>
        <v>39.880000000000003</v>
      </c>
      <c r="M32" s="128">
        <f>'Fixed asset Schedule'!H10+'Fixed asset Schedule'!H47+'Fixed asset Schedule'!H83</f>
        <v>49.400000000000034</v>
      </c>
      <c r="N32" s="128">
        <f>'Fixed asset Schedule'!I10+'Fixed asset Schedule'!I47+'Fixed asset Schedule'!I83</f>
        <v>26.720000000000123</v>
      </c>
      <c r="O32" s="128">
        <f>'Fixed asset Schedule'!J10+'Fixed asset Schedule'!J47+'Fixed asset Schedule'!J83</f>
        <v>161.47999999999965</v>
      </c>
      <c r="P32" s="128">
        <f>'Fixed asset Schedule'!K10+'Fixed asset Schedule'!K47+'Fixed asset Schedule'!K83</f>
        <v>111.26000000000019</v>
      </c>
      <c r="Q32" s="128">
        <f>'Fixed asset Schedule'!L10+'Fixed asset Schedule'!L47+'Fixed asset Schedule'!L83</f>
        <v>80.400000000000006</v>
      </c>
      <c r="R32" s="185" t="s">
        <v>1047</v>
      </c>
    </row>
    <row r="33" spans="2:18">
      <c r="B33" s="185"/>
      <c r="C33" s="185"/>
      <c r="D33" s="185" t="s">
        <v>322</v>
      </c>
      <c r="E33" s="185"/>
      <c r="F33" s="185"/>
      <c r="G33" s="128">
        <f>G13*-1</f>
        <v>241.51999999999998</v>
      </c>
      <c r="H33" s="128">
        <f t="shared" ref="H33:Q33" si="1">H13*-1</f>
        <v>249.39</v>
      </c>
      <c r="I33" s="128">
        <f t="shared" si="1"/>
        <v>241.2</v>
      </c>
      <c r="J33" s="128">
        <f t="shared" si="1"/>
        <v>260.77999999999997</v>
      </c>
      <c r="K33" s="128">
        <f t="shared" si="1"/>
        <v>323.33999999999997</v>
      </c>
      <c r="L33" s="166">
        <f t="shared" si="1"/>
        <v>361.13</v>
      </c>
      <c r="M33" s="128">
        <f t="shared" si="1"/>
        <v>459.69667743096102</v>
      </c>
      <c r="N33" s="128">
        <f t="shared" si="1"/>
        <v>503.4097526685199</v>
      </c>
      <c r="O33" s="128">
        <f t="shared" si="1"/>
        <v>541.16548411865892</v>
      </c>
      <c r="P33" s="128">
        <f t="shared" si="1"/>
        <v>579.04706800696499</v>
      </c>
      <c r="Q33" s="128">
        <f t="shared" si="1"/>
        <v>616.6851274274178</v>
      </c>
      <c r="R33" s="185" t="s">
        <v>905</v>
      </c>
    </row>
    <row r="34" spans="2:18">
      <c r="B34" s="185"/>
      <c r="C34" s="185"/>
      <c r="D34" s="185" t="s">
        <v>421</v>
      </c>
      <c r="E34" s="185"/>
      <c r="F34" s="185"/>
      <c r="G34" s="128">
        <f>'Cash flow'!G53</f>
        <v>-579.46</v>
      </c>
      <c r="H34" s="128">
        <f>'Cash flow'!H53</f>
        <v>256.11000000000047</v>
      </c>
      <c r="I34" s="128">
        <f>'Cash flow'!I53</f>
        <v>-267.40000000000015</v>
      </c>
      <c r="J34" s="128">
        <f>'Cash flow'!J53</f>
        <v>-1517.05</v>
      </c>
      <c r="K34" s="128">
        <f>'Cash flow'!K53</f>
        <v>-1251.6500000000001</v>
      </c>
      <c r="L34" s="166">
        <f>'Cash flow'!L53</f>
        <v>440.05999999999949</v>
      </c>
      <c r="M34" s="128">
        <f>'Cash flow'!M53</f>
        <v>0</v>
      </c>
      <c r="N34" s="128">
        <f>'Cash flow'!N53</f>
        <v>0</v>
      </c>
      <c r="O34" s="128">
        <f>'Cash flow'!O53</f>
        <v>0</v>
      </c>
      <c r="P34" s="128">
        <f>'Cash flow'!P53</f>
        <v>0</v>
      </c>
      <c r="Q34" s="128">
        <f>'Cash flow'!Q53</f>
        <v>0</v>
      </c>
      <c r="R34" s="185" t="s">
        <v>903</v>
      </c>
    </row>
    <row r="35" spans="2:18">
      <c r="B35" s="185"/>
      <c r="C35" s="185"/>
      <c r="D35" s="185"/>
      <c r="E35" s="185"/>
      <c r="F35" s="185"/>
      <c r="G35" s="128"/>
      <c r="H35" s="128"/>
      <c r="I35" s="128"/>
      <c r="J35" s="128"/>
      <c r="K35" s="128"/>
      <c r="L35" s="166"/>
      <c r="M35" s="128"/>
      <c r="N35" s="128"/>
      <c r="O35" s="128"/>
      <c r="P35" s="128"/>
      <c r="Q35" s="128"/>
      <c r="R35" s="185"/>
    </row>
    <row r="36" spans="2:18" ht="15.6">
      <c r="B36" s="185"/>
      <c r="C36" s="191" t="s">
        <v>423</v>
      </c>
      <c r="D36" s="192"/>
      <c r="E36" s="192"/>
      <c r="F36" s="192"/>
      <c r="G36" s="134">
        <f>SUM(G31:G34)</f>
        <v>-539.99</v>
      </c>
      <c r="H36" s="134">
        <f t="shared" ref="H36:Q36" si="2">SUM(H31:H34)</f>
        <v>336.90999999999991</v>
      </c>
      <c r="I36" s="134">
        <f t="shared" si="2"/>
        <v>-516.84</v>
      </c>
      <c r="J36" s="134">
        <f t="shared" si="2"/>
        <v>-1405.78</v>
      </c>
      <c r="K36" s="134">
        <f t="shared" si="2"/>
        <v>-1275.45</v>
      </c>
      <c r="L36" s="170">
        <f t="shared" si="2"/>
        <v>-586.54</v>
      </c>
      <c r="M36" s="134">
        <f t="shared" si="2"/>
        <v>48.907070659312524</v>
      </c>
      <c r="N36" s="134">
        <f t="shared" si="2"/>
        <v>26.180197452665197</v>
      </c>
      <c r="O36" s="134">
        <f t="shared" si="2"/>
        <v>160.89971226161515</v>
      </c>
      <c r="P36" s="134">
        <f t="shared" si="2"/>
        <v>110.63909211992882</v>
      </c>
      <c r="Q36" s="134">
        <f t="shared" si="2"/>
        <v>79.738733107723874</v>
      </c>
      <c r="R36" s="185"/>
    </row>
    <row r="37" spans="2:18">
      <c r="B37" s="185"/>
      <c r="C37" s="185"/>
      <c r="D37" s="185"/>
      <c r="E37" s="185"/>
      <c r="F37" s="185"/>
      <c r="G37" s="128"/>
      <c r="H37" s="128"/>
      <c r="I37" s="128"/>
      <c r="J37" s="128"/>
      <c r="K37" s="128"/>
      <c r="L37" s="166"/>
      <c r="M37" s="128"/>
      <c r="N37" s="128"/>
      <c r="O37" s="128"/>
      <c r="P37" s="128"/>
      <c r="Q37" s="128"/>
      <c r="R37" s="185"/>
    </row>
    <row r="38" spans="2:18">
      <c r="B38" s="185"/>
      <c r="C38" s="185"/>
      <c r="D38" s="185"/>
      <c r="E38" s="185"/>
      <c r="F38" s="185"/>
      <c r="G38" s="28" t="str">
        <f>IF(G36='Cash flow'!G57,"OK","ERROR")</f>
        <v>OK</v>
      </c>
      <c r="H38" s="28" t="str">
        <f>IF(H36='Cash flow'!H57,"OK","ERROR")</f>
        <v>OK</v>
      </c>
      <c r="I38" s="28" t="str">
        <f>IF(I36='Cash flow'!I57,"OK","ERROR")</f>
        <v>OK</v>
      </c>
      <c r="J38" s="28" t="str">
        <f>IF(J36='Cash flow'!J57,"OK","ERROR")</f>
        <v>OK</v>
      </c>
      <c r="K38" s="28" t="str">
        <f>IF(K36='Cash flow'!K57,"OK","ERROR")</f>
        <v>OK</v>
      </c>
      <c r="L38" s="176" t="str">
        <f>IF(L36='Cash flow'!L57,"OK","ERROR")</f>
        <v>OK</v>
      </c>
      <c r="M38" s="63"/>
      <c r="N38" s="63"/>
      <c r="O38" s="63"/>
      <c r="P38" s="63"/>
      <c r="Q38" s="63"/>
      <c r="R38" s="185"/>
    </row>
    <row r="39" spans="2:18">
      <c r="B39" s="185"/>
      <c r="C39" s="185"/>
      <c r="D39" s="185"/>
      <c r="E39" s="185"/>
      <c r="F39" s="185"/>
      <c r="G39" s="128"/>
      <c r="H39" s="128"/>
      <c r="I39" s="128"/>
      <c r="J39" s="128"/>
      <c r="K39" s="128"/>
      <c r="L39" s="166"/>
      <c r="M39" s="128"/>
      <c r="N39" s="128"/>
      <c r="O39" s="128"/>
      <c r="P39" s="128"/>
      <c r="Q39" s="128"/>
      <c r="R39" s="185"/>
    </row>
    <row r="40" spans="2:18" ht="15.6">
      <c r="B40" s="185"/>
      <c r="C40" s="101" t="s">
        <v>424</v>
      </c>
      <c r="D40" s="185"/>
      <c r="E40" s="185"/>
      <c r="F40" s="185"/>
      <c r="G40" s="128"/>
      <c r="H40" s="128"/>
      <c r="I40" s="128"/>
      <c r="J40" s="128"/>
      <c r="K40" s="128"/>
      <c r="L40" s="166"/>
      <c r="M40" s="128"/>
      <c r="N40" s="128"/>
      <c r="O40" s="128"/>
      <c r="P40" s="128"/>
      <c r="Q40" s="128"/>
      <c r="R40" s="185"/>
    </row>
    <row r="41" spans="2:18">
      <c r="B41" s="185"/>
      <c r="C41" s="185"/>
      <c r="D41" s="185"/>
      <c r="E41" s="185"/>
      <c r="F41" s="185"/>
      <c r="G41" s="128"/>
      <c r="H41" s="128"/>
      <c r="I41" s="128"/>
      <c r="J41" s="128"/>
      <c r="K41" s="128"/>
      <c r="L41" s="166"/>
      <c r="M41" s="128"/>
      <c r="N41" s="128"/>
      <c r="O41" s="128"/>
      <c r="P41" s="128"/>
      <c r="Q41" s="128"/>
      <c r="R41" s="185"/>
    </row>
    <row r="42" spans="2:18">
      <c r="B42" s="185"/>
      <c r="C42" s="185"/>
      <c r="D42" s="185"/>
      <c r="E42" s="185"/>
      <c r="F42" s="185"/>
      <c r="G42" s="119"/>
      <c r="H42" s="128"/>
      <c r="I42" s="128"/>
      <c r="J42" s="128"/>
      <c r="K42" s="128"/>
      <c r="L42" s="166"/>
      <c r="M42" s="128"/>
      <c r="N42" s="128"/>
      <c r="O42" s="128"/>
      <c r="P42" s="128"/>
      <c r="Q42" s="128"/>
      <c r="R42" s="185"/>
    </row>
    <row r="43" spans="2:18">
      <c r="B43" s="185" t="s">
        <v>427</v>
      </c>
      <c r="C43" s="185"/>
      <c r="D43" s="185" t="str">
        <f>'Cash flow'!D60</f>
        <v>Finance cost</v>
      </c>
      <c r="E43" s="185"/>
      <c r="F43" s="185"/>
      <c r="G43" s="128">
        <f>G12*-1</f>
        <v>-53.050000000000004</v>
      </c>
      <c r="H43" s="128">
        <f t="shared" ref="H43:Q43" si="3">H12*-1</f>
        <v>-59.580000000000005</v>
      </c>
      <c r="I43" s="128">
        <f t="shared" si="3"/>
        <v>-49.54</v>
      </c>
      <c r="J43" s="128">
        <f t="shared" si="3"/>
        <v>-30.810000000000002</v>
      </c>
      <c r="K43" s="128">
        <f t="shared" si="3"/>
        <v>-38.599999999999994</v>
      </c>
      <c r="L43" s="166">
        <f t="shared" si="3"/>
        <v>-78.239999999999995</v>
      </c>
      <c r="M43" s="128">
        <f t="shared" si="3"/>
        <v>-53.680421272647756</v>
      </c>
      <c r="N43" s="128">
        <f t="shared" si="3"/>
        <v>-58.784953041267116</v>
      </c>
      <c r="O43" s="128">
        <f t="shared" si="3"/>
        <v>-63.193824519362153</v>
      </c>
      <c r="P43" s="128">
        <f t="shared" si="3"/>
        <v>-67.617392235717503</v>
      </c>
      <c r="Q43" s="128">
        <f t="shared" si="3"/>
        <v>-72.012522731039141</v>
      </c>
      <c r="R43" s="185" t="s">
        <v>904</v>
      </c>
    </row>
    <row r="44" spans="2:18">
      <c r="B44" s="185"/>
      <c r="C44" s="185"/>
      <c r="D44" s="185" t="str">
        <f>'Cash flow'!D63</f>
        <v>Equity raised</v>
      </c>
      <c r="E44" s="185"/>
      <c r="F44" s="185"/>
      <c r="G44" s="128">
        <f>'Cash flow'!G63</f>
        <v>0</v>
      </c>
      <c r="H44" s="128">
        <f>'Cash flow'!H63</f>
        <v>0.48</v>
      </c>
      <c r="I44" s="128">
        <f>'Cash flow'!I63</f>
        <v>0.08</v>
      </c>
      <c r="J44" s="128">
        <f>'Cash flow'!J63</f>
        <v>0.03</v>
      </c>
      <c r="K44" s="128">
        <f>'Cash flow'!K63</f>
        <v>0.05</v>
      </c>
      <c r="L44" s="166">
        <f>'Cash flow'!L63</f>
        <v>0.39</v>
      </c>
      <c r="M44" s="128">
        <f>'Cash flow'!M63</f>
        <v>0</v>
      </c>
      <c r="N44" s="128">
        <f>'Cash flow'!N63</f>
        <v>0</v>
      </c>
      <c r="O44" s="128">
        <f>'Cash flow'!O63</f>
        <v>0</v>
      </c>
      <c r="P44" s="128">
        <f>'Cash flow'!P63</f>
        <v>0</v>
      </c>
      <c r="Q44" s="128">
        <f>'Cash flow'!Q63</f>
        <v>0</v>
      </c>
      <c r="R44" s="185" t="s">
        <v>903</v>
      </c>
    </row>
    <row r="45" spans="2:18">
      <c r="B45" s="185"/>
      <c r="C45" s="185"/>
      <c r="D45" s="185" t="str">
        <f>'Cash flow'!D64</f>
        <v>Net debt raised/repaid</v>
      </c>
      <c r="E45" s="185"/>
      <c r="F45" s="185"/>
      <c r="G45" s="128">
        <f>'Cash flow'!G64</f>
        <v>-57.27</v>
      </c>
      <c r="H45" s="128">
        <f>'Cash flow'!H64</f>
        <v>-240.14999999999998</v>
      </c>
      <c r="I45" s="128">
        <f>'Cash flow'!I64</f>
        <v>-357.98</v>
      </c>
      <c r="J45" s="128">
        <f>'Cash flow'!J64</f>
        <v>36.88000000000001</v>
      </c>
      <c r="K45" s="128">
        <f>'Cash flow'!K64</f>
        <v>540.79999999999995</v>
      </c>
      <c r="L45" s="166">
        <f>'Cash flow'!L64</f>
        <v>48.78</v>
      </c>
      <c r="M45" s="128">
        <f>'Cash flow'!M64</f>
        <v>0</v>
      </c>
      <c r="N45" s="128">
        <f>'Cash flow'!N64</f>
        <v>0</v>
      </c>
      <c r="O45" s="128">
        <f>'Cash flow'!O64</f>
        <v>0</v>
      </c>
      <c r="P45" s="128">
        <f>'Cash flow'!P64</f>
        <v>0</v>
      </c>
      <c r="Q45" s="128">
        <f>'Cash flow'!Q64</f>
        <v>0</v>
      </c>
      <c r="R45" s="185" t="s">
        <v>903</v>
      </c>
    </row>
    <row r="46" spans="2:18">
      <c r="B46" s="185" t="s">
        <v>426</v>
      </c>
      <c r="C46" s="185"/>
      <c r="D46" s="185" t="s">
        <v>425</v>
      </c>
      <c r="E46" s="185"/>
      <c r="F46" s="185"/>
      <c r="G46" s="128">
        <f>'Cash flow'!G65+'Cash flow'!G66</f>
        <v>-477.03</v>
      </c>
      <c r="H46" s="128">
        <f>'Cash flow'!H65+'Cash flow'!H66</f>
        <v>-1597.01</v>
      </c>
      <c r="I46" s="128">
        <f>'Cash flow'!I65+'Cash flow'!I66</f>
        <v>-617.78000000000009</v>
      </c>
      <c r="J46" s="128">
        <f>'Cash flow'!J65+'Cash flow'!J66</f>
        <v>-592.09</v>
      </c>
      <c r="K46" s="128">
        <f>'Cash flow'!K65+'Cash flow'!K66</f>
        <v>-972.32</v>
      </c>
      <c r="L46" s="166">
        <f>'Cash flow'!L65+'Cash flow'!L66</f>
        <v>-921.31</v>
      </c>
      <c r="M46" s="128">
        <f>'P&amp;L(OUTPUT)'!M54*'P&amp;L(OUTPUT)'!M50*-1</f>
        <v>-911.06358646046169</v>
      </c>
      <c r="N46" s="128">
        <f>'P&amp;L(OUTPUT)'!N54*'P&amp;L(OUTPUT)'!N50*-1</f>
        <v>-1040.1990137040311</v>
      </c>
      <c r="O46" s="128">
        <f>'P&amp;L(OUTPUT)'!O54*'P&amp;L(OUTPUT)'!O50*-1</f>
        <v>-1118.2505897917194</v>
      </c>
      <c r="P46" s="128">
        <f>'P&amp;L(OUTPUT)'!P54*'P&amp;L(OUTPUT)'!P50*-1</f>
        <v>-1202.666527540885</v>
      </c>
      <c r="Q46" s="128">
        <f>'P&amp;L(OUTPUT)'!Q54*'P&amp;L(OUTPUT)'!Q50*-1</f>
        <v>-1306.8760189960008</v>
      </c>
      <c r="R46" s="185" t="s">
        <v>1048</v>
      </c>
    </row>
    <row r="47" spans="2:18">
      <c r="B47" s="185"/>
      <c r="C47" s="185"/>
      <c r="D47" s="185" t="str">
        <f>'Cash flow'!D67</f>
        <v>Other net cashflow</v>
      </c>
      <c r="E47" s="185"/>
      <c r="F47" s="185"/>
      <c r="G47" s="128">
        <f>'Cash flow'!G67</f>
        <v>10.239999999999895</v>
      </c>
      <c r="H47" s="128">
        <f>'Cash flow'!H67</f>
        <v>8.0599999999999454</v>
      </c>
      <c r="I47" s="128">
        <f>'Cash flow'!I67</f>
        <v>-17.75</v>
      </c>
      <c r="J47" s="128">
        <f>'Cash flow'!J67</f>
        <v>-27.419999999999959</v>
      </c>
      <c r="K47" s="128">
        <f>'Cash flow'!K67</f>
        <v>-20.419999999999902</v>
      </c>
      <c r="L47" s="166">
        <f>'Cash flow'!L67</f>
        <v>-84.860000000000127</v>
      </c>
      <c r="M47" s="128">
        <f>'Cash flow'!M67</f>
        <v>0</v>
      </c>
      <c r="N47" s="128">
        <f>'Cash flow'!N67</f>
        <v>0</v>
      </c>
      <c r="O47" s="128">
        <f>'Cash flow'!O67</f>
        <v>0</v>
      </c>
      <c r="P47" s="128">
        <f>'Cash flow'!P67</f>
        <v>0</v>
      </c>
      <c r="Q47" s="128">
        <f>'Cash flow'!Q67</f>
        <v>0</v>
      </c>
      <c r="R47" s="185" t="s">
        <v>903</v>
      </c>
    </row>
    <row r="48" spans="2:18">
      <c r="B48" s="185"/>
      <c r="C48" s="185"/>
      <c r="D48" s="185"/>
      <c r="E48" s="185"/>
      <c r="F48" s="185"/>
      <c r="G48" s="128"/>
      <c r="H48" s="128"/>
      <c r="I48" s="128"/>
      <c r="J48" s="128"/>
      <c r="K48" s="128"/>
      <c r="L48" s="166"/>
      <c r="M48" s="128"/>
      <c r="N48" s="128"/>
      <c r="O48" s="128"/>
      <c r="P48" s="128"/>
      <c r="Q48" s="128"/>
      <c r="R48" s="185"/>
    </row>
    <row r="49" spans="2:18" ht="15.6">
      <c r="B49" s="185"/>
      <c r="C49" s="191" t="s">
        <v>428</v>
      </c>
      <c r="D49" s="192"/>
      <c r="E49" s="192"/>
      <c r="F49" s="192"/>
      <c r="G49" s="134">
        <f>SUM(G43:G47)</f>
        <v>-577.11000000000013</v>
      </c>
      <c r="H49" s="134">
        <f t="shared" ref="H49:P49" si="4">SUM(H43:H47)</f>
        <v>-1888.2</v>
      </c>
      <c r="I49" s="134">
        <f t="shared" si="4"/>
        <v>-1042.97</v>
      </c>
      <c r="J49" s="134">
        <f t="shared" si="4"/>
        <v>-613.41</v>
      </c>
      <c r="K49" s="134">
        <f t="shared" si="4"/>
        <v>-490.49</v>
      </c>
      <c r="L49" s="170">
        <f t="shared" si="4"/>
        <v>-1035.24</v>
      </c>
      <c r="M49" s="134">
        <f t="shared" si="4"/>
        <v>-964.74400773310947</v>
      </c>
      <c r="N49" s="134">
        <f t="shared" si="4"/>
        <v>-1098.9839667452982</v>
      </c>
      <c r="O49" s="134">
        <f t="shared" si="4"/>
        <v>-1181.4444143110816</v>
      </c>
      <c r="P49" s="134">
        <f t="shared" si="4"/>
        <v>-1270.2839197766025</v>
      </c>
      <c r="Q49" s="134">
        <f>SUM(Q43:Q47)</f>
        <v>-1378.8885417270399</v>
      </c>
      <c r="R49" s="185"/>
    </row>
    <row r="50" spans="2:18">
      <c r="B50" s="185"/>
      <c r="C50" s="185"/>
      <c r="D50" s="185"/>
      <c r="E50" s="185"/>
      <c r="F50" s="185"/>
      <c r="G50" s="128"/>
      <c r="H50" s="128"/>
      <c r="I50" s="128"/>
      <c r="J50" s="128"/>
      <c r="K50" s="128"/>
      <c r="L50" s="166"/>
      <c r="M50" s="128"/>
      <c r="N50" s="128"/>
      <c r="O50" s="128"/>
      <c r="P50" s="128"/>
      <c r="Q50" s="128"/>
      <c r="R50" s="185"/>
    </row>
    <row r="51" spans="2:18">
      <c r="B51" s="185"/>
      <c r="C51" s="185"/>
      <c r="D51" s="185"/>
      <c r="E51" s="185"/>
      <c r="F51" s="185"/>
      <c r="G51" s="28" t="str">
        <f>IF(G49='Cash flow'!G70,"OK","ERROR")</f>
        <v>OK</v>
      </c>
      <c r="H51" s="28" t="str">
        <f>IF(H49='Cash flow'!H70,"OK","ERROR")</f>
        <v>OK</v>
      </c>
      <c r="I51" s="28" t="str">
        <f>IF(I49='Cash flow'!I70,"OK","ERROR")</f>
        <v>OK</v>
      </c>
      <c r="J51" s="28" t="str">
        <f>IF(J49='Cash flow'!J70,"OK","ERROR")</f>
        <v>OK</v>
      </c>
      <c r="K51" s="28" t="str">
        <f>IF(K49='Cash flow'!K70,"OK","ERROR")</f>
        <v>OK</v>
      </c>
      <c r="L51" s="176" t="str">
        <f>IF(L49='Cash flow'!L70,"OK","ERROR")</f>
        <v>OK</v>
      </c>
      <c r="M51" s="63"/>
      <c r="N51" s="63"/>
      <c r="O51" s="63"/>
      <c r="P51" s="63"/>
      <c r="Q51" s="63"/>
      <c r="R51" s="185"/>
    </row>
    <row r="52" spans="2:18">
      <c r="B52" s="185"/>
      <c r="C52" s="185"/>
      <c r="D52" s="185"/>
      <c r="E52" s="185"/>
      <c r="F52" s="185"/>
      <c r="G52" s="128"/>
      <c r="H52" s="128"/>
      <c r="I52" s="128"/>
      <c r="J52" s="128"/>
      <c r="K52" s="128"/>
      <c r="L52" s="166"/>
      <c r="M52" s="128"/>
      <c r="N52" s="128"/>
      <c r="O52" s="128"/>
      <c r="P52" s="128"/>
      <c r="Q52" s="128"/>
      <c r="R52" s="185"/>
    </row>
    <row r="53" spans="2:18">
      <c r="B53" s="185"/>
      <c r="C53" s="185"/>
      <c r="D53" s="185"/>
      <c r="E53" s="185"/>
      <c r="F53" s="185"/>
      <c r="G53" s="128"/>
      <c r="H53" s="128"/>
      <c r="I53" s="128"/>
      <c r="J53" s="128"/>
      <c r="K53" s="128"/>
      <c r="L53" s="166"/>
      <c r="M53" s="128"/>
      <c r="N53" s="128"/>
      <c r="O53" s="128"/>
      <c r="P53" s="128"/>
      <c r="Q53" s="128"/>
      <c r="R53" s="185"/>
    </row>
    <row r="54" spans="2:18" ht="15.6">
      <c r="B54" s="185"/>
      <c r="C54" s="191" t="s">
        <v>429</v>
      </c>
      <c r="D54" s="192"/>
      <c r="E54" s="192"/>
      <c r="F54" s="192"/>
      <c r="G54" s="134">
        <f>SUM(G49+G36+G25)</f>
        <v>-25.839999999999236</v>
      </c>
      <c r="H54" s="134">
        <f t="shared" ref="H54:Q54" si="5">SUM(H49+H36+H25)</f>
        <v>-53.120000000000346</v>
      </c>
      <c r="I54" s="134">
        <f t="shared" si="5"/>
        <v>53.819999999996753</v>
      </c>
      <c r="J54" s="134">
        <f t="shared" si="5"/>
        <v>96.489999999998872</v>
      </c>
      <c r="K54" s="134">
        <f t="shared" si="5"/>
        <v>38.190000000000509</v>
      </c>
      <c r="L54" s="170">
        <f t="shared" si="5"/>
        <v>-131.72000000000048</v>
      </c>
      <c r="M54" s="134">
        <f t="shared" si="5"/>
        <v>722.22103182580122</v>
      </c>
      <c r="N54" s="134">
        <f t="shared" si="5"/>
        <v>828.30346162696083</v>
      </c>
      <c r="O54" s="134">
        <f t="shared" si="5"/>
        <v>1034.4731913659355</v>
      </c>
      <c r="P54" s="134">
        <f t="shared" si="5"/>
        <v>1050.0037313378577</v>
      </c>
      <c r="Q54" s="134">
        <f t="shared" si="5"/>
        <v>1115.3743214174501</v>
      </c>
      <c r="R54" s="185"/>
    </row>
    <row r="55" spans="2:18">
      <c r="B55" s="185"/>
      <c r="C55" s="185"/>
      <c r="D55" s="185"/>
      <c r="E55" s="185"/>
      <c r="F55" s="185"/>
      <c r="G55" s="128"/>
      <c r="H55" s="128"/>
      <c r="I55" s="128"/>
      <c r="J55" s="128"/>
      <c r="K55" s="128"/>
      <c r="L55" s="166"/>
      <c r="M55" s="128"/>
      <c r="N55" s="128"/>
      <c r="O55" s="128"/>
      <c r="P55" s="128"/>
      <c r="Q55" s="128"/>
      <c r="R55" s="185"/>
    </row>
    <row r="56" spans="2:18">
      <c r="B56" s="185"/>
      <c r="C56" s="185"/>
      <c r="D56" s="185"/>
      <c r="E56" s="185"/>
      <c r="F56" s="185"/>
      <c r="G56" s="128"/>
      <c r="H56" s="128"/>
      <c r="I56" s="128"/>
      <c r="J56" s="128"/>
      <c r="K56" s="128"/>
      <c r="L56" s="166"/>
      <c r="M56" s="128"/>
      <c r="N56" s="128"/>
      <c r="O56" s="128"/>
      <c r="P56" s="128"/>
      <c r="Q56" s="128"/>
      <c r="R56" s="185"/>
    </row>
    <row r="57" spans="2:18">
      <c r="B57" s="185"/>
      <c r="C57" s="185"/>
      <c r="D57" s="185"/>
      <c r="E57" s="185"/>
      <c r="F57" s="185"/>
      <c r="G57" s="128"/>
      <c r="H57" s="128"/>
      <c r="I57" s="128"/>
      <c r="J57" s="128"/>
      <c r="K57" s="128"/>
      <c r="L57" s="166"/>
      <c r="M57" s="128"/>
      <c r="N57" s="128"/>
      <c r="O57" s="128"/>
      <c r="P57" s="128"/>
      <c r="Q57" s="128"/>
      <c r="R57" s="185"/>
    </row>
    <row r="58" spans="2:18" ht="15.6">
      <c r="B58" s="101" t="s">
        <v>585</v>
      </c>
      <c r="C58" s="185"/>
      <c r="E58" s="185"/>
      <c r="F58" s="185"/>
      <c r="G58" s="128"/>
      <c r="H58" s="128"/>
      <c r="I58" s="128"/>
      <c r="J58" s="128"/>
      <c r="K58" s="128"/>
      <c r="L58" s="166"/>
      <c r="M58" s="128"/>
      <c r="N58" s="128"/>
      <c r="O58" s="128"/>
      <c r="P58" s="128"/>
      <c r="Q58" s="128"/>
      <c r="R58" s="185"/>
    </row>
    <row r="59" spans="2:18">
      <c r="B59" s="185"/>
      <c r="C59" s="185"/>
      <c r="D59" s="185"/>
      <c r="E59" s="185"/>
      <c r="F59" s="185"/>
      <c r="G59" s="128"/>
      <c r="H59" s="128"/>
      <c r="I59" s="128"/>
      <c r="J59" s="128"/>
      <c r="K59" s="128"/>
      <c r="L59" s="166"/>
      <c r="M59" s="128"/>
      <c r="N59" s="128"/>
      <c r="O59" s="128"/>
      <c r="P59" s="128"/>
      <c r="Q59" s="128"/>
      <c r="R59" s="185"/>
    </row>
    <row r="60" spans="2:18" ht="15.6">
      <c r="B60" s="259">
        <v>1</v>
      </c>
      <c r="C60" s="101" t="s">
        <v>569</v>
      </c>
      <c r="E60" s="101"/>
      <c r="F60" s="101"/>
      <c r="G60" s="128">
        <f>G25+G31</f>
        <v>860.38000000000079</v>
      </c>
      <c r="H60" s="128">
        <f t="shared" ref="H60:Q60" si="6">H25+H31</f>
        <v>1304.8499999999992</v>
      </c>
      <c r="I60" s="128">
        <f t="shared" si="6"/>
        <v>1109.4599999999969</v>
      </c>
      <c r="J60" s="128">
        <f t="shared" si="6"/>
        <v>1885.349999999999</v>
      </c>
      <c r="K60" s="128">
        <f t="shared" si="6"/>
        <v>1401.4000000000005</v>
      </c>
      <c r="L60" s="166">
        <f t="shared" si="6"/>
        <v>62.450000000000045</v>
      </c>
      <c r="M60" s="128">
        <f t="shared" si="6"/>
        <v>1177.8683621279497</v>
      </c>
      <c r="N60" s="128">
        <f t="shared" si="6"/>
        <v>1397.157675703739</v>
      </c>
      <c r="O60" s="128">
        <f t="shared" si="6"/>
        <v>1513.2721215583583</v>
      </c>
      <c r="P60" s="128">
        <f t="shared" si="6"/>
        <v>1629.980583107495</v>
      </c>
      <c r="Q60" s="128">
        <f t="shared" si="6"/>
        <v>1797.1777357170722</v>
      </c>
      <c r="R60" s="185"/>
    </row>
    <row r="61" spans="2:18" ht="15.6">
      <c r="B61" s="259">
        <v>2</v>
      </c>
      <c r="C61" s="101" t="s">
        <v>573</v>
      </c>
      <c r="E61" s="185"/>
      <c r="F61" s="185"/>
      <c r="G61" s="128">
        <f>G25-G64</f>
        <v>862.23000000000093</v>
      </c>
      <c r="H61" s="128">
        <f t="shared" ref="H61:Q61" si="7">H25-H64</f>
        <v>1333.6999999999994</v>
      </c>
      <c r="I61" s="128">
        <f t="shared" si="7"/>
        <v>1130.3699999999967</v>
      </c>
      <c r="J61" s="128">
        <f t="shared" si="7"/>
        <v>1894.5399999999991</v>
      </c>
      <c r="K61" s="128">
        <f t="shared" si="7"/>
        <v>1405.7400000000007</v>
      </c>
      <c r="L61" s="166">
        <f t="shared" si="7"/>
        <v>943.86999999999966</v>
      </c>
      <c r="M61" s="128">
        <f t="shared" si="7"/>
        <v>1177.8683621279497</v>
      </c>
      <c r="N61" s="128">
        <f t="shared" si="7"/>
        <v>1397.157675703739</v>
      </c>
      <c r="O61" s="128">
        <f t="shared" si="7"/>
        <v>1513.2721215583583</v>
      </c>
      <c r="P61" s="128">
        <f t="shared" si="7"/>
        <v>1629.980583107495</v>
      </c>
      <c r="Q61" s="128">
        <f t="shared" si="7"/>
        <v>1797.1777357170722</v>
      </c>
      <c r="R61" s="185" t="s">
        <v>674</v>
      </c>
    </row>
    <row r="62" spans="2:18" ht="15.6">
      <c r="B62" s="259">
        <v>3</v>
      </c>
      <c r="C62" s="101" t="s">
        <v>676</v>
      </c>
      <c r="D62" s="185"/>
      <c r="E62" s="185"/>
      <c r="F62" s="185"/>
      <c r="G62" s="179">
        <f>G31*-1</f>
        <v>230.88000000000005</v>
      </c>
      <c r="H62" s="179">
        <f t="shared" ref="H62:Q62" si="8">H31*-1</f>
        <v>193.32000000000056</v>
      </c>
      <c r="I62" s="179">
        <f t="shared" si="8"/>
        <v>504.16999999999996</v>
      </c>
      <c r="J62" s="179">
        <f t="shared" si="8"/>
        <v>230.32999999999981</v>
      </c>
      <c r="K62" s="179">
        <f t="shared" si="8"/>
        <v>402.73</v>
      </c>
      <c r="L62" s="180">
        <f t="shared" si="8"/>
        <v>1427.6099999999994</v>
      </c>
      <c r="M62" s="179">
        <f>M31*-1</f>
        <v>460.18960677164853</v>
      </c>
      <c r="N62" s="179">
        <f t="shared" si="8"/>
        <v>503.94955521585484</v>
      </c>
      <c r="O62" s="179">
        <f t="shared" si="8"/>
        <v>541.74577185704345</v>
      </c>
      <c r="P62" s="179">
        <f t="shared" si="8"/>
        <v>579.66797588703639</v>
      </c>
      <c r="Q62" s="179">
        <f t="shared" si="8"/>
        <v>617.3463943196939</v>
      </c>
    </row>
    <row r="63" spans="2:18" ht="15.6">
      <c r="B63" s="185"/>
      <c r="C63" s="101"/>
      <c r="D63" s="185"/>
      <c r="E63" s="185"/>
      <c r="F63" s="185"/>
      <c r="G63" s="179"/>
      <c r="H63" s="179"/>
      <c r="I63" s="179"/>
      <c r="J63" s="179"/>
      <c r="K63" s="179"/>
      <c r="L63" s="180"/>
      <c r="M63" s="179"/>
      <c r="N63" s="179"/>
      <c r="O63" s="179"/>
      <c r="P63" s="179"/>
      <c r="Q63" s="179"/>
      <c r="R63" s="185"/>
    </row>
    <row r="64" spans="2:18" ht="15.6">
      <c r="B64" s="101" t="s">
        <v>291</v>
      </c>
      <c r="C64" s="185" t="s">
        <v>117</v>
      </c>
      <c r="D64" s="185"/>
      <c r="E64" s="185"/>
      <c r="F64" s="185"/>
      <c r="G64" s="128">
        <f>'Cash flow'!G99</f>
        <v>229.03000000000003</v>
      </c>
      <c r="H64" s="128">
        <f>'Cash flow'!H99</f>
        <v>164.47000000000045</v>
      </c>
      <c r="I64" s="128">
        <f>'Cash flow'!I99</f>
        <v>483.26</v>
      </c>
      <c r="J64" s="128">
        <f>'Cash flow'!J99</f>
        <v>221.13999999999979</v>
      </c>
      <c r="K64" s="128">
        <f>'Cash flow'!K99</f>
        <v>398.39</v>
      </c>
      <c r="L64" s="166">
        <f>'Cash flow'!L99</f>
        <v>546.18999999999983</v>
      </c>
      <c r="M64" s="128">
        <f>'Fixed asset Schedule'!M14+'Fixed asset Schedule'!M9</f>
        <v>460.18960677164853</v>
      </c>
      <c r="N64" s="128">
        <f>'Fixed asset Schedule'!N14+'Fixed asset Schedule'!N9</f>
        <v>503.94955521585479</v>
      </c>
      <c r="O64" s="128">
        <f>'Fixed asset Schedule'!O14+'Fixed asset Schedule'!O9</f>
        <v>541.74577185704345</v>
      </c>
      <c r="P64" s="128">
        <f>'Fixed asset Schedule'!P14+'Fixed asset Schedule'!P9</f>
        <v>579.66797588703639</v>
      </c>
      <c r="Q64" s="128">
        <f>'Fixed asset Schedule'!Q14+'Fixed asset Schedule'!Q9</f>
        <v>617.3463943196939</v>
      </c>
      <c r="R64" s="185"/>
    </row>
    <row r="65" spans="2:18">
      <c r="B65" s="185"/>
      <c r="C65" s="185" t="s">
        <v>177</v>
      </c>
      <c r="D65" s="185"/>
      <c r="E65" s="185"/>
      <c r="F65" s="185"/>
      <c r="G65" s="128">
        <f>'Cash flow'!G100</f>
        <v>0.27999999999999825</v>
      </c>
      <c r="H65" s="128">
        <f>'Cash flow'!H100</f>
        <v>-0.94000000000000394</v>
      </c>
      <c r="I65" s="128">
        <f>'Cash flow'!I100</f>
        <v>0.54000000000000115</v>
      </c>
      <c r="J65" s="128">
        <f>'Cash flow'!J100</f>
        <v>5.0000000000002931E-2</v>
      </c>
      <c r="K65" s="128">
        <f>'Cash flow'!K100</f>
        <v>-0.32999999999999785</v>
      </c>
      <c r="L65" s="166">
        <f>'Cash flow'!L100</f>
        <v>-0.89999999999999947</v>
      </c>
      <c r="M65" s="128">
        <f>'Fixed asset Schedule'!M51+'Fixed asset Schedule'!M46</f>
        <v>2.4424906541753444E-15</v>
      </c>
      <c r="N65" s="128">
        <f>'Fixed asset Schedule'!N51+'Fixed asset Schedule'!N46</f>
        <v>0</v>
      </c>
      <c r="O65" s="128">
        <f>('Fixed asset Schedule'!O51+'Fixed asset Schedule'!O46)</f>
        <v>3.1086244689504383E-15</v>
      </c>
      <c r="P65" s="128">
        <f>('Fixed asset Schedule'!P51+'Fixed asset Schedule'!P46)*-1</f>
        <v>1.3322676295501878E-15</v>
      </c>
      <c r="Q65" s="128">
        <f>'Fixed asset Schedule'!Q51+'Fixed asset Schedule'!Q46</f>
        <v>0</v>
      </c>
      <c r="R65" s="185" t="s">
        <v>909</v>
      </c>
    </row>
    <row r="66" spans="2:18">
      <c r="B66" s="185"/>
      <c r="C66" s="185" t="s">
        <v>178</v>
      </c>
      <c r="D66" s="185"/>
      <c r="E66" s="185"/>
      <c r="F66" s="185"/>
      <c r="G66" s="128">
        <f>'Cash flow'!G101</f>
        <v>1.5700000000000029</v>
      </c>
      <c r="H66" s="128">
        <f>'Cash flow'!H101</f>
        <v>29.789999999999992</v>
      </c>
      <c r="I66" s="128">
        <f>'Cash flow'!I101</f>
        <v>20.369999999999997</v>
      </c>
      <c r="J66" s="128">
        <f>'Cash flow'!J101</f>
        <v>9.14</v>
      </c>
      <c r="K66" s="128">
        <f>'Cash flow'!K101</f>
        <v>4.6700000000000106</v>
      </c>
      <c r="L66" s="166">
        <f>'Cash flow'!L101</f>
        <v>882.31999999999994</v>
      </c>
      <c r="M66" s="128">
        <f>'Fixed asset Schedule'!M69+'Fixed asset Schedule'!M64</f>
        <v>0</v>
      </c>
      <c r="N66" s="128">
        <f>'Fixed asset Schedule'!N69+'Fixed asset Schedule'!N64</f>
        <v>5.5067062021407764E-14</v>
      </c>
      <c r="O66" s="128">
        <f>'Fixed asset Schedule'!O69+'Fixed asset Schedule'!O64</f>
        <v>2.3092638912203256E-14</v>
      </c>
      <c r="P66" s="128">
        <f>('Fixed asset Schedule'!P69+'Fixed asset Schedule'!P64)*-1</f>
        <v>-1.7763568394002505E-14</v>
      </c>
      <c r="Q66" s="128">
        <f>'Fixed asset Schedule'!Q69+'Fixed asset Schedule'!Q64</f>
        <v>-2.1316282072803006E-14</v>
      </c>
      <c r="R66" s="185" t="s">
        <v>909</v>
      </c>
    </row>
    <row r="67" spans="2:18">
      <c r="B67" s="185"/>
      <c r="C67" s="185"/>
      <c r="D67" s="185"/>
      <c r="E67" s="185"/>
      <c r="F67" s="185"/>
      <c r="G67" s="128"/>
      <c r="H67" s="128"/>
      <c r="I67" s="128"/>
      <c r="J67" s="128"/>
      <c r="K67" s="128"/>
      <c r="L67" s="166"/>
      <c r="M67" s="128"/>
      <c r="N67" s="128"/>
      <c r="O67" s="128"/>
      <c r="P67" s="128"/>
      <c r="Q67" s="128"/>
      <c r="R67" s="185"/>
    </row>
    <row r="68" spans="2:18" ht="15.6">
      <c r="B68" s="185"/>
      <c r="C68" s="191" t="s">
        <v>675</v>
      </c>
      <c r="D68" s="192"/>
      <c r="E68" s="192"/>
      <c r="F68" s="192"/>
      <c r="G68" s="134">
        <f>SUM(G64:G66)</f>
        <v>230.88000000000002</v>
      </c>
      <c r="H68" s="134">
        <f t="shared" ref="H68:Q68" si="9">SUM(H64:H66)</f>
        <v>193.32000000000045</v>
      </c>
      <c r="I68" s="134">
        <f t="shared" si="9"/>
        <v>504.17</v>
      </c>
      <c r="J68" s="134">
        <f t="shared" si="9"/>
        <v>230.32999999999981</v>
      </c>
      <c r="K68" s="134">
        <f t="shared" si="9"/>
        <v>402.73</v>
      </c>
      <c r="L68" s="170">
        <f t="shared" si="9"/>
        <v>1427.6099999999997</v>
      </c>
      <c r="M68" s="134">
        <f t="shared" si="9"/>
        <v>460.18960677164853</v>
      </c>
      <c r="N68" s="134">
        <f t="shared" si="9"/>
        <v>503.94955521585484</v>
      </c>
      <c r="O68" s="134">
        <f t="shared" si="9"/>
        <v>541.74577185704345</v>
      </c>
      <c r="P68" s="134">
        <f t="shared" si="9"/>
        <v>579.66797588703639</v>
      </c>
      <c r="Q68" s="134">
        <f t="shared" si="9"/>
        <v>617.3463943196939</v>
      </c>
      <c r="R68" s="185"/>
    </row>
    <row r="69" spans="2:18">
      <c r="C69" s="185"/>
      <c r="D69" s="185"/>
      <c r="E69" s="185"/>
      <c r="F69" s="185"/>
      <c r="G69" s="128"/>
      <c r="H69" s="128"/>
      <c r="I69" s="128"/>
      <c r="J69" s="128"/>
      <c r="K69" s="128"/>
      <c r="L69" s="166"/>
      <c r="M69" s="128"/>
      <c r="N69" s="128"/>
      <c r="O69" s="128"/>
      <c r="P69" s="128"/>
      <c r="Q69" s="128"/>
      <c r="R69" s="185"/>
    </row>
    <row r="70" spans="2:18">
      <c r="B70" s="185"/>
      <c r="C70" s="185"/>
      <c r="D70" s="185"/>
      <c r="E70" s="185"/>
      <c r="F70" s="185"/>
      <c r="G70" s="128"/>
      <c r="H70" s="128"/>
      <c r="I70" s="128"/>
      <c r="J70" s="128"/>
      <c r="K70" s="128"/>
      <c r="L70" s="166"/>
      <c r="M70" s="128"/>
      <c r="N70" s="128"/>
      <c r="O70" s="128"/>
      <c r="P70" s="128"/>
      <c r="Q70" s="128"/>
      <c r="R70" s="185"/>
    </row>
    <row r="71" spans="2:18">
      <c r="B71" s="185"/>
      <c r="C71" s="185"/>
      <c r="D71" s="185"/>
      <c r="E71" s="185"/>
      <c r="F71" s="185"/>
      <c r="G71" s="128"/>
      <c r="H71" s="128"/>
      <c r="I71" s="128"/>
      <c r="J71" s="128"/>
      <c r="K71" s="128"/>
      <c r="L71" s="166"/>
      <c r="M71" s="128"/>
      <c r="N71" s="128"/>
      <c r="O71" s="128"/>
      <c r="P71" s="128"/>
      <c r="Q71" s="128"/>
      <c r="R71" s="185"/>
    </row>
    <row r="72" spans="2:18">
      <c r="B72" s="185"/>
      <c r="C72" s="185"/>
      <c r="D72" s="185"/>
      <c r="E72" s="185"/>
      <c r="F72" s="185"/>
      <c r="G72" s="128"/>
      <c r="H72" s="128"/>
      <c r="I72" s="128"/>
      <c r="J72" s="128"/>
      <c r="K72" s="128"/>
      <c r="L72" s="166"/>
      <c r="M72" s="128"/>
      <c r="N72" s="128"/>
      <c r="O72" s="128"/>
      <c r="P72" s="128"/>
      <c r="Q72" s="128"/>
      <c r="R72" s="185"/>
    </row>
    <row r="73" spans="2:18">
      <c r="B73" s="185"/>
      <c r="C73" s="185"/>
      <c r="D73" s="185"/>
      <c r="E73" s="185"/>
      <c r="F73" s="185"/>
      <c r="G73" s="128"/>
      <c r="H73" s="128"/>
      <c r="I73" s="128"/>
      <c r="J73" s="128"/>
      <c r="K73" s="128"/>
      <c r="L73" s="166"/>
      <c r="M73" s="128"/>
      <c r="N73" s="128"/>
      <c r="O73" s="128"/>
      <c r="P73" s="128"/>
      <c r="Q73" s="128"/>
      <c r="R73" s="185"/>
    </row>
    <row r="74" spans="2:18">
      <c r="B74" s="185"/>
      <c r="C74" s="185"/>
      <c r="D74" s="185"/>
      <c r="E74" s="185"/>
      <c r="F74" s="185"/>
      <c r="G74" s="128"/>
      <c r="H74" s="128"/>
      <c r="I74" s="128"/>
      <c r="J74" s="128"/>
      <c r="K74" s="128"/>
      <c r="L74" s="166"/>
      <c r="M74" s="128"/>
      <c r="N74" s="128"/>
      <c r="O74" s="128"/>
      <c r="P74" s="128"/>
      <c r="Q74" s="128"/>
      <c r="R74" s="185"/>
    </row>
    <row r="75" spans="2:18">
      <c r="B75" s="185"/>
      <c r="C75" s="185"/>
      <c r="D75" s="185"/>
      <c r="E75" s="185"/>
      <c r="F75" s="185"/>
      <c r="G75" s="128"/>
      <c r="H75" s="128"/>
      <c r="I75" s="128"/>
      <c r="J75" s="128"/>
      <c r="K75" s="128"/>
      <c r="L75" s="166"/>
      <c r="M75" s="128"/>
      <c r="N75" s="128"/>
      <c r="O75" s="128"/>
      <c r="P75" s="128"/>
      <c r="Q75" s="128"/>
      <c r="R75" s="185"/>
    </row>
    <row r="76" spans="2:18">
      <c r="B76" s="185"/>
      <c r="C76" s="185"/>
      <c r="D76" s="185"/>
      <c r="E76" s="185"/>
      <c r="F76" s="185"/>
      <c r="G76" s="128"/>
      <c r="H76" s="128"/>
      <c r="I76" s="128"/>
      <c r="J76" s="128"/>
      <c r="K76" s="128"/>
      <c r="L76" s="166"/>
      <c r="M76" s="128"/>
      <c r="N76" s="128"/>
      <c r="O76" s="128"/>
      <c r="P76" s="128"/>
      <c r="Q76" s="128"/>
      <c r="R76" s="185"/>
    </row>
    <row r="77" spans="2:18">
      <c r="B77" s="185"/>
      <c r="C77" s="185"/>
      <c r="D77" s="185"/>
      <c r="E77" s="185"/>
      <c r="F77" s="185"/>
      <c r="G77" s="128"/>
      <c r="H77" s="128"/>
      <c r="I77" s="128"/>
      <c r="J77" s="128"/>
      <c r="K77" s="128"/>
      <c r="L77" s="166"/>
      <c r="M77" s="128"/>
      <c r="N77" s="128"/>
      <c r="O77" s="128"/>
      <c r="P77" s="128"/>
      <c r="Q77" s="128"/>
      <c r="R77" s="185"/>
    </row>
    <row r="78" spans="2:18">
      <c r="B78" s="185"/>
      <c r="C78" s="185"/>
      <c r="D78" s="185"/>
      <c r="E78" s="185"/>
      <c r="F78" s="185"/>
      <c r="G78" s="128"/>
      <c r="H78" s="128"/>
      <c r="I78" s="128"/>
      <c r="J78" s="128"/>
      <c r="K78" s="128"/>
      <c r="L78" s="166"/>
      <c r="M78" s="128"/>
      <c r="N78" s="128"/>
      <c r="O78" s="128"/>
      <c r="P78" s="128"/>
      <c r="Q78" s="128"/>
      <c r="R78" s="185"/>
    </row>
    <row r="79" spans="2:18">
      <c r="B79" s="185"/>
      <c r="C79" s="185"/>
      <c r="D79" s="185"/>
      <c r="E79" s="185"/>
      <c r="F79" s="185"/>
      <c r="G79" s="128"/>
      <c r="H79" s="128"/>
      <c r="I79" s="128"/>
      <c r="J79" s="128"/>
      <c r="K79" s="128"/>
      <c r="L79" s="166"/>
      <c r="M79" s="128"/>
      <c r="N79" s="128"/>
      <c r="O79" s="128"/>
      <c r="P79" s="128"/>
      <c r="Q79" s="128"/>
      <c r="R79" s="185"/>
    </row>
    <row r="80" spans="2:18">
      <c r="B80" s="185"/>
      <c r="C80" s="185"/>
      <c r="D80" s="185"/>
      <c r="E80" s="185"/>
      <c r="F80" s="185"/>
      <c r="G80" s="128"/>
      <c r="H80" s="128"/>
      <c r="I80" s="128"/>
      <c r="J80" s="128"/>
      <c r="K80" s="128"/>
      <c r="L80" s="166"/>
      <c r="M80" s="128"/>
      <c r="N80" s="128"/>
      <c r="O80" s="128"/>
      <c r="P80" s="128"/>
      <c r="Q80" s="128"/>
      <c r="R80" s="185"/>
    </row>
    <row r="81" spans="2:18">
      <c r="B81" s="185"/>
      <c r="C81" s="185"/>
      <c r="D81" s="185"/>
      <c r="E81" s="185"/>
      <c r="F81" s="185"/>
      <c r="G81" s="128"/>
      <c r="H81" s="128"/>
      <c r="I81" s="128"/>
      <c r="J81" s="128"/>
      <c r="K81" s="128"/>
      <c r="L81" s="166"/>
      <c r="M81" s="128"/>
      <c r="N81" s="128"/>
      <c r="O81" s="128"/>
      <c r="P81" s="128"/>
      <c r="Q81" s="128"/>
      <c r="R81" s="185"/>
    </row>
    <row r="82" spans="2:18">
      <c r="B82" s="185"/>
      <c r="C82" s="185"/>
      <c r="D82" s="185"/>
      <c r="E82" s="185"/>
      <c r="F82" s="185"/>
      <c r="G82" s="128"/>
      <c r="H82" s="128"/>
      <c r="I82" s="128"/>
      <c r="J82" s="128"/>
      <c r="K82" s="128"/>
      <c r="L82" s="166"/>
      <c r="M82" s="128"/>
      <c r="N82" s="128"/>
      <c r="O82" s="128"/>
      <c r="P82" s="128"/>
      <c r="Q82" s="128"/>
      <c r="R82" s="185"/>
    </row>
    <row r="83" spans="2:18">
      <c r="B83" s="185"/>
      <c r="C83" s="185"/>
      <c r="D83" s="185"/>
      <c r="E83" s="185"/>
      <c r="F83" s="185"/>
      <c r="G83" s="128"/>
      <c r="H83" s="128"/>
      <c r="I83" s="128"/>
      <c r="J83" s="128"/>
      <c r="K83" s="128"/>
      <c r="L83" s="166"/>
      <c r="M83" s="128"/>
      <c r="N83" s="128"/>
      <c r="O83" s="128"/>
      <c r="P83" s="128"/>
      <c r="Q83" s="128"/>
      <c r="R83" s="185"/>
    </row>
    <row r="84" spans="2:18">
      <c r="B84" s="185"/>
      <c r="C84" s="185"/>
      <c r="D84" s="185"/>
      <c r="E84" s="185"/>
      <c r="F84" s="185"/>
      <c r="G84" s="128"/>
      <c r="H84" s="128"/>
      <c r="I84" s="128"/>
      <c r="J84" s="128"/>
      <c r="K84" s="128"/>
      <c r="L84" s="166"/>
      <c r="M84" s="128"/>
      <c r="N84" s="128"/>
      <c r="O84" s="128"/>
      <c r="P84" s="128"/>
      <c r="Q84" s="128"/>
      <c r="R84" s="185"/>
    </row>
    <row r="85" spans="2:18">
      <c r="B85" s="185"/>
      <c r="C85" s="185"/>
      <c r="D85" s="185"/>
      <c r="E85" s="185"/>
      <c r="F85" s="185"/>
      <c r="G85" s="128"/>
      <c r="H85" s="128"/>
      <c r="I85" s="128"/>
      <c r="J85" s="128"/>
      <c r="K85" s="128"/>
      <c r="L85" s="166"/>
      <c r="M85" s="128"/>
      <c r="N85" s="128"/>
      <c r="O85" s="128"/>
      <c r="P85" s="128"/>
      <c r="Q85" s="128"/>
      <c r="R85" s="185"/>
    </row>
    <row r="86" spans="2:18">
      <c r="B86" s="185"/>
      <c r="C86" s="185"/>
      <c r="D86" s="185"/>
      <c r="E86" s="185"/>
      <c r="F86" s="185"/>
      <c r="G86" s="128"/>
      <c r="H86" s="128"/>
      <c r="I86" s="128"/>
      <c r="J86" s="128"/>
      <c r="K86" s="128"/>
      <c r="L86" s="166"/>
      <c r="M86" s="128"/>
      <c r="N86" s="128"/>
      <c r="O86" s="128"/>
      <c r="P86" s="128"/>
      <c r="Q86" s="128"/>
      <c r="R86" s="185"/>
    </row>
    <row r="87" spans="2:18">
      <c r="B87" s="185"/>
      <c r="C87" s="185"/>
      <c r="D87" s="185"/>
      <c r="E87" s="185"/>
      <c r="F87" s="185"/>
      <c r="G87" s="128"/>
      <c r="H87" s="128"/>
      <c r="I87" s="128"/>
      <c r="J87" s="128"/>
      <c r="K87" s="128"/>
      <c r="L87" s="166"/>
      <c r="M87" s="128"/>
      <c r="N87" s="128"/>
      <c r="O87" s="128"/>
      <c r="P87" s="128"/>
      <c r="Q87" s="128"/>
      <c r="R87" s="185"/>
    </row>
    <row r="88" spans="2:18">
      <c r="B88" s="185"/>
      <c r="C88" s="185"/>
      <c r="D88" s="185"/>
      <c r="E88" s="185"/>
      <c r="F88" s="185"/>
      <c r="G88" s="128"/>
      <c r="H88" s="128"/>
      <c r="I88" s="128"/>
      <c r="J88" s="128"/>
      <c r="K88" s="128"/>
      <c r="L88" s="166"/>
      <c r="M88" s="128"/>
      <c r="N88" s="128"/>
      <c r="O88" s="128"/>
      <c r="P88" s="128"/>
      <c r="Q88" s="128"/>
      <c r="R88" s="185"/>
    </row>
    <row r="89" spans="2:18">
      <c r="B89" s="185"/>
      <c r="C89" s="185"/>
      <c r="D89" s="185"/>
      <c r="E89" s="185"/>
      <c r="F89" s="185"/>
      <c r="G89" s="128"/>
      <c r="H89" s="128"/>
      <c r="I89" s="128"/>
      <c r="J89" s="128"/>
      <c r="K89" s="128"/>
      <c r="L89" s="166"/>
      <c r="M89" s="128"/>
      <c r="N89" s="128"/>
      <c r="O89" s="128"/>
      <c r="P89" s="128"/>
      <c r="Q89" s="128"/>
      <c r="R89" s="185"/>
    </row>
    <row r="90" spans="2:18">
      <c r="B90" s="185"/>
      <c r="C90" s="185"/>
      <c r="D90" s="185"/>
      <c r="E90" s="185"/>
      <c r="F90" s="185"/>
      <c r="G90" s="128"/>
      <c r="H90" s="128"/>
      <c r="I90" s="128"/>
      <c r="J90" s="128"/>
      <c r="K90" s="128"/>
      <c r="L90" s="166"/>
      <c r="M90" s="128"/>
      <c r="N90" s="128"/>
      <c r="O90" s="128"/>
      <c r="P90" s="128"/>
      <c r="Q90" s="128"/>
      <c r="R90" s="185"/>
    </row>
    <row r="91" spans="2:18">
      <c r="B91" s="185"/>
      <c r="C91" s="185"/>
      <c r="D91" s="185"/>
      <c r="E91" s="185"/>
      <c r="F91" s="185"/>
      <c r="G91" s="128"/>
      <c r="H91" s="128"/>
      <c r="I91" s="128"/>
      <c r="J91" s="128"/>
      <c r="K91" s="128"/>
      <c r="L91" s="166"/>
      <c r="M91" s="128"/>
      <c r="N91" s="128"/>
      <c r="O91" s="128"/>
      <c r="P91" s="128"/>
      <c r="Q91" s="128"/>
      <c r="R91" s="185"/>
    </row>
    <row r="92" spans="2:18">
      <c r="B92" s="185"/>
      <c r="C92" s="185"/>
      <c r="D92" s="185"/>
      <c r="E92" s="185"/>
      <c r="F92" s="185"/>
      <c r="G92" s="128"/>
      <c r="H92" s="128"/>
      <c r="I92" s="128"/>
      <c r="J92" s="128"/>
      <c r="K92" s="128"/>
      <c r="L92" s="166"/>
      <c r="M92" s="128"/>
      <c r="N92" s="128"/>
      <c r="O92" s="128"/>
      <c r="P92" s="128"/>
      <c r="Q92" s="128"/>
      <c r="R92" s="185"/>
    </row>
    <row r="93" spans="2:18">
      <c r="B93" s="185"/>
      <c r="C93" s="185"/>
      <c r="D93" s="185"/>
      <c r="E93" s="185"/>
      <c r="F93" s="185"/>
      <c r="G93" s="128"/>
      <c r="H93" s="128"/>
      <c r="I93" s="128"/>
      <c r="J93" s="128"/>
      <c r="K93" s="128"/>
      <c r="L93" s="128"/>
      <c r="M93" s="128"/>
      <c r="N93" s="128"/>
      <c r="O93" s="128"/>
      <c r="P93" s="128"/>
      <c r="Q93" s="128"/>
      <c r="R93" s="185"/>
    </row>
    <row r="94" spans="2:18">
      <c r="B94" s="185"/>
      <c r="C94" s="185"/>
      <c r="D94" s="185"/>
      <c r="E94" s="185"/>
      <c r="F94" s="185"/>
      <c r="G94" s="128"/>
      <c r="H94" s="128"/>
      <c r="I94" s="128"/>
      <c r="J94" s="128"/>
      <c r="K94" s="128"/>
      <c r="L94" s="128"/>
      <c r="M94" s="128"/>
      <c r="N94" s="128"/>
      <c r="O94" s="128"/>
      <c r="P94" s="128"/>
      <c r="Q94" s="128"/>
      <c r="R94" s="185"/>
    </row>
    <row r="95" spans="2:18">
      <c r="B95" s="185"/>
      <c r="C95" s="185"/>
      <c r="D95" s="185"/>
      <c r="E95" s="185"/>
      <c r="F95" s="185"/>
      <c r="G95" s="128"/>
      <c r="H95" s="128"/>
      <c r="I95" s="128"/>
      <c r="J95" s="128"/>
      <c r="K95" s="128"/>
      <c r="L95" s="128"/>
      <c r="M95" s="128"/>
      <c r="N95" s="128"/>
      <c r="O95" s="128"/>
      <c r="P95" s="128"/>
      <c r="Q95" s="128"/>
      <c r="R95" s="185"/>
    </row>
    <row r="96" spans="2:18">
      <c r="B96" s="185"/>
      <c r="C96" s="185"/>
      <c r="D96" s="185"/>
      <c r="E96" s="185"/>
      <c r="F96" s="185"/>
      <c r="G96" s="128"/>
      <c r="H96" s="128"/>
      <c r="I96" s="128"/>
      <c r="J96" s="128"/>
      <c r="K96" s="128"/>
      <c r="L96" s="128"/>
      <c r="M96" s="128"/>
      <c r="N96" s="128"/>
      <c r="O96" s="128"/>
      <c r="P96" s="128"/>
      <c r="Q96" s="128"/>
      <c r="R96" s="185"/>
    </row>
    <row r="97" spans="2:18">
      <c r="B97" s="185"/>
      <c r="C97" s="185"/>
      <c r="D97" s="185"/>
      <c r="E97" s="185"/>
      <c r="F97" s="185"/>
      <c r="G97" s="128"/>
      <c r="H97" s="128"/>
      <c r="I97" s="128"/>
      <c r="J97" s="128"/>
      <c r="K97" s="128"/>
      <c r="L97" s="128"/>
      <c r="M97" s="128"/>
      <c r="N97" s="128"/>
      <c r="O97" s="128"/>
      <c r="P97" s="128"/>
      <c r="Q97" s="128"/>
      <c r="R97" s="185"/>
    </row>
    <row r="98" spans="2:18">
      <c r="B98" s="185"/>
      <c r="C98" s="185"/>
      <c r="D98" s="185"/>
      <c r="E98" s="185"/>
      <c r="F98" s="185"/>
      <c r="G98" s="128"/>
      <c r="H98" s="128"/>
      <c r="I98" s="128"/>
      <c r="J98" s="128"/>
      <c r="K98" s="128"/>
      <c r="L98" s="128"/>
      <c r="M98" s="128"/>
      <c r="N98" s="128"/>
      <c r="O98" s="128"/>
      <c r="P98" s="128"/>
      <c r="Q98" s="128"/>
      <c r="R98" s="185"/>
    </row>
    <row r="99" spans="2:18">
      <c r="B99" s="185"/>
      <c r="C99" s="185"/>
      <c r="D99" s="185"/>
      <c r="E99" s="185"/>
      <c r="F99" s="185"/>
      <c r="G99" s="128"/>
      <c r="H99" s="128"/>
      <c r="I99" s="128"/>
      <c r="J99" s="128"/>
      <c r="K99" s="128"/>
      <c r="L99" s="128"/>
      <c r="M99" s="128"/>
      <c r="N99" s="128"/>
      <c r="O99" s="128"/>
      <c r="P99" s="128"/>
      <c r="Q99" s="128"/>
      <c r="R99" s="185"/>
    </row>
    <row r="100" spans="2:18">
      <c r="B100" s="185"/>
      <c r="C100" s="185"/>
      <c r="D100" s="185"/>
      <c r="E100" s="185"/>
      <c r="F100" s="185"/>
      <c r="G100" s="128"/>
      <c r="H100" s="128"/>
      <c r="I100" s="128"/>
      <c r="J100" s="128"/>
      <c r="K100" s="128"/>
      <c r="L100" s="128"/>
      <c r="M100" s="128"/>
      <c r="N100" s="128"/>
      <c r="O100" s="128"/>
      <c r="P100" s="128"/>
      <c r="Q100" s="128"/>
      <c r="R100" s="185"/>
    </row>
    <row r="101" spans="2:18">
      <c r="B101" s="185"/>
      <c r="C101" s="185"/>
      <c r="D101" s="185"/>
      <c r="E101" s="185"/>
      <c r="F101" s="185"/>
      <c r="G101" s="128"/>
      <c r="H101" s="128"/>
      <c r="I101" s="128"/>
      <c r="J101" s="128"/>
      <c r="K101" s="128"/>
      <c r="L101" s="128"/>
      <c r="M101" s="128"/>
      <c r="N101" s="128"/>
      <c r="O101" s="128"/>
      <c r="P101" s="128"/>
      <c r="Q101" s="128"/>
      <c r="R101" s="185"/>
    </row>
    <row r="102" spans="2:18">
      <c r="B102" s="185"/>
      <c r="C102" s="185"/>
      <c r="D102" s="185"/>
      <c r="E102" s="185"/>
      <c r="F102" s="185"/>
      <c r="G102" s="128"/>
      <c r="H102" s="128"/>
      <c r="I102" s="128"/>
      <c r="J102" s="128"/>
      <c r="K102" s="128"/>
      <c r="L102" s="128"/>
      <c r="M102" s="128"/>
      <c r="N102" s="128"/>
      <c r="O102" s="128"/>
      <c r="P102" s="128"/>
      <c r="Q102" s="128"/>
      <c r="R102" s="185"/>
    </row>
    <row r="103" spans="2:18">
      <c r="B103" s="185"/>
      <c r="C103" s="185"/>
      <c r="D103" s="185"/>
      <c r="E103" s="185"/>
      <c r="F103" s="185"/>
      <c r="G103" s="128"/>
      <c r="H103" s="128"/>
      <c r="I103" s="128"/>
      <c r="J103" s="128"/>
      <c r="K103" s="128"/>
      <c r="L103" s="128"/>
      <c r="M103" s="128"/>
      <c r="N103" s="128"/>
      <c r="O103" s="128"/>
      <c r="P103" s="128"/>
      <c r="Q103" s="128"/>
      <c r="R103" s="185"/>
    </row>
    <row r="104" spans="2:18">
      <c r="B104" s="185"/>
      <c r="C104" s="185"/>
      <c r="D104" s="185"/>
      <c r="E104" s="185"/>
      <c r="F104" s="185"/>
      <c r="G104" s="128"/>
      <c r="H104" s="128"/>
      <c r="I104" s="128"/>
      <c r="J104" s="128"/>
      <c r="K104" s="128"/>
      <c r="L104" s="128"/>
      <c r="M104" s="128"/>
      <c r="N104" s="128"/>
      <c r="O104" s="128"/>
      <c r="P104" s="128"/>
      <c r="Q104" s="128"/>
      <c r="R104" s="185"/>
    </row>
    <row r="105" spans="2:18">
      <c r="B105" s="185"/>
      <c r="C105" s="185"/>
      <c r="D105" s="185"/>
      <c r="E105" s="185"/>
      <c r="F105" s="185"/>
      <c r="G105" s="128"/>
      <c r="H105" s="128"/>
      <c r="I105" s="128"/>
      <c r="J105" s="128"/>
      <c r="K105" s="128"/>
      <c r="L105" s="128"/>
      <c r="M105" s="128"/>
      <c r="N105" s="128"/>
      <c r="O105" s="128"/>
      <c r="P105" s="128"/>
      <c r="Q105" s="128"/>
      <c r="R105" s="185"/>
    </row>
    <row r="106" spans="2:18">
      <c r="B106" s="185"/>
      <c r="C106" s="185"/>
      <c r="D106" s="185"/>
      <c r="E106" s="185"/>
      <c r="F106" s="185"/>
      <c r="G106" s="128"/>
      <c r="H106" s="128"/>
      <c r="I106" s="128"/>
      <c r="J106" s="128"/>
      <c r="K106" s="128"/>
      <c r="L106" s="128"/>
      <c r="M106" s="128"/>
      <c r="N106" s="128"/>
      <c r="O106" s="128"/>
      <c r="P106" s="128"/>
      <c r="Q106" s="128"/>
      <c r="R106" s="185"/>
    </row>
    <row r="107" spans="2:18">
      <c r="B107" s="185"/>
      <c r="C107" s="185"/>
      <c r="D107" s="185"/>
      <c r="E107" s="185"/>
      <c r="F107" s="185"/>
      <c r="G107" s="128"/>
      <c r="H107" s="128"/>
      <c r="I107" s="128"/>
      <c r="J107" s="128"/>
      <c r="K107" s="128"/>
      <c r="L107" s="128"/>
      <c r="M107" s="128"/>
      <c r="N107" s="128"/>
      <c r="O107" s="128"/>
      <c r="P107" s="128"/>
      <c r="Q107" s="128"/>
      <c r="R107" s="185"/>
    </row>
    <row r="108" spans="2:18">
      <c r="B108" s="185"/>
      <c r="C108" s="185"/>
      <c r="D108" s="185"/>
      <c r="E108" s="185"/>
      <c r="F108" s="185"/>
      <c r="G108" s="128"/>
      <c r="H108" s="128"/>
      <c r="I108" s="128"/>
      <c r="J108" s="128"/>
      <c r="K108" s="128"/>
      <c r="L108" s="128"/>
      <c r="M108" s="128"/>
      <c r="N108" s="128"/>
      <c r="O108" s="128"/>
      <c r="P108" s="128"/>
      <c r="Q108" s="128"/>
      <c r="R108" s="185"/>
    </row>
    <row r="109" spans="2:18">
      <c r="B109" s="185"/>
      <c r="C109" s="185"/>
      <c r="D109" s="185"/>
      <c r="E109" s="185"/>
      <c r="F109" s="185"/>
      <c r="G109" s="128"/>
      <c r="H109" s="128"/>
      <c r="I109" s="128"/>
      <c r="J109" s="128"/>
      <c r="K109" s="128"/>
      <c r="L109" s="128"/>
      <c r="M109" s="128"/>
      <c r="N109" s="128"/>
      <c r="O109" s="128"/>
      <c r="P109" s="128"/>
      <c r="Q109" s="128"/>
      <c r="R109" s="185"/>
    </row>
    <row r="110" spans="2:18">
      <c r="B110" s="185"/>
      <c r="C110" s="185"/>
      <c r="D110" s="185"/>
      <c r="E110" s="185"/>
      <c r="F110" s="185"/>
      <c r="G110" s="128"/>
      <c r="H110" s="128"/>
      <c r="I110" s="128"/>
      <c r="J110" s="128"/>
      <c r="K110" s="128"/>
      <c r="L110" s="128"/>
      <c r="M110" s="128"/>
      <c r="N110" s="128"/>
      <c r="O110" s="128"/>
      <c r="P110" s="128"/>
      <c r="Q110" s="128"/>
      <c r="R110" s="185"/>
    </row>
    <row r="111" spans="2:18">
      <c r="B111" s="185"/>
      <c r="C111" s="185"/>
      <c r="D111" s="185"/>
      <c r="E111" s="185"/>
      <c r="F111" s="185"/>
      <c r="G111" s="128"/>
      <c r="H111" s="128"/>
      <c r="I111" s="128"/>
      <c r="J111" s="128"/>
      <c r="K111" s="128"/>
      <c r="L111" s="128"/>
      <c r="M111" s="128"/>
      <c r="N111" s="128"/>
      <c r="O111" s="128"/>
      <c r="P111" s="128"/>
      <c r="Q111" s="128"/>
      <c r="R111" s="185"/>
    </row>
    <row r="112" spans="2:18">
      <c r="B112" s="185"/>
      <c r="C112" s="185"/>
      <c r="D112" s="185"/>
      <c r="E112" s="185"/>
      <c r="F112" s="185"/>
      <c r="G112" s="128"/>
      <c r="H112" s="128"/>
      <c r="I112" s="128"/>
      <c r="J112" s="128"/>
      <c r="K112" s="128"/>
      <c r="L112" s="128"/>
      <c r="M112" s="128"/>
      <c r="N112" s="128"/>
      <c r="O112" s="128"/>
      <c r="P112" s="128"/>
      <c r="Q112" s="128"/>
      <c r="R112" s="185"/>
    </row>
    <row r="113" spans="2:18">
      <c r="B113" s="185"/>
      <c r="C113" s="185"/>
      <c r="D113" s="185"/>
      <c r="E113" s="185"/>
      <c r="F113" s="185"/>
      <c r="G113" s="128"/>
      <c r="H113" s="128"/>
      <c r="I113" s="128"/>
      <c r="J113" s="128"/>
      <c r="K113" s="128"/>
      <c r="L113" s="128"/>
      <c r="M113" s="128"/>
      <c r="N113" s="128"/>
      <c r="O113" s="128"/>
      <c r="P113" s="128"/>
      <c r="Q113" s="128"/>
      <c r="R113" s="185"/>
    </row>
    <row r="114" spans="2:18">
      <c r="B114" s="185"/>
      <c r="C114" s="185"/>
      <c r="D114" s="185"/>
      <c r="E114" s="185"/>
      <c r="F114" s="185"/>
      <c r="G114" s="128"/>
      <c r="H114" s="128"/>
      <c r="I114" s="128"/>
      <c r="J114" s="128"/>
      <c r="K114" s="128"/>
      <c r="L114" s="128"/>
      <c r="M114" s="128"/>
      <c r="N114" s="128"/>
      <c r="O114" s="128"/>
      <c r="P114" s="128"/>
      <c r="Q114" s="128"/>
      <c r="R114" s="185"/>
    </row>
    <row r="115" spans="2:18">
      <c r="B115" s="185"/>
      <c r="C115" s="185"/>
      <c r="D115" s="185"/>
      <c r="E115" s="185"/>
      <c r="F115" s="185"/>
      <c r="G115" s="128"/>
      <c r="H115" s="128"/>
      <c r="I115" s="128"/>
      <c r="J115" s="128"/>
      <c r="K115" s="128"/>
      <c r="L115" s="128"/>
      <c r="M115" s="128"/>
      <c r="N115" s="128"/>
      <c r="O115" s="128"/>
      <c r="P115" s="128"/>
      <c r="Q115" s="128"/>
      <c r="R115" s="185"/>
    </row>
    <row r="116" spans="2:18">
      <c r="B116" s="185"/>
      <c r="C116" s="185"/>
      <c r="D116" s="185"/>
      <c r="E116" s="185"/>
      <c r="F116" s="185"/>
      <c r="G116" s="128"/>
      <c r="H116" s="128"/>
      <c r="I116" s="128"/>
      <c r="J116" s="128"/>
      <c r="K116" s="128"/>
      <c r="L116" s="128"/>
      <c r="M116" s="128"/>
      <c r="N116" s="128"/>
      <c r="O116" s="128"/>
      <c r="P116" s="128"/>
      <c r="Q116" s="128"/>
      <c r="R116" s="185"/>
    </row>
    <row r="117" spans="2:18">
      <c r="B117" s="185"/>
      <c r="C117" s="185"/>
      <c r="D117" s="185"/>
      <c r="E117" s="185"/>
      <c r="F117" s="185"/>
      <c r="G117" s="128"/>
      <c r="H117" s="128"/>
      <c r="I117" s="128"/>
      <c r="J117" s="128"/>
      <c r="K117" s="128"/>
      <c r="L117" s="128"/>
      <c r="M117" s="128"/>
      <c r="N117" s="128"/>
      <c r="O117" s="128"/>
      <c r="P117" s="128"/>
      <c r="Q117" s="128"/>
      <c r="R117" s="185"/>
    </row>
    <row r="118" spans="2:18">
      <c r="B118" s="185"/>
      <c r="C118" s="185"/>
      <c r="D118" s="185"/>
      <c r="E118" s="185"/>
      <c r="F118" s="185"/>
      <c r="G118" s="128"/>
      <c r="H118" s="128"/>
      <c r="I118" s="128"/>
      <c r="J118" s="128"/>
      <c r="K118" s="128"/>
      <c r="L118" s="128"/>
      <c r="M118" s="128"/>
      <c r="N118" s="128"/>
      <c r="O118" s="128"/>
      <c r="P118" s="128"/>
      <c r="Q118" s="128"/>
      <c r="R118" s="185"/>
    </row>
    <row r="119" spans="2:18">
      <c r="B119" s="185"/>
      <c r="C119" s="185"/>
      <c r="D119" s="185"/>
      <c r="E119" s="185"/>
      <c r="F119" s="185"/>
      <c r="G119" s="128"/>
      <c r="H119" s="128"/>
      <c r="I119" s="128"/>
      <c r="J119" s="128"/>
      <c r="K119" s="128"/>
      <c r="L119" s="128"/>
      <c r="M119" s="128"/>
      <c r="N119" s="128"/>
      <c r="O119" s="128"/>
      <c r="P119" s="128"/>
      <c r="Q119" s="128"/>
      <c r="R119" s="185"/>
    </row>
    <row r="120" spans="2:18">
      <c r="B120" s="185"/>
      <c r="C120" s="185"/>
      <c r="D120" s="185"/>
      <c r="E120" s="185"/>
      <c r="F120" s="185"/>
      <c r="G120" s="128"/>
      <c r="H120" s="128"/>
      <c r="I120" s="128"/>
      <c r="J120" s="128"/>
      <c r="K120" s="128"/>
      <c r="L120" s="128"/>
      <c r="M120" s="128"/>
      <c r="N120" s="128"/>
      <c r="O120" s="128"/>
      <c r="P120" s="128"/>
      <c r="Q120" s="128"/>
      <c r="R120" s="185"/>
    </row>
    <row r="121" spans="2:18">
      <c r="B121" s="185"/>
      <c r="C121" s="185"/>
      <c r="D121" s="185"/>
      <c r="E121" s="185"/>
      <c r="F121" s="185"/>
      <c r="G121" s="128"/>
      <c r="H121" s="128"/>
      <c r="I121" s="128"/>
      <c r="J121" s="128"/>
      <c r="K121" s="128"/>
      <c r="L121" s="128"/>
      <c r="M121" s="128"/>
      <c r="N121" s="128"/>
      <c r="O121" s="128"/>
      <c r="P121" s="128"/>
      <c r="Q121" s="128"/>
      <c r="R121" s="185"/>
    </row>
    <row r="122" spans="2:18">
      <c r="B122" s="185"/>
      <c r="C122" s="185"/>
      <c r="D122" s="185"/>
      <c r="E122" s="185"/>
      <c r="F122" s="185"/>
      <c r="G122" s="128"/>
      <c r="H122" s="128"/>
      <c r="I122" s="128"/>
      <c r="J122" s="128"/>
      <c r="K122" s="128"/>
      <c r="L122" s="128"/>
      <c r="M122" s="128"/>
      <c r="N122" s="128"/>
      <c r="O122" s="128"/>
      <c r="P122" s="128"/>
      <c r="Q122" s="128"/>
      <c r="R122" s="185"/>
    </row>
    <row r="123" spans="2:18">
      <c r="B123" s="185"/>
      <c r="C123" s="185"/>
      <c r="D123" s="185"/>
      <c r="E123" s="185"/>
      <c r="F123" s="185"/>
      <c r="G123" s="128"/>
      <c r="H123" s="128"/>
      <c r="I123" s="128"/>
      <c r="J123" s="128"/>
      <c r="K123" s="128"/>
      <c r="L123" s="128"/>
      <c r="M123" s="128"/>
      <c r="N123" s="128"/>
      <c r="O123" s="128"/>
      <c r="P123" s="128"/>
      <c r="Q123" s="128"/>
      <c r="R123" s="185"/>
    </row>
    <row r="124" spans="2:18">
      <c r="B124" s="185"/>
      <c r="C124" s="185"/>
      <c r="D124" s="185"/>
      <c r="E124" s="185"/>
      <c r="F124" s="185"/>
      <c r="G124" s="128"/>
      <c r="H124" s="128"/>
      <c r="I124" s="128"/>
      <c r="J124" s="128"/>
      <c r="K124" s="128"/>
      <c r="L124" s="128"/>
      <c r="M124" s="128"/>
      <c r="N124" s="128"/>
      <c r="O124" s="128"/>
      <c r="P124" s="128"/>
      <c r="Q124" s="128"/>
      <c r="R124" s="185"/>
    </row>
    <row r="125" spans="2:18">
      <c r="B125" s="185"/>
      <c r="C125" s="185"/>
      <c r="D125" s="185"/>
      <c r="E125" s="185"/>
      <c r="F125" s="185"/>
      <c r="G125" s="128"/>
      <c r="H125" s="128"/>
      <c r="I125" s="128"/>
      <c r="J125" s="128"/>
      <c r="K125" s="128"/>
      <c r="L125" s="128"/>
      <c r="M125" s="128"/>
      <c r="N125" s="128"/>
      <c r="O125" s="128"/>
      <c r="P125" s="128"/>
      <c r="Q125" s="128"/>
      <c r="R125" s="185"/>
    </row>
    <row r="126" spans="2:18">
      <c r="B126" s="185"/>
      <c r="C126" s="185"/>
      <c r="D126" s="185"/>
      <c r="E126" s="185"/>
      <c r="F126" s="185"/>
      <c r="G126" s="128"/>
      <c r="H126" s="128"/>
      <c r="I126" s="128"/>
      <c r="J126" s="128"/>
      <c r="K126" s="128"/>
      <c r="L126" s="128"/>
      <c r="M126" s="128"/>
      <c r="N126" s="128"/>
      <c r="O126" s="128"/>
      <c r="P126" s="128"/>
      <c r="Q126" s="128"/>
      <c r="R126" s="185"/>
    </row>
    <row r="127" spans="2:18">
      <c r="B127" s="185"/>
      <c r="C127" s="185"/>
      <c r="D127" s="185"/>
      <c r="E127" s="185"/>
      <c r="F127" s="185"/>
      <c r="G127" s="128"/>
      <c r="H127" s="128"/>
      <c r="I127" s="128"/>
      <c r="J127" s="128"/>
      <c r="K127" s="128"/>
      <c r="L127" s="128"/>
      <c r="M127" s="128"/>
      <c r="N127" s="128"/>
      <c r="O127" s="128"/>
      <c r="P127" s="128"/>
      <c r="Q127" s="128"/>
      <c r="R127" s="185"/>
    </row>
    <row r="128" spans="2:18">
      <c r="B128" s="185"/>
      <c r="C128" s="185"/>
      <c r="D128" s="185"/>
      <c r="E128" s="185"/>
      <c r="F128" s="185"/>
      <c r="G128" s="128"/>
      <c r="H128" s="128"/>
      <c r="I128" s="128"/>
      <c r="J128" s="128"/>
      <c r="K128" s="128"/>
      <c r="L128" s="128"/>
      <c r="M128" s="128"/>
      <c r="N128" s="128"/>
      <c r="O128" s="128"/>
      <c r="P128" s="128"/>
      <c r="Q128" s="128"/>
      <c r="R128" s="185"/>
    </row>
    <row r="129" spans="2:18">
      <c r="B129" s="185"/>
      <c r="C129" s="185"/>
      <c r="D129" s="185"/>
      <c r="E129" s="185"/>
      <c r="F129" s="185"/>
      <c r="G129" s="128"/>
      <c r="H129" s="128"/>
      <c r="I129" s="128"/>
      <c r="J129" s="128"/>
      <c r="K129" s="128"/>
      <c r="L129" s="128"/>
      <c r="M129" s="128"/>
      <c r="N129" s="128"/>
      <c r="O129" s="128"/>
      <c r="P129" s="128"/>
      <c r="Q129" s="128"/>
      <c r="R129" s="185"/>
    </row>
    <row r="130" spans="2:18">
      <c r="B130" s="185"/>
      <c r="C130" s="185"/>
      <c r="D130" s="185"/>
      <c r="E130" s="185"/>
      <c r="F130" s="185"/>
      <c r="G130" s="128"/>
      <c r="H130" s="128"/>
      <c r="I130" s="128"/>
      <c r="J130" s="128"/>
      <c r="K130" s="128"/>
      <c r="L130" s="128"/>
      <c r="M130" s="128"/>
      <c r="N130" s="128"/>
      <c r="O130" s="128"/>
      <c r="P130" s="128"/>
      <c r="Q130" s="128"/>
      <c r="R130" s="185"/>
    </row>
    <row r="131" spans="2:18">
      <c r="B131" s="185"/>
      <c r="C131" s="185"/>
      <c r="D131" s="185"/>
      <c r="E131" s="185"/>
      <c r="F131" s="185"/>
      <c r="G131" s="128"/>
      <c r="H131" s="128"/>
      <c r="I131" s="128"/>
      <c r="J131" s="128"/>
      <c r="K131" s="128"/>
      <c r="L131" s="128"/>
      <c r="M131" s="128"/>
      <c r="N131" s="128"/>
      <c r="O131" s="128"/>
      <c r="P131" s="128"/>
      <c r="Q131" s="128"/>
      <c r="R131" s="185"/>
    </row>
    <row r="132" spans="2:18">
      <c r="B132" s="185"/>
      <c r="C132" s="185"/>
      <c r="D132" s="185"/>
      <c r="E132" s="185"/>
      <c r="F132" s="185"/>
      <c r="G132" s="128"/>
      <c r="H132" s="128"/>
      <c r="I132" s="128"/>
      <c r="J132" s="128"/>
      <c r="K132" s="128"/>
      <c r="L132" s="128"/>
      <c r="M132" s="128"/>
      <c r="N132" s="128"/>
      <c r="O132" s="128"/>
      <c r="P132" s="128"/>
      <c r="Q132" s="128"/>
      <c r="R132" s="185"/>
    </row>
    <row r="133" spans="2:18">
      <c r="B133" s="185"/>
      <c r="C133" s="185"/>
      <c r="D133" s="185"/>
      <c r="E133" s="185"/>
      <c r="F133" s="185"/>
      <c r="G133" s="128"/>
      <c r="H133" s="128"/>
      <c r="I133" s="128"/>
      <c r="J133" s="128"/>
      <c r="K133" s="128"/>
      <c r="L133" s="128"/>
      <c r="M133" s="128"/>
      <c r="N133" s="128"/>
      <c r="O133" s="128"/>
      <c r="P133" s="128"/>
      <c r="Q133" s="128"/>
      <c r="R133" s="185"/>
    </row>
    <row r="134" spans="2:18">
      <c r="B134" s="185"/>
      <c r="C134" s="185"/>
      <c r="D134" s="185"/>
      <c r="E134" s="185"/>
      <c r="F134" s="185"/>
      <c r="G134" s="128"/>
      <c r="H134" s="128"/>
      <c r="I134" s="128"/>
      <c r="J134" s="128"/>
      <c r="K134" s="128"/>
      <c r="L134" s="128"/>
      <c r="M134" s="128"/>
      <c r="N134" s="128"/>
      <c r="O134" s="128"/>
      <c r="P134" s="128"/>
      <c r="Q134" s="128"/>
      <c r="R134" s="185"/>
    </row>
    <row r="135" spans="2:18">
      <c r="B135" s="185"/>
      <c r="C135" s="185"/>
      <c r="D135" s="185"/>
      <c r="E135" s="185"/>
      <c r="F135" s="185"/>
      <c r="G135" s="128"/>
      <c r="H135" s="128"/>
      <c r="I135" s="128"/>
      <c r="J135" s="128"/>
      <c r="K135" s="128"/>
      <c r="L135" s="128"/>
      <c r="M135" s="128"/>
      <c r="N135" s="128"/>
      <c r="O135" s="128"/>
      <c r="P135" s="128"/>
      <c r="Q135" s="128"/>
      <c r="R135" s="185"/>
    </row>
    <row r="136" spans="2:18">
      <c r="B136" s="185"/>
      <c r="C136" s="185"/>
      <c r="D136" s="185"/>
      <c r="E136" s="185"/>
      <c r="F136" s="185"/>
      <c r="G136" s="128"/>
      <c r="H136" s="128"/>
      <c r="I136" s="128"/>
      <c r="J136" s="128"/>
      <c r="K136" s="128"/>
      <c r="L136" s="128"/>
      <c r="M136" s="128"/>
      <c r="N136" s="128"/>
      <c r="O136" s="128"/>
      <c r="P136" s="128"/>
      <c r="Q136" s="128"/>
      <c r="R136" s="185"/>
    </row>
    <row r="137" spans="2:18">
      <c r="B137" s="185"/>
      <c r="C137" s="185"/>
      <c r="D137" s="185"/>
      <c r="E137" s="185"/>
      <c r="F137" s="185"/>
      <c r="G137" s="128"/>
      <c r="H137" s="128"/>
      <c r="I137" s="128"/>
      <c r="J137" s="128"/>
      <c r="K137" s="128"/>
      <c r="L137" s="128"/>
      <c r="M137" s="128"/>
      <c r="N137" s="128"/>
      <c r="O137" s="128"/>
      <c r="P137" s="128"/>
      <c r="Q137" s="128"/>
      <c r="R137" s="185"/>
    </row>
    <row r="138" spans="2:18">
      <c r="B138" s="185"/>
      <c r="C138" s="185"/>
      <c r="D138" s="185"/>
      <c r="E138" s="185"/>
      <c r="F138" s="185"/>
      <c r="G138" s="128"/>
      <c r="H138" s="128"/>
      <c r="I138" s="128"/>
      <c r="J138" s="128"/>
      <c r="K138" s="128"/>
      <c r="L138" s="128"/>
      <c r="M138" s="128"/>
      <c r="N138" s="128"/>
      <c r="O138" s="128"/>
      <c r="P138" s="128"/>
      <c r="Q138" s="128"/>
      <c r="R138" s="185"/>
    </row>
    <row r="139" spans="2:18">
      <c r="B139" s="185"/>
      <c r="C139" s="185"/>
      <c r="D139" s="185"/>
      <c r="E139" s="185"/>
      <c r="F139" s="185"/>
      <c r="G139" s="128"/>
      <c r="H139" s="128"/>
      <c r="I139" s="128"/>
      <c r="J139" s="128"/>
      <c r="K139" s="128"/>
      <c r="L139" s="128"/>
      <c r="M139" s="128"/>
      <c r="N139" s="128"/>
      <c r="O139" s="128"/>
      <c r="P139" s="128"/>
      <c r="Q139" s="128"/>
      <c r="R139" s="185"/>
    </row>
    <row r="140" spans="2:18">
      <c r="B140" s="185"/>
      <c r="C140" s="185"/>
      <c r="D140" s="185"/>
      <c r="E140" s="185"/>
      <c r="F140" s="185"/>
      <c r="G140" s="128"/>
      <c r="H140" s="128"/>
      <c r="I140" s="128"/>
      <c r="J140" s="128"/>
      <c r="K140" s="128"/>
      <c r="L140" s="128"/>
      <c r="M140" s="128"/>
      <c r="N140" s="128"/>
      <c r="O140" s="128"/>
      <c r="P140" s="128"/>
      <c r="Q140" s="128"/>
      <c r="R140" s="185"/>
    </row>
    <row r="141" spans="2:18">
      <c r="B141" s="185"/>
      <c r="C141" s="185"/>
      <c r="D141" s="185"/>
      <c r="E141" s="185"/>
      <c r="F141" s="185"/>
      <c r="G141" s="128"/>
      <c r="H141" s="128"/>
      <c r="I141" s="128"/>
      <c r="J141" s="128"/>
      <c r="K141" s="128"/>
      <c r="L141" s="128"/>
      <c r="M141" s="128"/>
      <c r="N141" s="128"/>
      <c r="O141" s="128"/>
      <c r="P141" s="128"/>
      <c r="Q141" s="128"/>
      <c r="R141" s="185"/>
    </row>
    <row r="142" spans="2:18">
      <c r="B142" s="185"/>
      <c r="C142" s="185"/>
      <c r="D142" s="185"/>
      <c r="E142" s="185"/>
      <c r="F142" s="185"/>
      <c r="G142" s="128"/>
      <c r="H142" s="128"/>
      <c r="I142" s="128"/>
      <c r="J142" s="128"/>
      <c r="K142" s="128"/>
      <c r="L142" s="128"/>
      <c r="M142" s="128"/>
      <c r="N142" s="128"/>
      <c r="O142" s="128"/>
      <c r="P142" s="128"/>
      <c r="Q142" s="128"/>
      <c r="R142" s="185"/>
    </row>
    <row r="143" spans="2:18">
      <c r="B143" s="185"/>
      <c r="C143" s="185"/>
      <c r="D143" s="185"/>
      <c r="E143" s="185"/>
      <c r="F143" s="185"/>
      <c r="G143" s="128"/>
      <c r="H143" s="128"/>
      <c r="I143" s="128"/>
      <c r="J143" s="128"/>
      <c r="K143" s="128"/>
      <c r="L143" s="128"/>
      <c r="M143" s="128"/>
      <c r="N143" s="128"/>
      <c r="O143" s="128"/>
      <c r="P143" s="128"/>
      <c r="Q143" s="128"/>
      <c r="R143" s="185"/>
    </row>
    <row r="144" spans="2:18">
      <c r="B144" s="185"/>
      <c r="C144" s="185"/>
      <c r="D144" s="185"/>
      <c r="E144" s="185"/>
      <c r="F144" s="185"/>
      <c r="G144" s="128"/>
      <c r="H144" s="128"/>
      <c r="I144" s="128"/>
      <c r="J144" s="128"/>
      <c r="K144" s="128"/>
      <c r="L144" s="128"/>
      <c r="M144" s="128"/>
      <c r="N144" s="128"/>
      <c r="O144" s="128"/>
      <c r="P144" s="128"/>
      <c r="Q144" s="128"/>
      <c r="R144" s="185"/>
    </row>
    <row r="145" spans="2:18">
      <c r="B145" s="185"/>
      <c r="C145" s="185"/>
      <c r="D145" s="185"/>
      <c r="E145" s="185"/>
      <c r="F145" s="185"/>
      <c r="G145" s="128"/>
      <c r="H145" s="128"/>
      <c r="I145" s="128"/>
      <c r="J145" s="128"/>
      <c r="K145" s="128"/>
      <c r="L145" s="128"/>
      <c r="M145" s="128"/>
      <c r="N145" s="128"/>
      <c r="O145" s="128"/>
      <c r="P145" s="128"/>
      <c r="Q145" s="128"/>
      <c r="R145" s="185"/>
    </row>
    <row r="146" spans="2:18">
      <c r="B146" s="185"/>
      <c r="C146" s="185"/>
      <c r="D146" s="185"/>
      <c r="E146" s="185"/>
      <c r="F146" s="185"/>
      <c r="G146" s="128"/>
      <c r="H146" s="128"/>
      <c r="I146" s="128"/>
      <c r="J146" s="128"/>
      <c r="K146" s="128"/>
      <c r="L146" s="128"/>
      <c r="M146" s="128"/>
      <c r="N146" s="128"/>
      <c r="O146" s="128"/>
      <c r="P146" s="128"/>
      <c r="Q146" s="128"/>
      <c r="R146" s="185"/>
    </row>
    <row r="147" spans="2:18">
      <c r="B147" s="185"/>
      <c r="C147" s="185"/>
      <c r="D147" s="185"/>
      <c r="E147" s="185"/>
      <c r="F147" s="185"/>
      <c r="G147" s="128"/>
      <c r="H147" s="128"/>
      <c r="I147" s="128"/>
      <c r="J147" s="128"/>
      <c r="K147" s="128"/>
      <c r="L147" s="128"/>
      <c r="M147" s="128"/>
      <c r="N147" s="128"/>
      <c r="O147" s="128"/>
      <c r="P147" s="128"/>
      <c r="Q147" s="128"/>
      <c r="R147" s="185"/>
    </row>
    <row r="148" spans="2:18">
      <c r="B148" s="185"/>
      <c r="C148" s="185"/>
      <c r="D148" s="185"/>
      <c r="E148" s="185"/>
      <c r="F148" s="185"/>
      <c r="G148" s="128"/>
      <c r="H148" s="128"/>
      <c r="I148" s="128"/>
      <c r="J148" s="128"/>
      <c r="K148" s="128"/>
      <c r="L148" s="128"/>
      <c r="M148" s="128"/>
      <c r="N148" s="128"/>
      <c r="O148" s="128"/>
      <c r="P148" s="128"/>
      <c r="Q148" s="128"/>
      <c r="R148" s="185"/>
    </row>
    <row r="149" spans="2:18">
      <c r="B149" s="185"/>
      <c r="C149" s="185"/>
      <c r="D149" s="185"/>
      <c r="E149" s="185"/>
      <c r="F149" s="185"/>
      <c r="G149" s="128"/>
      <c r="H149" s="128"/>
      <c r="I149" s="128"/>
      <c r="J149" s="128"/>
      <c r="K149" s="128"/>
      <c r="L149" s="128"/>
      <c r="M149" s="128"/>
      <c r="N149" s="128"/>
      <c r="O149" s="128"/>
      <c r="P149" s="128"/>
      <c r="Q149" s="128"/>
      <c r="R149" s="185"/>
    </row>
    <row r="150" spans="2:18">
      <c r="B150" s="185"/>
      <c r="C150" s="185"/>
      <c r="D150" s="185"/>
      <c r="E150" s="185"/>
      <c r="F150" s="185"/>
      <c r="G150" s="128"/>
      <c r="H150" s="128"/>
      <c r="I150" s="128"/>
      <c r="J150" s="128"/>
      <c r="K150" s="128"/>
      <c r="L150" s="128"/>
      <c r="M150" s="128"/>
      <c r="N150" s="128"/>
      <c r="O150" s="128"/>
      <c r="P150" s="128"/>
      <c r="Q150" s="128"/>
      <c r="R150" s="185"/>
    </row>
    <row r="151" spans="2:18">
      <c r="B151" s="185"/>
      <c r="C151" s="185"/>
      <c r="D151" s="185"/>
      <c r="E151" s="185"/>
      <c r="F151" s="185"/>
      <c r="G151" s="128"/>
      <c r="H151" s="128"/>
      <c r="I151" s="128"/>
      <c r="J151" s="128"/>
      <c r="K151" s="128"/>
      <c r="L151" s="128"/>
      <c r="M151" s="128"/>
      <c r="N151" s="128"/>
      <c r="O151" s="128"/>
      <c r="P151" s="128"/>
      <c r="Q151" s="128"/>
      <c r="R151" s="185"/>
    </row>
    <row r="152" spans="2:18">
      <c r="B152" s="185"/>
      <c r="C152" s="185"/>
      <c r="D152" s="185"/>
      <c r="E152" s="185"/>
      <c r="F152" s="185"/>
      <c r="G152" s="128"/>
      <c r="H152" s="128"/>
      <c r="I152" s="128"/>
      <c r="J152" s="128"/>
      <c r="K152" s="128"/>
      <c r="L152" s="128"/>
      <c r="M152" s="128"/>
      <c r="N152" s="128"/>
      <c r="O152" s="128"/>
      <c r="P152" s="128"/>
      <c r="Q152" s="128"/>
      <c r="R152" s="185"/>
    </row>
    <row r="153" spans="2:18">
      <c r="B153" s="185"/>
      <c r="C153" s="185"/>
      <c r="D153" s="185"/>
      <c r="E153" s="185"/>
      <c r="F153" s="185"/>
      <c r="G153" s="128"/>
      <c r="H153" s="128"/>
      <c r="I153" s="128"/>
      <c r="J153" s="128"/>
      <c r="K153" s="128"/>
      <c r="L153" s="128"/>
      <c r="M153" s="128"/>
      <c r="N153" s="128"/>
      <c r="O153" s="128"/>
      <c r="P153" s="128"/>
      <c r="Q153" s="128"/>
      <c r="R153" s="185"/>
    </row>
    <row r="154" spans="2:18">
      <c r="B154" s="185"/>
      <c r="C154" s="185"/>
      <c r="D154" s="185"/>
      <c r="E154" s="185"/>
      <c r="F154" s="185"/>
      <c r="G154" s="128"/>
      <c r="H154" s="128"/>
      <c r="I154" s="128"/>
      <c r="J154" s="128"/>
      <c r="K154" s="128"/>
      <c r="L154" s="128"/>
      <c r="M154" s="128"/>
      <c r="N154" s="128"/>
      <c r="O154" s="128"/>
      <c r="P154" s="128"/>
      <c r="Q154" s="128"/>
      <c r="R154" s="185"/>
    </row>
    <row r="155" spans="2:18">
      <c r="B155" s="185"/>
      <c r="C155" s="185"/>
      <c r="D155" s="185"/>
      <c r="E155" s="185"/>
      <c r="F155" s="185"/>
      <c r="G155" s="128"/>
      <c r="H155" s="128"/>
      <c r="I155" s="128"/>
      <c r="J155" s="128"/>
      <c r="K155" s="128"/>
      <c r="L155" s="128"/>
      <c r="M155" s="128"/>
      <c r="N155" s="128"/>
      <c r="O155" s="128"/>
      <c r="P155" s="128"/>
      <c r="Q155" s="128"/>
      <c r="R155" s="185"/>
    </row>
    <row r="156" spans="2:18">
      <c r="B156" s="185"/>
      <c r="C156" s="185"/>
      <c r="D156" s="185"/>
      <c r="E156" s="185"/>
      <c r="F156" s="185"/>
      <c r="G156" s="128"/>
      <c r="H156" s="128"/>
      <c r="I156" s="128"/>
      <c r="J156" s="128"/>
      <c r="K156" s="128"/>
      <c r="L156" s="128"/>
      <c r="M156" s="128"/>
      <c r="N156" s="128"/>
      <c r="O156" s="128"/>
      <c r="P156" s="128"/>
      <c r="Q156" s="128"/>
      <c r="R156" s="185"/>
    </row>
    <row r="157" spans="2:18">
      <c r="B157" s="185"/>
      <c r="C157" s="185"/>
      <c r="D157" s="185"/>
      <c r="E157" s="185"/>
      <c r="F157" s="185"/>
      <c r="G157" s="128"/>
      <c r="H157" s="128"/>
      <c r="I157" s="128"/>
      <c r="J157" s="128"/>
      <c r="K157" s="128"/>
      <c r="L157" s="128"/>
      <c r="M157" s="128"/>
      <c r="N157" s="128"/>
      <c r="O157" s="128"/>
      <c r="P157" s="128"/>
      <c r="Q157" s="128"/>
      <c r="R157" s="185"/>
    </row>
    <row r="158" spans="2:18">
      <c r="B158" s="185"/>
      <c r="C158" s="185"/>
      <c r="D158" s="185"/>
      <c r="E158" s="185"/>
      <c r="F158" s="185"/>
      <c r="G158" s="128"/>
      <c r="H158" s="128"/>
      <c r="I158" s="128"/>
      <c r="J158" s="128"/>
      <c r="K158" s="128"/>
      <c r="L158" s="128"/>
      <c r="M158" s="128"/>
      <c r="N158" s="128"/>
      <c r="O158" s="128"/>
      <c r="P158" s="128"/>
      <c r="Q158" s="128"/>
      <c r="R158" s="185"/>
    </row>
    <row r="159" spans="2:18">
      <c r="B159" s="185"/>
      <c r="C159" s="185"/>
      <c r="D159" s="185"/>
      <c r="E159" s="185"/>
      <c r="F159" s="185"/>
      <c r="G159" s="128"/>
      <c r="H159" s="128"/>
      <c r="I159" s="128"/>
      <c r="J159" s="128"/>
      <c r="K159" s="128"/>
      <c r="L159" s="128"/>
      <c r="M159" s="128"/>
      <c r="N159" s="128"/>
      <c r="O159" s="128"/>
      <c r="P159" s="128"/>
      <c r="Q159" s="128"/>
      <c r="R159" s="185"/>
    </row>
    <row r="160" spans="2:18">
      <c r="B160" s="185"/>
      <c r="C160" s="185"/>
      <c r="D160" s="185"/>
      <c r="E160" s="185"/>
      <c r="F160" s="185"/>
      <c r="G160" s="128"/>
      <c r="H160" s="128"/>
      <c r="I160" s="128"/>
      <c r="J160" s="128"/>
      <c r="K160" s="128"/>
      <c r="L160" s="128"/>
      <c r="M160" s="128"/>
      <c r="N160" s="128"/>
      <c r="O160" s="128"/>
      <c r="P160" s="128"/>
      <c r="Q160" s="128"/>
      <c r="R160" s="185"/>
    </row>
    <row r="161" spans="2:18">
      <c r="B161" s="185"/>
      <c r="C161" s="185"/>
      <c r="D161" s="185"/>
      <c r="E161" s="185"/>
      <c r="F161" s="185"/>
      <c r="G161" s="128"/>
      <c r="H161" s="128"/>
      <c r="I161" s="128"/>
      <c r="J161" s="128"/>
      <c r="K161" s="128"/>
      <c r="L161" s="128"/>
      <c r="M161" s="128"/>
      <c r="N161" s="128"/>
      <c r="O161" s="128"/>
      <c r="P161" s="128"/>
      <c r="Q161" s="128"/>
      <c r="R161" s="185"/>
    </row>
    <row r="162" spans="2:18">
      <c r="G162" s="128"/>
      <c r="H162" s="128"/>
      <c r="I162" s="128"/>
      <c r="J162" s="128"/>
      <c r="K162" s="128"/>
      <c r="L162" s="128"/>
      <c r="M162" s="128"/>
      <c r="N162" s="128"/>
      <c r="O162" s="128"/>
      <c r="P162" s="128"/>
      <c r="Q162" s="128"/>
    </row>
    <row r="163" spans="2:18">
      <c r="G163" s="128"/>
      <c r="H163" s="128"/>
      <c r="I163" s="128"/>
      <c r="J163" s="128"/>
      <c r="K163" s="128"/>
      <c r="L163" s="128"/>
      <c r="M163" s="128"/>
      <c r="N163" s="128"/>
      <c r="O163" s="128"/>
      <c r="P163" s="128"/>
      <c r="Q163" s="128"/>
    </row>
    <row r="164" spans="2:18">
      <c r="G164" s="128"/>
      <c r="H164" s="128"/>
      <c r="I164" s="128"/>
      <c r="J164" s="128"/>
      <c r="K164" s="128"/>
      <c r="L164" s="128"/>
      <c r="M164" s="128"/>
      <c r="N164" s="128"/>
      <c r="O164" s="128"/>
      <c r="P164" s="128"/>
      <c r="Q164" s="128"/>
    </row>
    <row r="165" spans="2:18">
      <c r="G165" s="128"/>
      <c r="H165" s="128"/>
      <c r="I165" s="128"/>
      <c r="J165" s="128"/>
      <c r="K165" s="128"/>
      <c r="L165" s="128"/>
      <c r="M165" s="128"/>
      <c r="N165" s="128"/>
      <c r="O165" s="128"/>
      <c r="P165" s="128"/>
      <c r="Q165" s="128"/>
    </row>
    <row r="166" spans="2:18">
      <c r="G166" s="128"/>
      <c r="H166" s="128"/>
      <c r="I166" s="128"/>
      <c r="J166" s="128"/>
      <c r="K166" s="128"/>
      <c r="L166" s="128"/>
      <c r="M166" s="128"/>
      <c r="N166" s="128"/>
      <c r="O166" s="128"/>
      <c r="P166" s="128"/>
      <c r="Q166" s="128"/>
    </row>
    <row r="167" spans="2:18">
      <c r="G167" s="128"/>
      <c r="H167" s="128"/>
      <c r="I167" s="128"/>
      <c r="J167" s="128"/>
      <c r="K167" s="128"/>
      <c r="L167" s="128"/>
      <c r="M167" s="128"/>
      <c r="N167" s="128"/>
      <c r="O167" s="128"/>
      <c r="P167" s="128"/>
      <c r="Q167" s="128"/>
    </row>
    <row r="168" spans="2:18">
      <c r="G168" s="128"/>
      <c r="H168" s="128"/>
      <c r="I168" s="128"/>
      <c r="J168" s="128"/>
      <c r="K168" s="128"/>
      <c r="L168" s="128"/>
      <c r="M168" s="128"/>
      <c r="N168" s="128"/>
      <c r="O168" s="128"/>
      <c r="P168" s="128"/>
      <c r="Q168" s="128"/>
    </row>
    <row r="169" spans="2:18">
      <c r="G169" s="128"/>
      <c r="H169" s="128"/>
      <c r="I169" s="128"/>
      <c r="J169" s="128"/>
      <c r="K169" s="128"/>
      <c r="L169" s="128"/>
      <c r="M169" s="128"/>
      <c r="N169" s="128"/>
      <c r="O169" s="128"/>
      <c r="P169" s="128"/>
      <c r="Q169" s="128"/>
    </row>
  </sheetData>
  <hyperlinks>
    <hyperlink ref="B1" location="Forecasting!L15" display="Forecasting sheet Link" xr:uid="{3D31BE89-CEC9-468F-AD62-C680C3FC671E}"/>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24EAB-93D1-401F-BF14-F39AAFB32930}">
  <sheetPr codeName="Sheet26">
    <tabColor theme="1" tint="4.9989318521683403E-2"/>
  </sheetPr>
  <dimension ref="A1:X136"/>
  <sheetViews>
    <sheetView showGridLines="0" zoomScaleNormal="100" workbookViewId="0">
      <pane ySplit="2" topLeftCell="A3" activePane="bottomLeft" state="frozen"/>
      <selection pane="bottomLeft" activeCell="E101" sqref="E101"/>
    </sheetView>
  </sheetViews>
  <sheetFormatPr defaultColWidth="11.77734375" defaultRowHeight="15"/>
  <cols>
    <col min="1" max="1" width="3.44140625" style="2" customWidth="1"/>
    <col min="2" max="20" width="15.5546875" style="2" customWidth="1"/>
    <col min="21" max="21" width="11.77734375" style="2" customWidth="1"/>
    <col min="22" max="16384" width="11.77734375" style="2"/>
  </cols>
  <sheetData>
    <row r="1" spans="2:24" ht="15.6" customHeight="1">
      <c r="B1" s="456" t="s">
        <v>1017</v>
      </c>
      <c r="H1" s="119" t="s">
        <v>350</v>
      </c>
      <c r="I1" s="119" t="s">
        <v>350</v>
      </c>
      <c r="J1" s="119" t="s">
        <v>350</v>
      </c>
      <c r="K1" s="119" t="s">
        <v>350</v>
      </c>
      <c r="L1" s="119" t="s">
        <v>350</v>
      </c>
      <c r="M1" s="155" t="s">
        <v>350</v>
      </c>
      <c r="N1" s="119" t="s">
        <v>465</v>
      </c>
      <c r="O1" s="119" t="s">
        <v>465</v>
      </c>
      <c r="P1" s="119" t="s">
        <v>465</v>
      </c>
      <c r="Q1" s="119" t="s">
        <v>465</v>
      </c>
      <c r="R1" s="119" t="s">
        <v>465</v>
      </c>
      <c r="S1" s="512" t="s">
        <v>657</v>
      </c>
      <c r="T1" s="513"/>
      <c r="U1" s="514"/>
      <c r="V1" s="512" t="s">
        <v>679</v>
      </c>
      <c r="W1" s="513"/>
      <c r="X1" s="514"/>
    </row>
    <row r="2" spans="2:24">
      <c r="D2" s="121" t="s">
        <v>452</v>
      </c>
      <c r="E2" s="120"/>
      <c r="F2" s="120"/>
      <c r="G2" s="120"/>
      <c r="H2" s="127" t="s">
        <v>41</v>
      </c>
      <c r="I2" s="127" t="s">
        <v>42</v>
      </c>
      <c r="J2" s="127" t="s">
        <v>43</v>
      </c>
      <c r="K2" s="127" t="s">
        <v>44</v>
      </c>
      <c r="L2" s="127" t="s">
        <v>45</v>
      </c>
      <c r="M2" s="156" t="s">
        <v>46</v>
      </c>
      <c r="N2" s="127" t="s">
        <v>349</v>
      </c>
      <c r="O2" s="127" t="s">
        <v>352</v>
      </c>
      <c r="P2" s="127" t="s">
        <v>353</v>
      </c>
      <c r="Q2" s="127" t="s">
        <v>354</v>
      </c>
      <c r="R2" s="156" t="s">
        <v>355</v>
      </c>
      <c r="S2" s="120" t="s">
        <v>463</v>
      </c>
      <c r="T2" s="120" t="s">
        <v>464</v>
      </c>
      <c r="U2" s="120" t="s">
        <v>677</v>
      </c>
      <c r="V2" s="120" t="s">
        <v>463</v>
      </c>
      <c r="W2" s="120" t="s">
        <v>464</v>
      </c>
      <c r="X2" s="120" t="s">
        <v>677</v>
      </c>
    </row>
    <row r="3" spans="2:24" ht="15.6">
      <c r="F3"/>
      <c r="M3" s="157"/>
      <c r="S3" s="232"/>
      <c r="U3" s="157"/>
      <c r="X3" s="157"/>
    </row>
    <row r="4" spans="2:24" ht="15.6">
      <c r="D4" s="3" t="s">
        <v>434</v>
      </c>
      <c r="H4" s="145"/>
      <c r="I4" s="145"/>
      <c r="J4" s="145"/>
      <c r="K4" s="145"/>
      <c r="L4" s="145"/>
      <c r="M4" s="158"/>
      <c r="N4" s="145"/>
      <c r="S4" s="1"/>
      <c r="T4" s="119"/>
      <c r="U4" s="157"/>
      <c r="X4" s="157"/>
    </row>
    <row r="5" spans="2:24" ht="15.6">
      <c r="D5" s="3"/>
      <c r="E5" s="3" t="s">
        <v>430</v>
      </c>
      <c r="H5" s="145" t="s">
        <v>158</v>
      </c>
      <c r="I5" s="145">
        <f>IFERROR((('P&amp;L(OUTPUT)'!H7-'P&amp;L(OUTPUT)'!G7)/'P&amp;L(OUTPUT)'!G7),"-")</f>
        <v>0.10271372792789285</v>
      </c>
      <c r="J5" s="145">
        <f>IFERROR((('P&amp;L(OUTPUT)'!I7-'P&amp;L(OUTPUT)'!H7)/'P&amp;L(OUTPUT)'!H7),"-")</f>
        <v>1.9923687520478548E-2</v>
      </c>
      <c r="K5" s="145">
        <f>IFERROR((('P&amp;L(OUTPUT)'!J7-'P&amp;L(OUTPUT)'!I7)/'P&amp;L(OUTPUT)'!I7),"-")</f>
        <v>9.9251091582380047E-2</v>
      </c>
      <c r="L5" s="145">
        <f>IFERROR((('P&amp;L(OUTPUT)'!K7-'P&amp;L(OUTPUT)'!J7)/'P&amp;L(OUTPUT)'!J7),"-")</f>
        <v>0.1405819873043806</v>
      </c>
      <c r="M5" s="158">
        <f>IFERROR((('P&amp;L(OUTPUT)'!L7-'P&amp;L(OUTPUT)'!K7)/'P&amp;L(OUTPUT)'!K7),"-")</f>
        <v>5.888776233666515E-2</v>
      </c>
      <c r="N5" s="145">
        <f>IFERROR((('P&amp;L(OUTPUT)'!M7-'P&amp;L(OUTPUT)'!L7)/'P&amp;L(OUTPUT)'!L7),"-")</f>
        <v>9.5997156087352195E-2</v>
      </c>
      <c r="O5" s="145">
        <f>IFERROR((('P&amp;L(OUTPUT)'!N7-'P&amp;L(OUTPUT)'!M7)/'P&amp;L(OUTPUT)'!M7),"-")</f>
        <v>9.5091127222958594E-2</v>
      </c>
      <c r="P5" s="145">
        <f>IFERROR((('P&amp;L(OUTPUT)'!O7-'P&amp;L(OUTPUT)'!N7)/'P&amp;L(OUTPUT)'!N7),"-")</f>
        <v>7.5000000000000053E-2</v>
      </c>
      <c r="Q5" s="145">
        <f>IFERROR((('P&amp;L(OUTPUT)'!P7-'P&amp;L(OUTPUT)'!O7)/'P&amp;L(OUTPUT)'!O7),"-")</f>
        <v>7.0000000000000007E-2</v>
      </c>
      <c r="R5" s="145">
        <f>IFERROR((('P&amp;L(OUTPUT)'!Q7-'P&amp;L(OUTPUT)'!P7)/'P&amp;L(OUTPUT)'!P7),"-")</f>
        <v>6.5000000000000058E-2</v>
      </c>
      <c r="S5" s="233">
        <f>AVERAGE(I5:M5)</f>
        <v>8.4271651334359432E-2</v>
      </c>
      <c r="T5" s="177">
        <f>MEDIAN(H5:M5)</f>
        <v>9.9251091582380047E-2</v>
      </c>
      <c r="U5" s="178">
        <f>_xlfn.RRI(5,'P&amp;L(OUTPUT)'!G7,'P&amp;L(OUTPUT)'!L7)</f>
        <v>8.347965450985062E-2</v>
      </c>
      <c r="V5" s="8">
        <f>AVERAGE(N5:R5)</f>
        <v>8.0217656662062181E-2</v>
      </c>
      <c r="W5" s="8">
        <f>MEDIAN(N5:R5)</f>
        <v>7.5000000000000053E-2</v>
      </c>
      <c r="X5" s="298">
        <f>_xlfn.RRI(5,'P&amp;L(OUTPUT)'!M7,'P&amp;L(OUTPUT)'!Q7)</f>
        <v>6.051892269487591E-2</v>
      </c>
    </row>
    <row r="6" spans="2:24" ht="15.6">
      <c r="D6" s="3"/>
      <c r="E6" s="3" t="s">
        <v>361</v>
      </c>
      <c r="H6" s="145" t="s">
        <v>158</v>
      </c>
      <c r="I6" s="145">
        <f>IFERROR(('P&amp;L(OUTPUT)'!H9-'P&amp;L(OUTPUT)'!G9)/'P&amp;L(OUTPUT)'!G9,"-")</f>
        <v>0.12331410081886512</v>
      </c>
      <c r="J6" s="145">
        <f>IFERROR(('P&amp;L(OUTPUT)'!I9-'P&amp;L(OUTPUT)'!H9)/'P&amp;L(OUTPUT)'!H9,"-")</f>
        <v>1.1726952180975542E-2</v>
      </c>
      <c r="K6" s="145">
        <f>IFERROR(('P&amp;L(OUTPUT)'!J9-'P&amp;L(OUTPUT)'!I9)/'P&amp;L(OUTPUT)'!I9,"-")</f>
        <v>9.9652407464140821E-2</v>
      </c>
      <c r="L6" s="145">
        <f>IFERROR(('P&amp;L(OUTPUT)'!K9-'P&amp;L(OUTPUT)'!J9)/'P&amp;L(OUTPUT)'!J9,"-")</f>
        <v>0.18135658192131812</v>
      </c>
      <c r="M6" s="158">
        <f>IFERROR(('P&amp;L(OUTPUT)'!L9-'P&amp;L(OUTPUT)'!K9)/'P&amp;L(OUTPUT)'!K9,"-")</f>
        <v>0.11152740664823785</v>
      </c>
      <c r="N6" s="145">
        <f>IFERROR(('P&amp;L(OUTPUT)'!M9-'P&amp;L(OUTPUT)'!L9)/'P&amp;L(OUTPUT)'!L9,"-")</f>
        <v>6.2960079657247939E-2</v>
      </c>
      <c r="O6" s="145">
        <f>IFERROR(('P&amp;L(OUTPUT)'!N9-'P&amp;L(OUTPUT)'!M9)/'P&amp;L(OUTPUT)'!M9,"-")</f>
        <v>8.0553600406040829E-2</v>
      </c>
      <c r="P6" s="145">
        <f>IFERROR(('P&amp;L(OUTPUT)'!O9-'P&amp;L(OUTPUT)'!N9)/'P&amp;L(OUTPUT)'!N9,"-")</f>
        <v>6.8801652892562085E-2</v>
      </c>
      <c r="Q6" s="145">
        <f>IFERROR(('P&amp;L(OUTPUT)'!P9-'P&amp;L(OUTPUT)'!O9)/'P&amp;L(OUTPUT)'!O9,"-")</f>
        <v>6.7931567755654412E-2</v>
      </c>
      <c r="R6" s="145">
        <f>IFERROR(('P&amp;L(OUTPUT)'!Q9-'P&amp;L(OUTPUT)'!P9)/'P&amp;L(OUTPUT)'!P9,"-")</f>
        <v>6.0874491574665741E-2</v>
      </c>
      <c r="S6" s="233">
        <f t="shared" ref="S6:S19" si="0">AVERAGE(I6:M6)</f>
        <v>0.10551548980670748</v>
      </c>
      <c r="T6" s="177">
        <f t="shared" ref="T6:T19" si="1">MEDIAN(H6:M6)</f>
        <v>0.11152740664823785</v>
      </c>
      <c r="U6" s="178">
        <f>_xlfn.RRI(5,'P&amp;L(OUTPUT)'!G9,'P&amp;L(OUTPUT)'!L9)</f>
        <v>0.10414021506331284</v>
      </c>
      <c r="V6" s="8">
        <f t="shared" ref="V6:V18" si="2">AVERAGE(N6:R6)</f>
        <v>6.8224278457234194E-2</v>
      </c>
      <c r="W6" s="8">
        <f t="shared" ref="W6:W19" si="3">MEDIAN(N6:R6)</f>
        <v>6.7931567755654412E-2</v>
      </c>
      <c r="X6" s="298">
        <f>_xlfn.RRI(5,'P&amp;L(OUTPUT)'!M9,'P&amp;L(OUTPUT)'!Q9)</f>
        <v>5.523739365165814E-2</v>
      </c>
    </row>
    <row r="7" spans="2:24" ht="15.6">
      <c r="E7" s="3" t="s">
        <v>466</v>
      </c>
      <c r="H7" s="145" t="s">
        <v>158</v>
      </c>
      <c r="I7" s="145">
        <f>IFERROR(('P&amp;L(OUTPUT)'!H11-'P&amp;L(OUTPUT)'!G11)/'P&amp;L(OUTPUT)'!G11,"-")</f>
        <v>8.2546329636872043E-2</v>
      </c>
      <c r="J7" s="145">
        <f>IFERROR(('P&amp;L(OUTPUT)'!I11-'P&amp;L(OUTPUT)'!H11)/'P&amp;L(OUTPUT)'!H11,"-")</f>
        <v>2.8250339723770012E-2</v>
      </c>
      <c r="K7" s="145">
        <f>IFERROR(('P&amp;L(OUTPUT)'!J11-'P&amp;L(OUTPUT)'!I11)/'P&amp;L(OUTPUT)'!I11,"-")</f>
        <v>9.884996604003847E-2</v>
      </c>
      <c r="L7" s="145">
        <f>IFERROR(('P&amp;L(OUTPUT)'!K11-'P&amp;L(OUTPUT)'!J11)/'P&amp;L(OUTPUT)'!J11,"-")</f>
        <v>9.9796969843002611E-2</v>
      </c>
      <c r="M7" s="158">
        <f>IFERROR(('P&amp;L(OUTPUT)'!L11-'P&amp;L(OUTPUT)'!K11)/'P&amp;L(OUTPUT)'!K11,"-")</f>
        <v>2.3299720517658924E-3</v>
      </c>
      <c r="N7" s="145">
        <f>IFERROR(('P&amp;L(OUTPUT)'!M11-'P&amp;L(OUTPUT)'!L11)/'P&amp;L(OUTPUT)'!L11,"-")</f>
        <v>0.13536037030479636</v>
      </c>
      <c r="O7" s="145">
        <f>IFERROR(('P&amp;L(OUTPUT)'!N11-'P&amp;L(OUTPUT)'!M11)/'P&amp;L(OUTPUT)'!M11,"-")</f>
        <v>0.11130783526307016</v>
      </c>
      <c r="P7" s="145">
        <f>IFERROR(('P&amp;L(OUTPUT)'!O11-'P&amp;L(OUTPUT)'!N11)/'P&amp;L(OUTPUT)'!N11,"-")</f>
        <v>8.172295184490308E-2</v>
      </c>
      <c r="Q7" s="145">
        <f>IFERROR(('P&amp;L(OUTPUT)'!P11-'P&amp;L(OUTPUT)'!O11)/'P&amp;L(OUTPUT)'!O11,"-")</f>
        <v>7.2216697741868605E-2</v>
      </c>
      <c r="R7" s="145">
        <f>IFERROR(('P&amp;L(OUTPUT)'!Q11-'P&amp;L(OUTPUT)'!P11)/'P&amp;L(OUTPUT)'!P11,"-")</f>
        <v>6.9403555923093108E-2</v>
      </c>
      <c r="S7" s="233">
        <f t="shared" si="0"/>
        <v>6.2354715459089806E-2</v>
      </c>
      <c r="T7" s="177">
        <f t="shared" si="1"/>
        <v>8.2546329636872043E-2</v>
      </c>
      <c r="U7" s="178">
        <f>_xlfn.RRI(5,'P&amp;L(OUTPUT)'!G11,'P&amp;L(OUTPUT)'!L11)</f>
        <v>6.1601192457365839E-2</v>
      </c>
      <c r="V7" s="8">
        <f t="shared" si="2"/>
        <v>9.4002282215546268E-2</v>
      </c>
      <c r="W7" s="8">
        <f t="shared" si="3"/>
        <v>8.172295184490308E-2</v>
      </c>
      <c r="X7" s="298">
        <f>_xlfn.RRI(5,'P&amp;L(OUTPUT)'!M11,'P&amp;L(OUTPUT)'!Q11)</f>
        <v>6.6288983380407229E-2</v>
      </c>
    </row>
    <row r="8" spans="2:24" ht="15.6">
      <c r="E8" s="3" t="s">
        <v>472</v>
      </c>
      <c r="H8" s="145" t="s">
        <v>158</v>
      </c>
      <c r="I8" s="145">
        <f>IFERROR(('P&amp;L(OUTPUT)'!H20-'P&amp;L(OUTPUT)'!G20)/'P&amp;L(OUTPUT)'!G20,"-")</f>
        <v>8.7533760270344929E-2</v>
      </c>
      <c r="J8" s="145">
        <f>IFERROR(('P&amp;L(OUTPUT)'!I20-'P&amp;L(OUTPUT)'!H20)/'P&amp;L(OUTPUT)'!H20,"-")</f>
        <v>2.6782479895027477E-2</v>
      </c>
      <c r="K8" s="145">
        <f>IFERROR(('P&amp;L(OUTPUT)'!J20-'P&amp;L(OUTPUT)'!I20)/'P&amp;L(OUTPUT)'!I20,"-")</f>
        <v>8.5852606820854646E-2</v>
      </c>
      <c r="L8" s="145">
        <f>IFERROR(('P&amp;L(OUTPUT)'!K20-'P&amp;L(OUTPUT)'!J20)/'P&amp;L(OUTPUT)'!J20,"-")</f>
        <v>8.1288515203916251E-2</v>
      </c>
      <c r="M8" s="158">
        <f>IFERROR(('P&amp;L(OUTPUT)'!L20-'P&amp;L(OUTPUT)'!K20)/'P&amp;L(OUTPUT)'!K20,"-")</f>
        <v>3.4028004994691337E-2</v>
      </c>
      <c r="N8" s="145">
        <f>IFERROR(('P&amp;L(OUTPUT)'!M20-'P&amp;L(OUTPUT)'!L20)/'P&amp;L(OUTPUT)'!L20,"-")</f>
        <v>0.1954928508766266</v>
      </c>
      <c r="O8" s="145">
        <f>IFERROR(('P&amp;L(OUTPUT)'!N20-'P&amp;L(OUTPUT)'!M20)/'P&amp;L(OUTPUT)'!M20,"-")</f>
        <v>9.1353614843358077E-2</v>
      </c>
      <c r="P8" s="145">
        <f>IFERROR(('P&amp;L(OUTPUT)'!O20-'P&amp;L(OUTPUT)'!N20)/'P&amp;L(OUTPUT)'!N20,"-")</f>
        <v>8.6044520547945175E-2</v>
      </c>
      <c r="Q8" s="145">
        <f>IFERROR(('P&amp;L(OUTPUT)'!P20-'P&amp;L(OUTPUT)'!O20)/'P&amp;L(OUTPUT)'!O20,"-")</f>
        <v>7.0000000000000062E-2</v>
      </c>
      <c r="R8" s="145">
        <f>IFERROR(('P&amp;L(OUTPUT)'!Q20-'P&amp;L(OUTPUT)'!P20)/'P&amp;L(OUTPUT)'!P20,"-")</f>
        <v>5.7779661016949271E-2</v>
      </c>
      <c r="S8" s="233">
        <f t="shared" si="0"/>
        <v>6.3097073436966924E-2</v>
      </c>
      <c r="T8" s="177">
        <f t="shared" si="1"/>
        <v>8.1288515203916251E-2</v>
      </c>
      <c r="U8" s="178">
        <f>_xlfn.RRI(5,'P&amp;L(OUTPUT)'!G20,'P&amp;L(OUTPUT)'!L20)</f>
        <v>6.2755089269436404E-2</v>
      </c>
      <c r="V8" s="8">
        <f t="shared" si="2"/>
        <v>0.10013412945697583</v>
      </c>
      <c r="W8" s="8">
        <f t="shared" si="3"/>
        <v>8.6044520547945175E-2</v>
      </c>
      <c r="X8" s="298">
        <f>_xlfn.RRI(5,'P&amp;L(OUTPUT)'!M20,'P&amp;L(OUTPUT)'!Q20)</f>
        <v>6.051892269487591E-2</v>
      </c>
    </row>
    <row r="9" spans="2:24" ht="15.6">
      <c r="E9" s="3"/>
      <c r="F9" s="147" t="s">
        <v>468</v>
      </c>
      <c r="G9" s="147"/>
      <c r="H9" s="148" t="s">
        <v>158</v>
      </c>
      <c r="I9" s="148">
        <f>IFERROR(('P&amp;L(OUTPUT)'!H16-'P&amp;L(OUTPUT)'!G16)/'P&amp;L(OUTPUT)'!G16,"-")</f>
        <v>0.18304973574338729</v>
      </c>
      <c r="J9" s="148">
        <f>IFERROR(('P&amp;L(OUTPUT)'!I16-'P&amp;L(OUTPUT)'!H16)/'P&amp;L(OUTPUT)'!H16,"-")</f>
        <v>1.0480749752108455E-2</v>
      </c>
      <c r="K9" s="148">
        <f>IFERROR(('P&amp;L(OUTPUT)'!J16-'P&amp;L(OUTPUT)'!I16)/'P&amp;L(OUTPUT)'!I16,"-")</f>
        <v>9.0446746998121871E-2</v>
      </c>
      <c r="L9" s="148">
        <f>IFERROR(('P&amp;L(OUTPUT)'!K16-'P&amp;L(OUTPUT)'!J16)/'P&amp;L(OUTPUT)'!J16,"-")</f>
        <v>4.4984808313819603E-2</v>
      </c>
      <c r="M9" s="159">
        <f>IFERROR(('P&amp;L(OUTPUT)'!L16-'P&amp;L(OUTPUT)'!K16)/'P&amp;L(OUTPUT)'!K16,"-")</f>
        <v>5.2826519746284509E-2</v>
      </c>
      <c r="N9" s="148">
        <f>IFERROR(('P&amp;L(OUTPUT)'!M16-'P&amp;L(OUTPUT)'!L16)/'P&amp;L(OUTPUT)'!L16,"-")</f>
        <v>0.11140955584872476</v>
      </c>
      <c r="O9" s="148">
        <f>IFERROR(('P&amp;L(OUTPUT)'!N16-'P&amp;L(OUTPUT)'!M16)/'P&amp;L(OUTPUT)'!M16,"-")</f>
        <v>0.11699294976741764</v>
      </c>
      <c r="P9" s="148">
        <f>IFERROR(('P&amp;L(OUTPUT)'!O16-'P&amp;L(OUTPUT)'!N16)/'P&amp;L(OUTPUT)'!N16,"-")</f>
        <v>0.10661764705882376</v>
      </c>
      <c r="Q9" s="148">
        <f>IFERROR(('P&amp;L(OUTPUT)'!P16-'P&amp;L(OUTPUT)'!O16)/'P&amp;L(OUTPUT)'!O16,"-")</f>
        <v>6.9999999999999965E-2</v>
      </c>
      <c r="R9" s="148">
        <f>IFERROR(('P&amp;L(OUTPUT)'!Q16-'P&amp;L(OUTPUT)'!P16)/'P&amp;L(OUTPUT)'!P16,"-")</f>
        <v>6.4999999999999961E-2</v>
      </c>
      <c r="S9" s="262">
        <f t="shared" si="0"/>
        <v>7.6357712110744352E-2</v>
      </c>
      <c r="T9" s="263">
        <f t="shared" si="1"/>
        <v>5.2826519746284509E-2</v>
      </c>
      <c r="U9" s="266">
        <f>_xlfn.RRI(5,'P&amp;L(OUTPUT)'!G16,'P&amp;L(OUTPUT)'!L16)</f>
        <v>7.4782187603282146E-2</v>
      </c>
      <c r="V9" s="8">
        <f t="shared" si="2"/>
        <v>9.4004030534993205E-2</v>
      </c>
      <c r="W9" s="8">
        <f t="shared" si="3"/>
        <v>0.10661764705882376</v>
      </c>
      <c r="X9" s="298">
        <f>_xlfn.RRI(5,'P&amp;L(OUTPUT)'!M16,'P&amp;L(OUTPUT)'!Q16)</f>
        <v>7.0918156679724342E-2</v>
      </c>
    </row>
    <row r="10" spans="2:24" ht="15.6">
      <c r="E10" s="3"/>
      <c r="F10" s="2" t="s">
        <v>467</v>
      </c>
      <c r="H10" s="145" t="s">
        <v>158</v>
      </c>
      <c r="I10" s="145">
        <f>IFERROR(('P&amp;L(OUTPUT)'!H17-'P&amp;L(OUTPUT)'!G17)/'P&amp;L(OUTPUT)'!G17,"-")</f>
        <v>2.6701389461192405E-3</v>
      </c>
      <c r="J10" s="145">
        <f>IFERROR(('P&amp;L(OUTPUT)'!I17-'P&amp;L(OUTPUT)'!H17)/'P&amp;L(OUTPUT)'!H17,"-")</f>
        <v>6.8466128581526425E-2</v>
      </c>
      <c r="K10" s="145">
        <f>IFERROR(('P&amp;L(OUTPUT)'!J17-'P&amp;L(OUTPUT)'!I17)/'P&amp;L(OUTPUT)'!I17,"-")</f>
        <v>0.20674482291762822</v>
      </c>
      <c r="L10" s="145">
        <f>IFERROR(('P&amp;L(OUTPUT)'!K17-'P&amp;L(OUTPUT)'!J17)/'P&amp;L(OUTPUT)'!J17,"-")</f>
        <v>-8.1850170839919915E-3</v>
      </c>
      <c r="M10" s="158">
        <f>IFERROR(('P&amp;L(OUTPUT)'!L17-'P&amp;L(OUTPUT)'!K17)/'P&amp;L(OUTPUT)'!K17,"-")</f>
        <v>-0.17696737537599308</v>
      </c>
      <c r="N10" s="145">
        <f>IFERROR(('P&amp;L(OUTPUT)'!M17-'P&amp;L(OUTPUT)'!L17)/'P&amp;L(OUTPUT)'!L17,"-")</f>
        <v>0.63813439947209805</v>
      </c>
      <c r="O10" s="145">
        <f>IFERROR(('P&amp;L(OUTPUT)'!N17-'P&amp;L(OUTPUT)'!M17)/'P&amp;L(OUTPUT)'!M17,"-")</f>
        <v>5.5509520214899709E-2</v>
      </c>
      <c r="P10" s="145">
        <f>IFERROR(('P&amp;L(OUTPUT)'!O17-'P&amp;L(OUTPUT)'!N17)/'P&amp;L(OUTPUT)'!N17,"-")</f>
        <v>7.5000000000000108E-2</v>
      </c>
      <c r="Q10" s="145">
        <f>IFERROR(('P&amp;L(OUTPUT)'!P17-'P&amp;L(OUTPUT)'!O17)/'P&amp;L(OUTPUT)'!O17,"-")</f>
        <v>6.9999999999999993E-2</v>
      </c>
      <c r="R10" s="145">
        <f>IFERROR(('P&amp;L(OUTPUT)'!Q17-'P&amp;L(OUTPUT)'!P17)/'P&amp;L(OUTPUT)'!P17,"-")</f>
        <v>3.8375000000000055E-2</v>
      </c>
      <c r="S10" s="233">
        <f t="shared" si="0"/>
        <v>1.8545739597057759E-2</v>
      </c>
      <c r="T10" s="177">
        <f t="shared" si="1"/>
        <v>2.6701389461192405E-3</v>
      </c>
      <c r="U10" s="178">
        <f>_xlfn.RRI(5,'P&amp;L(OUTPUT)'!G17,'P&amp;L(OUTPUT)'!L17)</f>
        <v>1.0825990490062498E-2</v>
      </c>
      <c r="V10" s="8">
        <f t="shared" si="2"/>
        <v>0.17540378393739958</v>
      </c>
      <c r="W10" s="8">
        <f t="shared" si="3"/>
        <v>6.9999999999999993E-2</v>
      </c>
      <c r="X10" s="298">
        <f>_xlfn.RRI(5,'P&amp;L(OUTPUT)'!M17,'P&amp;L(OUTPUT)'!Q17)</f>
        <v>4.7422078336554652E-2</v>
      </c>
    </row>
    <row r="11" spans="2:24" ht="15.6">
      <c r="E11" s="3"/>
      <c r="F11" s="17" t="s">
        <v>471</v>
      </c>
      <c r="G11" s="17"/>
      <c r="H11" s="146" t="s">
        <v>158</v>
      </c>
      <c r="I11" s="146">
        <f>IFERROR(('P&amp;L(OUTPUT)'!H18-'P&amp;L(OUTPUT)'!G18)/'P&amp;L(OUTPUT)'!G18,"-")</f>
        <v>6.0147572288952435E-2</v>
      </c>
      <c r="J11" s="146">
        <f>IFERROR(('P&amp;L(OUTPUT)'!I18-'P&amp;L(OUTPUT)'!H18)/'P&amp;L(OUTPUT)'!H18,"-")</f>
        <v>1.6051672315661514E-2</v>
      </c>
      <c r="K11" s="146">
        <f>IFERROR(('P&amp;L(OUTPUT)'!J18-'P&amp;L(OUTPUT)'!I18)/'P&amp;L(OUTPUT)'!I18,"-")</f>
        <v>-1.1434206109431837E-3</v>
      </c>
      <c r="L11" s="146">
        <f>IFERROR(('P&amp;L(OUTPUT)'!K18-'P&amp;L(OUTPUT)'!J18)/'P&amp;L(OUTPUT)'!J18,"-")</f>
        <v>0.19439397599218633</v>
      </c>
      <c r="M11" s="160">
        <f>IFERROR(('P&amp;L(OUTPUT)'!L18-'P&amp;L(OUTPUT)'!K18)/'P&amp;L(OUTPUT)'!K18,"-")</f>
        <v>0.16050435684829725</v>
      </c>
      <c r="N11" s="146">
        <f>IFERROR(('P&amp;L(OUTPUT)'!M18-'P&amp;L(OUTPUT)'!L18)/'P&amp;L(OUTPUT)'!L18,"-")</f>
        <v>5.3196193070319697E-2</v>
      </c>
      <c r="O11" s="146">
        <f>IFERROR(('P&amp;L(OUTPUT)'!N18-'P&amp;L(OUTPUT)'!M18)/'P&amp;L(OUTPUT)'!M18,"-")</f>
        <v>9.5091127222958718E-2</v>
      </c>
      <c r="P11" s="146">
        <f>IFERROR(('P&amp;L(OUTPUT)'!O18-'P&amp;L(OUTPUT)'!N18)/'P&amp;L(OUTPUT)'!N18,"-")</f>
        <v>7.4999999999999969E-2</v>
      </c>
      <c r="Q11" s="146">
        <f>IFERROR(('P&amp;L(OUTPUT)'!P18-'P&amp;L(OUTPUT)'!O18)/'P&amp;L(OUTPUT)'!O18,"-")</f>
        <v>7.0000000000000048E-2</v>
      </c>
      <c r="R11" s="146">
        <f>IFERROR(('P&amp;L(OUTPUT)'!Q18-'P&amp;L(OUTPUT)'!P18)/'P&amp;L(OUTPUT)'!P18,"-")</f>
        <v>6.5000000000000058E-2</v>
      </c>
      <c r="S11" s="264">
        <f t="shared" si="0"/>
        <v>8.5990831366830875E-2</v>
      </c>
      <c r="T11" s="265">
        <f t="shared" si="1"/>
        <v>6.0147572288952435E-2</v>
      </c>
      <c r="U11" s="267">
        <f>_xlfn.RRI(5,'P&amp;L(OUTPUT)'!G18,'P&amp;L(OUTPUT)'!L18)</f>
        <v>8.3218145489289741E-2</v>
      </c>
      <c r="V11" s="8">
        <f t="shared" si="2"/>
        <v>7.1657464058655695E-2</v>
      </c>
      <c r="W11" s="8">
        <f t="shared" si="3"/>
        <v>7.0000000000000048E-2</v>
      </c>
      <c r="X11" s="298">
        <f>_xlfn.RRI(5,'P&amp;L(OUTPUT)'!M18,'P&amp;L(OUTPUT)'!Q18)</f>
        <v>6.051892269487591E-2</v>
      </c>
    </row>
    <row r="12" spans="2:24" ht="15.6">
      <c r="E12" s="3" t="s">
        <v>439</v>
      </c>
      <c r="H12" s="145" t="s">
        <v>158</v>
      </c>
      <c r="I12" s="145">
        <f>IFERROR(('P&amp;L(OUTPUT)'!H22-'P&amp;L(OUTPUT)'!G22)/'P&amp;L(OUTPUT)'!G22,"-")</f>
        <v>7.5502027895934229E-2</v>
      </c>
      <c r="J12" s="145">
        <f>IFERROR(('P&amp;L(OUTPUT)'!I22-'P&amp;L(OUTPUT)'!H22)/'P&amp;L(OUTPUT)'!H22,"-")</f>
        <v>3.0346754351674585E-2</v>
      </c>
      <c r="K12" s="145">
        <f>IFERROR(('P&amp;L(OUTPUT)'!J22-'P&amp;L(OUTPUT)'!I22)/'P&amp;L(OUTPUT)'!I22,"-")</f>
        <v>0.11734873211147427</v>
      </c>
      <c r="L12" s="145">
        <f>IFERROR(('P&amp;L(OUTPUT)'!K22-'P&amp;L(OUTPUT)'!J22)/'P&amp;L(OUTPUT)'!J22,"-")</f>
        <v>0.12539696806279588</v>
      </c>
      <c r="M12" s="158">
        <f>IFERROR(('P&amp;L(OUTPUT)'!L22-'P&amp;L(OUTPUT)'!K22)/'P&amp;L(OUTPUT)'!K22,"-")</f>
        <v>-3.9794836299422286E-2</v>
      </c>
      <c r="N12" s="145">
        <f>IFERROR(('P&amp;L(OUTPUT)'!M22-'P&amp;L(OUTPUT)'!L22)/'P&amp;L(OUTPUT)'!L22,"-")</f>
        <v>4.9304003015082559E-2</v>
      </c>
      <c r="O12" s="145">
        <f>IFERROR(('P&amp;L(OUTPUT)'!N22-'P&amp;L(OUTPUT)'!M22)/'P&amp;L(OUTPUT)'!M22,"-")</f>
        <v>0.14384309727183833</v>
      </c>
      <c r="P12" s="145">
        <f>IFERROR(('P&amp;L(OUTPUT)'!O22-'P&amp;L(OUTPUT)'!N22)/'P&amp;L(OUTPUT)'!N22,"-")</f>
        <v>7.5000000000000067E-2</v>
      </c>
      <c r="Q12" s="145">
        <f>IFERROR(('P&amp;L(OUTPUT)'!P22-'P&amp;L(OUTPUT)'!O22)/'P&amp;L(OUTPUT)'!O22,"-")</f>
        <v>7.5700586041555426E-2</v>
      </c>
      <c r="R12" s="145">
        <f>IFERROR(('P&amp;L(OUTPUT)'!Q22-'P&amp;L(OUTPUT)'!P22)/'P&amp;L(OUTPUT)'!P22,"-")</f>
        <v>8.7575516693164282E-2</v>
      </c>
      <c r="S12" s="233">
        <f t="shared" si="0"/>
        <v>6.175992922449134E-2</v>
      </c>
      <c r="T12" s="177">
        <f t="shared" si="1"/>
        <v>7.5502027895934229E-2</v>
      </c>
      <c r="U12" s="178">
        <f>_xlfn.RRI(5,'P&amp;L(OUTPUT)'!G22,'P&amp;L(OUTPUT)'!L22)</f>
        <v>5.9962819936962175E-2</v>
      </c>
      <c r="V12" s="8">
        <f t="shared" si="2"/>
        <v>8.6284640604328139E-2</v>
      </c>
      <c r="W12" s="8">
        <f t="shared" si="3"/>
        <v>7.5700586041555426E-2</v>
      </c>
      <c r="X12" s="298">
        <f>_xlfn.RRI(5,'P&amp;L(OUTPUT)'!M22,'P&amp;L(OUTPUT)'!Q22)</f>
        <v>7.5437434226974354E-2</v>
      </c>
    </row>
    <row r="13" spans="2:24" ht="15.6">
      <c r="E13" s="3" t="s">
        <v>283</v>
      </c>
      <c r="H13" s="145" t="s">
        <v>158</v>
      </c>
      <c r="I13" s="145">
        <f>IFERROR(('P&amp;L(OUTPUT)'!H25-'P&amp;L(OUTPUT)'!G25)/'P&amp;L(OUTPUT)'!G25,"-")</f>
        <v>9.0763349364903184E-2</v>
      </c>
      <c r="J13" s="145">
        <f>IFERROR(('P&amp;L(OUTPUT)'!I25-'P&amp;L(OUTPUT)'!H25)/'P&amp;L(OUTPUT)'!H25,"-")</f>
        <v>0.24618428490672686</v>
      </c>
      <c r="K13" s="145">
        <f>IFERROR(('P&amp;L(OUTPUT)'!J25-'P&amp;L(OUTPUT)'!I25)/'P&amp;L(OUTPUT)'!I25,"-")</f>
        <v>8.9271943751417587E-2</v>
      </c>
      <c r="L13" s="145">
        <f>IFERROR(('P&amp;L(OUTPUT)'!K25-'P&amp;L(OUTPUT)'!J25)/'P&amp;L(OUTPUT)'!J25,"-")</f>
        <v>5.3137883646358186E-2</v>
      </c>
      <c r="M13" s="158">
        <f>IFERROR(('P&amp;L(OUTPUT)'!L25-'P&amp;L(OUTPUT)'!K25)/'P&amp;L(OUTPUT)'!K25,"-")</f>
        <v>0.22962552888607693</v>
      </c>
      <c r="N13" s="145">
        <f>IFERROR(('P&amp;L(OUTPUT)'!M25-'P&amp;L(OUTPUT)'!L25)/'P&amp;L(OUTPUT)'!L25,"-")</f>
        <v>-3.1446772356648514E-2</v>
      </c>
      <c r="O13" s="145">
        <f>IFERROR(('P&amp;L(OUTPUT)'!N25-'P&amp;L(OUTPUT)'!M25)/'P&amp;L(OUTPUT)'!M25,"-")</f>
        <v>9.4699335183812794E-2</v>
      </c>
      <c r="P13" s="145">
        <f>IFERROR(('P&amp;L(OUTPUT)'!O25-'P&amp;L(OUTPUT)'!N25)/'P&amp;L(OUTPUT)'!N25,"-")</f>
        <v>7.4710141229549068E-2</v>
      </c>
      <c r="Q13" s="145">
        <f>IFERROR(('P&amp;L(OUTPUT)'!P25-'P&amp;L(OUTPUT)'!O25)/'P&amp;L(OUTPUT)'!O25,"-")</f>
        <v>6.9749765095167601E-2</v>
      </c>
      <c r="R13" s="145">
        <f>IFERROR(('P&amp;L(OUTPUT)'!Q25-'P&amp;L(OUTPUT)'!P25)/'P&amp;L(OUTPUT)'!P25,"-")</f>
        <v>6.4783618576834706E-2</v>
      </c>
      <c r="S13" s="233">
        <f t="shared" si="0"/>
        <v>0.14179659811109654</v>
      </c>
      <c r="T13" s="177">
        <f t="shared" si="1"/>
        <v>9.0763349364903184E-2</v>
      </c>
      <c r="U13" s="178">
        <f>_xlfn.RRI(5,'P&amp;L(OUTPUT)'!G25,'P&amp;L(OUTPUT)'!L25)</f>
        <v>0.13904648005353892</v>
      </c>
      <c r="V13" s="8">
        <f t="shared" si="2"/>
        <v>5.4499217545743141E-2</v>
      </c>
      <c r="W13" s="8">
        <f t="shared" si="3"/>
        <v>6.9749765095167601E-2</v>
      </c>
      <c r="X13" s="298">
        <f>_xlfn.RRI(5,'P&amp;L(OUTPUT)'!M25,'P&amp;L(OUTPUT)'!Q25)</f>
        <v>6.0293142093167162E-2</v>
      </c>
    </row>
    <row r="14" spans="2:24" ht="15.6">
      <c r="C14" s="2" t="s">
        <v>475</v>
      </c>
      <c r="E14" s="3" t="s">
        <v>445</v>
      </c>
      <c r="H14" s="145" t="s">
        <v>158</v>
      </c>
      <c r="I14" s="145">
        <f>IFERROR(('P&amp;L(OUTPUT)'!H27-'P&amp;L(OUTPUT)'!G27)/'P&amp;L(OUTPUT)'!G27,"-")</f>
        <v>7.3801245138325686E-2</v>
      </c>
      <c r="J14" s="145">
        <f>IFERROR(('P&amp;L(OUTPUT)'!I27-'P&amp;L(OUTPUT)'!H27)/'P&amp;L(OUTPUT)'!H27,"-")</f>
        <v>5.9129945093616644E-3</v>
      </c>
      <c r="K14" s="145">
        <f>IFERROR(('P&amp;L(OUTPUT)'!J27-'P&amp;L(OUTPUT)'!I27)/'P&amp;L(OUTPUT)'!I27,"-")</f>
        <v>0.12128634137031671</v>
      </c>
      <c r="L14" s="145">
        <f>IFERROR(('P&amp;L(OUTPUT)'!K27-'P&amp;L(OUTPUT)'!J27)/'P&amp;L(OUTPUT)'!J27,"-")</f>
        <v>0.13524155343110852</v>
      </c>
      <c r="M14" s="158">
        <f>IFERROR(('P&amp;L(OUTPUT)'!L27-'P&amp;L(OUTPUT)'!K27)/'P&amp;L(OUTPUT)'!K27,"-")</f>
        <v>-7.3846030825820669E-2</v>
      </c>
      <c r="N14" s="145">
        <f>IFERROR(('P&amp;L(OUTPUT)'!M27-'P&amp;L(OUTPUT)'!L27)/'P&amp;L(OUTPUT)'!L27,"-")</f>
        <v>6.2853972315948914E-2</v>
      </c>
      <c r="O14" s="145">
        <f>IFERROR(('P&amp;L(OUTPUT)'!N27-'P&amp;L(OUTPUT)'!M27)/'P&amp;L(OUTPUT)'!M27,"-")</f>
        <v>0.15135776708125862</v>
      </c>
      <c r="P14" s="145">
        <f>IFERROR(('P&amp;L(OUTPUT)'!O27-'P&amp;L(OUTPUT)'!N27)/'P&amp;L(OUTPUT)'!N27,"-")</f>
        <v>7.5042141744310814E-2</v>
      </c>
      <c r="Q14" s="145">
        <f>IFERROR(('P&amp;L(OUTPUT)'!P27-'P&amp;L(OUTPUT)'!O27)/'P&amp;L(OUTPUT)'!O27,"-")</f>
        <v>7.6565491829008611E-2</v>
      </c>
      <c r="R14" s="145">
        <f>IFERROR(('P&amp;L(OUTPUT)'!Q27-'P&amp;L(OUTPUT)'!P27)/'P&amp;L(OUTPUT)'!P27,"-")</f>
        <v>9.0867170553576918E-2</v>
      </c>
      <c r="S14" s="233">
        <f t="shared" si="0"/>
        <v>5.2479220724658382E-2</v>
      </c>
      <c r="T14" s="177">
        <f t="shared" si="1"/>
        <v>7.3801245138325686E-2</v>
      </c>
      <c r="U14" s="178">
        <f>_xlfn.RRI(5,'P&amp;L(OUTPUT)'!G27,'P&amp;L(OUTPUT)'!L27)</f>
        <v>4.9529052625513215E-2</v>
      </c>
      <c r="V14" s="8">
        <f t="shared" si="2"/>
        <v>9.1337308704820777E-2</v>
      </c>
      <c r="W14" s="8">
        <f t="shared" si="3"/>
        <v>7.6565491829008611E-2</v>
      </c>
      <c r="X14" s="298">
        <f>_xlfn.RRI(5,'P&amp;L(OUTPUT)'!M27,'P&amp;L(OUTPUT)'!Q27)</f>
        <v>7.7679501320591315E-2</v>
      </c>
    </row>
    <row r="15" spans="2:24" ht="15.6">
      <c r="E15" s="3" t="s">
        <v>327</v>
      </c>
      <c r="H15" s="145" t="s">
        <v>158</v>
      </c>
      <c r="I15" s="145">
        <f>IFERROR(('P&amp;L(OUTPUT)'!H33-'P&amp;L(OUTPUT)'!G33)/'P&amp;L(OUTPUT)'!G33,"-")</f>
        <v>0.1230914231856739</v>
      </c>
      <c r="J15" s="145">
        <f>IFERROR(('P&amp;L(OUTPUT)'!I33-'P&amp;L(OUTPUT)'!H33)/'P&amp;L(OUTPUT)'!H33,"-")</f>
        <v>-0.16851292379993296</v>
      </c>
      <c r="K15" s="145">
        <f>IFERROR(('P&amp;L(OUTPUT)'!J33-'P&amp;L(OUTPUT)'!I33)/'P&amp;L(OUTPUT)'!I33,"-")</f>
        <v>-0.37807832054905122</v>
      </c>
      <c r="L15" s="145">
        <f>IFERROR(('P&amp;L(OUTPUT)'!K33-'P&amp;L(OUTPUT)'!J33)/'P&amp;L(OUTPUT)'!J33,"-")</f>
        <v>0.25283998701720195</v>
      </c>
      <c r="M15" s="158">
        <f>IFERROR(('P&amp;L(OUTPUT)'!L33-'P&amp;L(OUTPUT)'!K33)/'P&amp;L(OUTPUT)'!K33,"-")</f>
        <v>1.0269430051813473</v>
      </c>
      <c r="N15" s="145">
        <f>IFERROR(('P&amp;L(OUTPUT)'!M33-'P&amp;L(OUTPUT)'!L33)/'P&amp;L(OUTPUT)'!L33,"-")</f>
        <v>-0.3139005461062403</v>
      </c>
      <c r="O15" s="145">
        <f>IFERROR(('P&amp;L(OUTPUT)'!N33-'P&amp;L(OUTPUT)'!M33)/'P&amp;L(OUTPUT)'!M33,"-")</f>
        <v>9.509112722295858E-2</v>
      </c>
      <c r="P15" s="145">
        <f>IFERROR(('P&amp;L(OUTPUT)'!O33-'P&amp;L(OUTPUT)'!N33)/'P&amp;L(OUTPUT)'!N33,"-")</f>
        <v>7.5000000000000053E-2</v>
      </c>
      <c r="Q15" s="145">
        <f>IFERROR(('P&amp;L(OUTPUT)'!P33-'P&amp;L(OUTPUT)'!O33)/'P&amp;L(OUTPUT)'!O33,"-")</f>
        <v>6.9999999999999993E-2</v>
      </c>
      <c r="R15" s="145">
        <f>IFERROR(('P&amp;L(OUTPUT)'!Q33-'P&amp;L(OUTPUT)'!P33)/'P&amp;L(OUTPUT)'!P33,"-")</f>
        <v>6.5000000000000002E-2</v>
      </c>
      <c r="S15" s="233">
        <f t="shared" si="0"/>
        <v>0.17125663420704779</v>
      </c>
      <c r="T15" s="177">
        <f t="shared" si="1"/>
        <v>0.1230914231856739</v>
      </c>
      <c r="U15" s="178">
        <f>_xlfn.RRI(5,'P&amp;L(OUTPUT)'!G33,'P&amp;L(OUTPUT)'!L33)</f>
        <v>8.0808348638838678E-2</v>
      </c>
      <c r="V15" s="8">
        <f t="shared" si="2"/>
        <v>-1.7618837766563283E-3</v>
      </c>
      <c r="W15" s="8">
        <f t="shared" si="3"/>
        <v>6.9999999999999993E-2</v>
      </c>
      <c r="X15" s="298">
        <f>_xlfn.RRI(5,'P&amp;L(OUTPUT)'!M33,'P&amp;L(OUTPUT)'!Q33)</f>
        <v>6.051892269487591E-2</v>
      </c>
    </row>
    <row r="16" spans="2:24" ht="15.6">
      <c r="E16" s="3" t="s">
        <v>282</v>
      </c>
      <c r="H16" s="145" t="s">
        <v>158</v>
      </c>
      <c r="I16" s="145">
        <f>IFERROR(('P&amp;L(OUTPUT)'!H41-'P&amp;L(OUTPUT)'!G41)/'P&amp;L(OUTPUT)'!G41,"-")</f>
        <v>1.8347756741589588E-2</v>
      </c>
      <c r="J16" s="145">
        <f>IFERROR(('P&amp;L(OUTPUT)'!I41-'P&amp;L(OUTPUT)'!H41)/'P&amp;L(OUTPUT)'!H41,"-")</f>
        <v>2.1694868061551188E-3</v>
      </c>
      <c r="K16" s="145">
        <f>IFERROR(('P&amp;L(OUTPUT)'!J41-'P&amp;L(OUTPUT)'!I41)/'P&amp;L(OUTPUT)'!I41,"-")</f>
        <v>0.19065204179087253</v>
      </c>
      <c r="L16" s="145">
        <f>IFERROR(('P&amp;L(OUTPUT)'!K41-'P&amp;L(OUTPUT)'!J41)/'P&amp;L(OUTPUT)'!J41,"-")</f>
        <v>0.10376610939072364</v>
      </c>
      <c r="M16" s="158">
        <f>IFERROR(('P&amp;L(OUTPUT)'!L41-'P&amp;L(OUTPUT)'!K41)/'P&amp;L(OUTPUT)'!K41,"-")</f>
        <v>-2.2096649166696458E-2</v>
      </c>
      <c r="N16" s="145">
        <f>IFERROR(('P&amp;L(OUTPUT)'!M41-'P&amp;L(OUTPUT)'!L41)/'P&amp;L(OUTPUT)'!L41,"-")</f>
        <v>6.9965330740003592E-2</v>
      </c>
      <c r="O16" s="145">
        <f>IFERROR(('P&amp;L(OUTPUT)'!N41-'P&amp;L(OUTPUT)'!M41)/'P&amp;L(OUTPUT)'!M41,"-")</f>
        <v>0.14174139891296561</v>
      </c>
      <c r="P16" s="145">
        <f>IFERROR(('P&amp;L(OUTPUT)'!O41-'P&amp;L(OUTPUT)'!N41)/'P&amp;L(OUTPUT)'!N41,"-")</f>
        <v>7.5035233699900769E-2</v>
      </c>
      <c r="Q16" s="145">
        <f>IFERROR(('P&amp;L(OUTPUT)'!P41-'P&amp;L(OUTPUT)'!O41)/'P&amp;L(OUTPUT)'!O41,"-")</f>
        <v>7.5489285245884608E-2</v>
      </c>
      <c r="R16" s="145">
        <f>IFERROR(('P&amp;L(OUTPUT)'!Q41-'P&amp;L(OUTPUT)'!P41)/'P&amp;L(OUTPUT)'!P41,"-")</f>
        <v>8.6648700257913228E-2</v>
      </c>
      <c r="S16" s="233">
        <f t="shared" si="0"/>
        <v>5.8567749112528877E-2</v>
      </c>
      <c r="T16" s="177">
        <f t="shared" si="1"/>
        <v>1.8347756741589588E-2</v>
      </c>
      <c r="U16" s="178">
        <f>_xlfn.RRI(5,'P&amp;L(OUTPUT)'!G41,'P&amp;L(OUTPUT)'!L41)</f>
        <v>5.5744985728950258E-2</v>
      </c>
      <c r="V16" s="8">
        <f t="shared" si="2"/>
        <v>8.9775989771333567E-2</v>
      </c>
      <c r="W16" s="8">
        <f t="shared" si="3"/>
        <v>7.5489285245884608E-2</v>
      </c>
      <c r="X16" s="298">
        <f>_xlfn.RRI(5,'P&amp;L(OUTPUT)'!M41,'P&amp;L(OUTPUT)'!Q41)</f>
        <v>7.4823466956240425E-2</v>
      </c>
    </row>
    <row r="17" spans="1:24" ht="15.6">
      <c r="C17" s="2" t="s">
        <v>476</v>
      </c>
      <c r="E17" s="3" t="s">
        <v>473</v>
      </c>
      <c r="H17" s="145" t="s">
        <v>158</v>
      </c>
      <c r="I17" s="145">
        <f>IFERROR(('P&amp;L(OUTPUT)'!H47-'P&amp;L(OUTPUT)'!G47)/'P&amp;L(OUTPUT)'!G47,"-")</f>
        <v>6.4670349907918742E-2</v>
      </c>
      <c r="J17" s="145">
        <f>IFERROR(('P&amp;L(OUTPUT)'!I47-'P&amp;L(OUTPUT)'!H47)/'P&amp;L(OUTPUT)'!H47,"-")</f>
        <v>1.8266230306713271E-3</v>
      </c>
      <c r="K17" s="145">
        <f>IFERROR(('P&amp;L(OUTPUT)'!J47-'P&amp;L(OUTPUT)'!I47)/'P&amp;L(OUTPUT)'!I47,"-")</f>
        <v>0.17129971752778173</v>
      </c>
      <c r="L17" s="145">
        <f>IFERROR(('P&amp;L(OUTPUT)'!K47-'P&amp;L(OUTPUT)'!J47)/'P&amp;L(OUTPUT)'!J47,"-")</f>
        <v>2.838510342225058E-2</v>
      </c>
      <c r="M17" s="158">
        <f>IFERROR(('P&amp;L(OUTPUT)'!L47-'P&amp;L(OUTPUT)'!K47)/'P&amp;L(OUTPUT)'!K47,"-")</f>
        <v>-2.3588097012786406E-2</v>
      </c>
      <c r="N17" s="145">
        <f>IFERROR(('P&amp;L(OUTPUT)'!M47-'P&amp;L(OUTPUT)'!L47)/'P&amp;L(OUTPUT)'!L47,"-")</f>
        <v>6.9976495584701828E-2</v>
      </c>
      <c r="O17" s="145">
        <f>IFERROR(('P&amp;L(OUTPUT)'!N47-'P&amp;L(OUTPUT)'!M47)/'P&amp;L(OUTPUT)'!M47,"-")</f>
        <v>0.14174139891296561</v>
      </c>
      <c r="P17" s="145">
        <f>IFERROR(('P&amp;L(OUTPUT)'!O47-'P&amp;L(OUTPUT)'!N47)/'P&amp;L(OUTPUT)'!N47,"-")</f>
        <v>7.5035233699900825E-2</v>
      </c>
      <c r="Q17" s="145">
        <f>IFERROR(('P&amp;L(OUTPUT)'!P47-'P&amp;L(OUTPUT)'!O47)/'P&amp;L(OUTPUT)'!O47,"-")</f>
        <v>7.5489285245884372E-2</v>
      </c>
      <c r="R17" s="145">
        <f>IFERROR(('P&amp;L(OUTPUT)'!Q47-'P&amp;L(OUTPUT)'!P47)/'P&amp;L(OUTPUT)'!P47,"-")</f>
        <v>8.6648700257913464E-2</v>
      </c>
      <c r="S17" s="233">
        <f t="shared" si="0"/>
        <v>4.8518739375167194E-2</v>
      </c>
      <c r="T17" s="177">
        <f t="shared" si="1"/>
        <v>2.838510342225058E-2</v>
      </c>
      <c r="U17" s="178">
        <f>_xlfn.RRI(5,'P&amp;L(OUTPUT)'!G47,'P&amp;L(OUTPUT)'!L47)</f>
        <v>4.6388412651700461E-2</v>
      </c>
      <c r="V17" s="8">
        <f t="shared" si="2"/>
        <v>8.9778222740273222E-2</v>
      </c>
      <c r="W17" s="8">
        <f t="shared" si="3"/>
        <v>7.5489285245884372E-2</v>
      </c>
      <c r="X17" s="298">
        <f>_xlfn.RRI(5,'P&amp;L(OUTPUT)'!M47,'P&amp;L(OUTPUT)'!Q47)</f>
        <v>7.4823466956240425E-2</v>
      </c>
    </row>
    <row r="18" spans="1:24" ht="15.6">
      <c r="E18" s="3" t="s">
        <v>451</v>
      </c>
      <c r="H18" s="145" t="s">
        <v>158</v>
      </c>
      <c r="I18" s="145">
        <f>IFERROR(('P&amp;L(OUTPUT)'!H52-'P&amp;L(OUTPUT)'!G52)/'P&amp;L(OUTPUT)'!G52,"-")</f>
        <v>6.1967531125009037E-2</v>
      </c>
      <c r="J18" s="145">
        <f>IFERROR(('P&amp;L(OUTPUT)'!I52-'P&amp;L(OUTPUT)'!H52)/'P&amp;L(OUTPUT)'!H52,"-")</f>
        <v>1.9396704943398771E-3</v>
      </c>
      <c r="K18" s="145">
        <f>IFERROR(('P&amp;L(OUTPUT)'!J52-'P&amp;L(OUTPUT)'!I52)/'P&amp;L(OUTPUT)'!I52,"-")</f>
        <v>0.17143190347942691</v>
      </c>
      <c r="L18" s="145">
        <f>IFERROR(('P&amp;L(OUTPUT)'!K52-'P&amp;L(OUTPUT)'!J52)/'P&amp;L(OUTPUT)'!J52,"-")</f>
        <v>2.8153040891860805E-2</v>
      </c>
      <c r="M18" s="158">
        <f>IFERROR(('P&amp;L(OUTPUT)'!L52-'P&amp;L(OUTPUT)'!K52)/'P&amp;L(OUTPUT)'!K52,"-")</f>
        <v>-2.5567087470366581E-2</v>
      </c>
      <c r="N18" s="145">
        <f>IFERROR(('P&amp;L(OUTPUT)'!M48-'P&amp;L(OUTPUT)'!L48)/'P&amp;L(OUTPUT)'!L48,"-")</f>
        <v>-2.3741540165617372E-2</v>
      </c>
      <c r="O18" s="145">
        <f>IFERROR(('P&amp;L(OUTPUT)'!N52-'P&amp;L(OUTPUT)'!M52)/'P&amp;L(OUTPUT)'!M52,"-")</f>
        <v>0.14174139891296567</v>
      </c>
      <c r="P18" s="145">
        <f>IFERROR(('P&amp;L(OUTPUT)'!O52-'P&amp;L(OUTPUT)'!N52)/'P&amp;L(OUTPUT)'!N52,"-")</f>
        <v>7.5035233699900838E-2</v>
      </c>
      <c r="Q18" s="145">
        <f>IFERROR(('P&amp;L(OUTPUT)'!P52-'P&amp;L(OUTPUT)'!O52)/'P&amp;L(OUTPUT)'!O52,"-")</f>
        <v>7.5489285245884358E-2</v>
      </c>
      <c r="R18" s="145">
        <f>IFERROR(('P&amp;L(OUTPUT)'!Q52-'P&amp;L(OUTPUT)'!P52)/'P&amp;L(OUTPUT)'!P52,"-")</f>
        <v>8.6648700257913394E-2</v>
      </c>
      <c r="S18" s="233">
        <f t="shared" si="0"/>
        <v>4.7585011704054013E-2</v>
      </c>
      <c r="T18" s="177">
        <f t="shared" si="1"/>
        <v>2.8153040891860805E-2</v>
      </c>
      <c r="U18" s="178">
        <f>_xlfn.RRI(5,'P&amp;L(OUTPUT)'!G52,'P&amp;L(OUTPUT)'!L52)</f>
        <v>4.5432298548537808E-2</v>
      </c>
      <c r="V18" s="8">
        <f t="shared" si="2"/>
        <v>7.1034615590209377E-2</v>
      </c>
      <c r="W18" s="8">
        <f t="shared" si="3"/>
        <v>7.5489285245884358E-2</v>
      </c>
      <c r="X18" s="298">
        <f>_xlfn.RRI(5,'P&amp;L(OUTPUT)'!M52,'P&amp;L(OUTPUT)'!Q52)</f>
        <v>7.4823466956240425E-2</v>
      </c>
    </row>
    <row r="19" spans="1:24" ht="15.6">
      <c r="E19" s="3" t="s">
        <v>474</v>
      </c>
      <c r="H19" s="145" t="s">
        <v>158</v>
      </c>
      <c r="I19" s="145">
        <f>IFERROR(('P&amp;L(OUTPUT)'!H54-'P&amp;L(OUTPUT)'!G54)/'P&amp;L(OUTPUT)'!G54,"-")</f>
        <v>-0.6333333333333333</v>
      </c>
      <c r="J19" s="145">
        <f>IFERROR(('P&amp;L(OUTPUT)'!I54-'P&amp;L(OUTPUT)'!H54)/'P&amp;L(OUTPUT)'!H54,"-")</f>
        <v>9.0909090909090912E-2</v>
      </c>
      <c r="K19" s="145">
        <f>IFERROR(('P&amp;L(OUTPUT)'!J54-'P&amp;L(OUTPUT)'!I54)/'P&amp;L(OUTPUT)'!I54,"-")</f>
        <v>0.58333333333333337</v>
      </c>
      <c r="L19" s="145">
        <f>IFERROR(('P&amp;L(OUTPUT)'!K54-'P&amp;L(OUTPUT)'!J54)/'P&amp;L(OUTPUT)'!J54,"-")</f>
        <v>9.4736842105263189E-2</v>
      </c>
      <c r="M19" s="158">
        <f>IFERROR(('P&amp;L(OUTPUT)'!L54-'P&amp;L(OUTPUT)'!K54)/'P&amp;L(OUTPUT)'!K54,"-")</f>
        <v>0</v>
      </c>
      <c r="N19" s="145">
        <f>IFERROR(('P&amp;L(OUTPUT)'!M54-'P&amp;L(OUTPUT)'!L54)/'P&amp;L(OUTPUT)'!L54,"-")</f>
        <v>-1.3599054961259511E-2</v>
      </c>
      <c r="O19" s="145">
        <f>IFERROR(('P&amp;L(OUTPUT)'!N54-'P&amp;L(OUTPUT)'!M54)/'P&amp;L(OUTPUT)'!M54,"-")</f>
        <v>0.14174139891296567</v>
      </c>
      <c r="P19" s="145">
        <f>IFERROR(('P&amp;L(OUTPUT)'!O54-'P&amp;L(OUTPUT)'!N54)/'P&amp;L(OUTPUT)'!N54,"-")</f>
        <v>7.5035233699900838E-2</v>
      </c>
      <c r="Q19" s="145">
        <f>IFERROR(('P&amp;L(OUTPUT)'!P54-'P&amp;L(OUTPUT)'!O54)/'P&amp;L(OUTPUT)'!O54,"-")</f>
        <v>7.5489285245884358E-2</v>
      </c>
      <c r="R19" s="145">
        <f>IFERROR(('P&amp;L(OUTPUT)'!Q54-'P&amp;L(OUTPUT)'!P54)/'P&amp;L(OUTPUT)'!P54,"-")</f>
        <v>8.6648700257913394E-2</v>
      </c>
      <c r="S19" s="233">
        <f t="shared" si="0"/>
        <v>2.7129186602870836E-2</v>
      </c>
      <c r="T19" s="177">
        <f t="shared" si="1"/>
        <v>9.0909090909090912E-2</v>
      </c>
      <c r="U19" s="178">
        <f>_xlfn.RRI(5,'P&amp;L(OUTPUT)'!G54,'P&amp;L(OUTPUT)'!L54)</f>
        <v>-7.0630499303096062E-2</v>
      </c>
      <c r="V19" s="8">
        <f>AVERAGE(N19:R19)</f>
        <v>7.3063112631080937E-2</v>
      </c>
      <c r="W19" s="8">
        <f t="shared" si="3"/>
        <v>7.5489285245884358E-2</v>
      </c>
      <c r="X19" s="298">
        <f>_xlfn.RRI(5,'P&amp;L(OUTPUT)'!M54,'P&amp;L(OUTPUT)'!Q54)</f>
        <v>7.4823466956240425E-2</v>
      </c>
    </row>
    <row r="20" spans="1:24">
      <c r="A20" s="149"/>
      <c r="B20" s="149"/>
      <c r="C20" s="149"/>
      <c r="D20" s="149"/>
      <c r="E20" s="149"/>
      <c r="F20" s="149"/>
      <c r="G20" s="149"/>
      <c r="H20" s="150"/>
      <c r="I20" s="150"/>
      <c r="J20" s="150"/>
      <c r="K20" s="150"/>
      <c r="L20" s="150"/>
      <c r="M20" s="161"/>
      <c r="N20" s="150"/>
      <c r="O20" s="149"/>
      <c r="P20" s="149"/>
      <c r="Q20" s="149"/>
      <c r="R20" s="149"/>
      <c r="S20" s="234"/>
      <c r="T20" s="149"/>
      <c r="U20" s="268"/>
      <c r="V20" s="149"/>
      <c r="W20" s="149"/>
      <c r="X20" s="274"/>
    </row>
    <row r="21" spans="1:24" s="59" customFormat="1">
      <c r="H21" s="151"/>
      <c r="I21" s="151"/>
      <c r="J21" s="151"/>
      <c r="K21" s="151"/>
      <c r="L21" s="151"/>
      <c r="M21" s="162"/>
      <c r="N21" s="151"/>
      <c r="S21" s="229"/>
      <c r="T21" s="64"/>
      <c r="U21" s="175"/>
      <c r="X21" s="273"/>
    </row>
    <row r="22" spans="1:24" ht="15.6">
      <c r="D22" s="3" t="s">
        <v>488</v>
      </c>
      <c r="H22" s="145"/>
      <c r="I22" s="145"/>
      <c r="J22" s="145"/>
      <c r="K22" s="145"/>
      <c r="L22" s="145"/>
      <c r="M22" s="158"/>
      <c r="N22" s="145"/>
      <c r="S22" s="229"/>
      <c r="T22" s="64"/>
      <c r="U22" s="155"/>
      <c r="X22" s="157"/>
    </row>
    <row r="23" spans="1:24" ht="15.6">
      <c r="E23" s="3" t="s">
        <v>382</v>
      </c>
      <c r="H23" s="145">
        <f>IFERROR(('P&amp;L(OUTPUT)'!G9*-1)/'P&amp;L(OUTPUT)'!G$7,"-")</f>
        <v>0.49468974403802196</v>
      </c>
      <c r="I23" s="145">
        <f>IFERROR(('P&amp;L(OUTPUT)'!H9*-1)/'P&amp;L(OUTPUT)'!H$7,"-")</f>
        <v>0.50393130232683769</v>
      </c>
      <c r="J23" s="145">
        <f>IFERROR(('P&amp;L(OUTPUT)'!I9*-1)/'P&amp;L(OUTPUT)'!I$7,"-")</f>
        <v>0.49988139980471274</v>
      </c>
      <c r="K23" s="145">
        <f>IFERROR(('P&amp;L(OUTPUT)'!J9*-1)/'P&amp;L(OUTPUT)'!J$7,"-")</f>
        <v>0.50006389709425336</v>
      </c>
      <c r="L23" s="145">
        <f>IFERROR(('P&amp;L(OUTPUT)'!K9*-1)/'P&amp;L(OUTPUT)'!K$7,"-")</f>
        <v>0.51794065029002589</v>
      </c>
      <c r="M23" s="158">
        <f>IFERROR(('P&amp;L(OUTPUT)'!L9*-1)/'P&amp;L(OUTPUT)'!L$7,"-")</f>
        <v>0.54368862148728225</v>
      </c>
      <c r="N23" s="145">
        <f>IFERROR(('P&amp;L(OUTPUT)'!M9*-1)/'P&amp;L(OUTPUT)'!M$7,"-")</f>
        <v>0.52729999999999999</v>
      </c>
      <c r="O23" s="145">
        <f>IFERROR(('P&amp;L(OUTPUT)'!N9*-1)/'P&amp;L(OUTPUT)'!N$7,"-")</f>
        <v>0.52029999999999998</v>
      </c>
      <c r="P23" s="145">
        <f>IFERROR(('P&amp;L(OUTPUT)'!O9*-1)/'P&amp;L(OUTPUT)'!O$7,"-")</f>
        <v>0.51729999999999998</v>
      </c>
      <c r="Q23" s="145">
        <f>IFERROR(('P&amp;L(OUTPUT)'!P9*-1)/'P&amp;L(OUTPUT)'!P$7,"-")</f>
        <v>0.51630000000000009</v>
      </c>
      <c r="R23" s="145">
        <f>IFERROR(('P&amp;L(OUTPUT)'!Q9*-1)/'P&amp;L(OUTPUT)'!Q$7,"-")</f>
        <v>0.51429999999999998</v>
      </c>
      <c r="S23" s="231">
        <f>AVERAGE(H23:M23)</f>
        <v>0.51003260250685567</v>
      </c>
      <c r="T23" s="235">
        <f>MEDIAN(H23:M23)</f>
        <v>0.50199759971054547</v>
      </c>
      <c r="U23" s="155"/>
      <c r="V23" s="8">
        <f>AVERAGE(N23:R23)</f>
        <v>0.51910000000000012</v>
      </c>
      <c r="W23" s="8">
        <f>MEDIAN(N23:R23)</f>
        <v>0.51729999999999998</v>
      </c>
      <c r="X23" s="157"/>
    </row>
    <row r="24" spans="1:24" ht="15.6">
      <c r="E24" s="3" t="s">
        <v>477</v>
      </c>
      <c r="H24" s="145">
        <f>IFERROR('P&amp;L(OUTPUT)'!G11/'P&amp;L(OUTPUT)'!G$7,"-")</f>
        <v>0.50531025596197798</v>
      </c>
      <c r="I24" s="145">
        <f>IFERROR('P&amp;L(OUTPUT)'!H11/'P&amp;L(OUTPUT)'!H$7,"-")</f>
        <v>0.49606869767316231</v>
      </c>
      <c r="J24" s="145">
        <f>IFERROR('P&amp;L(OUTPUT)'!I11/'P&amp;L(OUTPUT)'!I$7,"-")</f>
        <v>0.50011860019528731</v>
      </c>
      <c r="K24" s="145">
        <f>IFERROR('P&amp;L(OUTPUT)'!J11/'P&amp;L(OUTPUT)'!J$7,"-")</f>
        <v>0.49993610290574658</v>
      </c>
      <c r="L24" s="145">
        <f>IFERROR('P&amp;L(OUTPUT)'!K11/'P&amp;L(OUTPUT)'!K$7,"-")</f>
        <v>0.48205934970997411</v>
      </c>
      <c r="M24" s="158">
        <f>IFERROR('P&amp;L(OUTPUT)'!L11/'P&amp;L(OUTPUT)'!L$7,"-")</f>
        <v>0.4563113785127178</v>
      </c>
      <c r="N24" s="145">
        <f>IFERROR('P&amp;L(OUTPUT)'!M11/'P&amp;L(OUTPUT)'!M$7,"-")</f>
        <v>0.47270000000000001</v>
      </c>
      <c r="O24" s="145">
        <f>IFERROR('P&amp;L(OUTPUT)'!N11/'P&amp;L(OUTPUT)'!N$7,"-")</f>
        <v>0.47970000000000002</v>
      </c>
      <c r="P24" s="145">
        <f>IFERROR('P&amp;L(OUTPUT)'!O11/'P&amp;L(OUTPUT)'!O$7,"-")</f>
        <v>0.48269999999999996</v>
      </c>
      <c r="Q24" s="145">
        <f>IFERROR('P&amp;L(OUTPUT)'!P11/'P&amp;L(OUTPUT)'!P$7,"-")</f>
        <v>0.48369999999999996</v>
      </c>
      <c r="R24" s="145">
        <f>IFERROR('P&amp;L(OUTPUT)'!Q11/'P&amp;L(OUTPUT)'!Q$7,"-")</f>
        <v>0.48570000000000008</v>
      </c>
      <c r="S24" s="231">
        <f t="shared" ref="S24:S37" si="4">AVERAGE(H24:M24)</f>
        <v>0.48996739749314444</v>
      </c>
      <c r="T24" s="235">
        <f t="shared" ref="T24:T37" si="5">MEDIAN(H24:M24)</f>
        <v>0.49800240028945442</v>
      </c>
      <c r="U24" s="155"/>
      <c r="V24" s="8">
        <f t="shared" ref="V24:V37" si="6">AVERAGE(N24:R24)</f>
        <v>0.48089999999999999</v>
      </c>
      <c r="W24" s="8">
        <f t="shared" ref="W24:W37" si="7">MEDIAN(N24:R24)</f>
        <v>0.48269999999999996</v>
      </c>
      <c r="X24" s="157"/>
    </row>
    <row r="25" spans="1:24" ht="15.6">
      <c r="E25" s="3" t="s">
        <v>478</v>
      </c>
      <c r="H25" s="145">
        <f>IFERROR('P&amp;L(OUTPUT)'!G20/'P&amp;L(OUTPUT)'!G$7*-1,"-")</f>
        <v>0.29584749768514018</v>
      </c>
      <c r="I25" s="145">
        <f>IFERROR('P&amp;L(OUTPUT)'!H20/'P&amp;L(OUTPUT)'!H$7*-1,"-")</f>
        <v>0.29177485822062033</v>
      </c>
      <c r="J25" s="145">
        <f>IFERROR('P&amp;L(OUTPUT)'!I20/'P&amp;L(OUTPUT)'!I$7*-1,"-")</f>
        <v>0.2937369885222646</v>
      </c>
      <c r="K25" s="145">
        <f>IFERROR('P&amp;L(OUTPUT)'!J20/'P&amp;L(OUTPUT)'!J$7*-1,"-")</f>
        <v>0.29015670500492324</v>
      </c>
      <c r="L25" s="145">
        <f>IFERROR('P&amp;L(OUTPUT)'!K20/'P&amp;L(OUTPUT)'!K$7*-1,"-")</f>
        <v>0.27507282792771948</v>
      </c>
      <c r="M25" s="158">
        <f>IFERROR('P&amp;L(OUTPUT)'!L20/'P&amp;L(OUTPUT)'!L$7*-1,"-")</f>
        <v>0.26861487837264708</v>
      </c>
      <c r="N25" s="145">
        <f>IFERROR('P&amp;L(OUTPUT)'!M20/'P&amp;L(OUTPUT)'!M$7*-1,"-")</f>
        <v>0.29299999999999998</v>
      </c>
      <c r="O25" s="145">
        <f>IFERROR('P&amp;L(OUTPUT)'!N20/'P&amp;L(OUTPUT)'!N$7*-1,"-")</f>
        <v>0.29199999999999998</v>
      </c>
      <c r="P25" s="145">
        <f>IFERROR('P&amp;L(OUTPUT)'!O20/'P&amp;L(OUTPUT)'!O$7*-1,"-")</f>
        <v>0.29499999999999998</v>
      </c>
      <c r="Q25" s="145">
        <f>IFERROR('P&amp;L(OUTPUT)'!P20/'P&amp;L(OUTPUT)'!P$7*-1,"-")</f>
        <v>0.29499999999999998</v>
      </c>
      <c r="R25" s="145">
        <f>IFERROR('P&amp;L(OUTPUT)'!Q20/'P&amp;L(OUTPUT)'!Q$7*-1,"-")</f>
        <v>0.29300000000000004</v>
      </c>
      <c r="S25" s="231">
        <f t="shared" si="4"/>
        <v>0.28586729262221916</v>
      </c>
      <c r="T25" s="235">
        <f t="shared" si="5"/>
        <v>0.29096578161277176</v>
      </c>
      <c r="U25" s="155"/>
      <c r="V25" s="8">
        <f t="shared" si="6"/>
        <v>0.29359999999999997</v>
      </c>
      <c r="W25" s="8">
        <f t="shared" si="7"/>
        <v>0.29300000000000004</v>
      </c>
      <c r="X25" s="157"/>
    </row>
    <row r="26" spans="1:24" ht="15.6">
      <c r="E26" s="3"/>
      <c r="F26" s="147" t="s">
        <v>479</v>
      </c>
      <c r="G26" s="147"/>
      <c r="H26" s="148">
        <f>IFERROR('P&amp;L(OUTPUT)'!G16/'P&amp;L(OUTPUT)'!G$7*-1,"-")</f>
        <v>0.10266840200211089</v>
      </c>
      <c r="I26" s="148">
        <f>IFERROR('P&amp;L(OUTPUT)'!H16/'P&amp;L(OUTPUT)'!H$7*-1,"-")</f>
        <v>0.11014810352096714</v>
      </c>
      <c r="J26" s="148">
        <f>IFERROR('P&amp;L(OUTPUT)'!I16/'P&amp;L(OUTPUT)'!I$7*-1,"-")</f>
        <v>0.10912830007922034</v>
      </c>
      <c r="K26" s="148">
        <f>IFERROR('P&amp;L(OUTPUT)'!J16/'P&amp;L(OUTPUT)'!J$7*-1,"-")</f>
        <v>0.10825424758552783</v>
      </c>
      <c r="L26" s="148">
        <f>IFERROR('P&amp;L(OUTPUT)'!K16/'P&amp;L(OUTPUT)'!K$7*-1,"-")</f>
        <v>9.9180984288270019E-2</v>
      </c>
      <c r="M26" s="159">
        <f>IFERROR('P&amp;L(OUTPUT)'!L16/'P&amp;L(OUTPUT)'!L$7*-1,"-")</f>
        <v>9.8613256501146163E-2</v>
      </c>
      <c r="N26" s="148">
        <f>IFERROR('P&amp;L(OUTPUT)'!M16/'P&amp;L(OUTPUT)'!M$7*-1,"-")</f>
        <v>0.1</v>
      </c>
      <c r="O26" s="148">
        <f>IFERROR('P&amp;L(OUTPUT)'!N16/'P&amp;L(OUTPUT)'!N$7*-1,"-")</f>
        <v>0.10199999999999999</v>
      </c>
      <c r="P26" s="148">
        <f>IFERROR('P&amp;L(OUTPUT)'!O16/'P&amp;L(OUTPUT)'!O$7*-1,"-")</f>
        <v>0.10500000000000001</v>
      </c>
      <c r="Q26" s="148">
        <f>IFERROR('P&amp;L(OUTPUT)'!P16/'P&amp;L(OUTPUT)'!P$7*-1,"-")</f>
        <v>0.105</v>
      </c>
      <c r="R26" s="148">
        <f>IFERROR('P&amp;L(OUTPUT)'!Q16/'P&amp;L(OUTPUT)'!Q$7*-1,"-")</f>
        <v>0.105</v>
      </c>
      <c r="S26" s="231">
        <f t="shared" si="4"/>
        <v>0.10466554899620706</v>
      </c>
      <c r="T26" s="235">
        <f t="shared" si="5"/>
        <v>0.10546132479381937</v>
      </c>
      <c r="U26" s="155"/>
      <c r="V26" s="8">
        <f t="shared" si="6"/>
        <v>0.10340000000000001</v>
      </c>
      <c r="W26" s="8">
        <f t="shared" si="7"/>
        <v>0.105</v>
      </c>
      <c r="X26" s="157"/>
    </row>
    <row r="27" spans="1:24" ht="15.6">
      <c r="E27" s="3"/>
      <c r="F27" s="2" t="s">
        <v>480</v>
      </c>
      <c r="H27" s="145">
        <f>IFERROR('P&amp;L(OUTPUT)'!G17/'P&amp;L(OUTPUT)'!G$7*-1,"-")</f>
        <v>7.8570549803479731E-2</v>
      </c>
      <c r="I27" s="145">
        <f>IFERROR('P&amp;L(OUTPUT)'!H17/'P&amp;L(OUTPUT)'!H$7*-1,"-")</f>
        <v>7.1442244794180626E-2</v>
      </c>
      <c r="J27" s="145">
        <f>IFERROR('P&amp;L(OUTPUT)'!I17/'P&amp;L(OUTPUT)'!I$7*-1,"-")</f>
        <v>7.4842480517327156E-2</v>
      </c>
      <c r="K27" s="145">
        <f>IFERROR('P&amp;L(OUTPUT)'!J17/'P&amp;L(OUTPUT)'!J$7*-1,"-")</f>
        <v>8.2161188276454439E-2</v>
      </c>
      <c r="L27" s="145">
        <f>IFERROR('P&amp;L(OUTPUT)'!K17/'P&amp;L(OUTPUT)'!K$7*-1,"-")</f>
        <v>7.1444839962236009E-2</v>
      </c>
      <c r="M27" s="158">
        <f>IFERROR('P&amp;L(OUTPUT)'!L17/'P&amp;L(OUTPUT)'!L$7*-1,"-")</f>
        <v>5.5531319032531966E-2</v>
      </c>
      <c r="N27" s="145">
        <f>IFERROR('P&amp;L(OUTPUT)'!M17/'P&amp;L(OUTPUT)'!M$7*-1,"-")</f>
        <v>8.3000000000000004E-2</v>
      </c>
      <c r="O27" s="145">
        <f>IFERROR('P&amp;L(OUTPUT)'!N17/'P&amp;L(OUTPUT)'!N$7*-1,"-")</f>
        <v>0.08</v>
      </c>
      <c r="P27" s="145">
        <f>IFERROR('P&amp;L(OUTPUT)'!O17/'P&amp;L(OUTPUT)'!O$7*-1,"-")</f>
        <v>0.08</v>
      </c>
      <c r="Q27" s="145">
        <f>IFERROR('P&amp;L(OUTPUT)'!P17/'P&amp;L(OUTPUT)'!P$7*-1,"-")</f>
        <v>0.08</v>
      </c>
      <c r="R27" s="145">
        <f>IFERROR('P&amp;L(OUTPUT)'!Q17/'P&amp;L(OUTPUT)'!Q$7*-1,"-")</f>
        <v>7.8E-2</v>
      </c>
      <c r="S27" s="231">
        <f t="shared" si="4"/>
        <v>7.2332103731034977E-2</v>
      </c>
      <c r="T27" s="235">
        <f t="shared" si="5"/>
        <v>7.3143660239781583E-2</v>
      </c>
      <c r="U27" s="155"/>
      <c r="V27" s="8">
        <f t="shared" si="6"/>
        <v>8.0200000000000007E-2</v>
      </c>
      <c r="W27" s="8">
        <f t="shared" si="7"/>
        <v>0.08</v>
      </c>
      <c r="X27" s="157"/>
    </row>
    <row r="28" spans="1:24" ht="15.6">
      <c r="E28" s="3"/>
      <c r="F28" s="17" t="s">
        <v>481</v>
      </c>
      <c r="G28" s="17"/>
      <c r="H28" s="146">
        <f>IFERROR('P&amp;L(OUTPUT)'!G18/'P&amp;L(OUTPUT)'!G$7*-1,"-")</f>
        <v>0.11460854587954959</v>
      </c>
      <c r="I28" s="146">
        <f>IFERROR('P&amp;L(OUTPUT)'!H18/'P&amp;L(OUTPUT)'!H$7*-1,"-")</f>
        <v>0.11018450990547259</v>
      </c>
      <c r="J28" s="146">
        <f>IFERROR('P&amp;L(OUTPUT)'!I18/'P&amp;L(OUTPUT)'!I$7*-1,"-")</f>
        <v>0.10976620792571713</v>
      </c>
      <c r="K28" s="146">
        <f>IFERROR('P&amp;L(OUTPUT)'!J18/'P&amp;L(OUTPUT)'!J$7*-1,"-")</f>
        <v>9.9741269142940944E-2</v>
      </c>
      <c r="L28" s="146">
        <f>IFERROR('P&amp;L(OUTPUT)'!K18/'P&amp;L(OUTPUT)'!K$7*-1,"-")</f>
        <v>0.10444700367721339</v>
      </c>
      <c r="M28" s="160">
        <f>IFERROR('P&amp;L(OUTPUT)'!L18/'P&amp;L(OUTPUT)'!L$7*-1,"-")</f>
        <v>0.11447030283896897</v>
      </c>
      <c r="N28" s="146">
        <f>IFERROR('P&amp;L(OUTPUT)'!M18/'P&amp;L(OUTPUT)'!M$7*-1,"-")</f>
        <v>0.10999999999999999</v>
      </c>
      <c r="O28" s="146">
        <f>IFERROR('P&amp;L(OUTPUT)'!N18/'P&amp;L(OUTPUT)'!N$7*-1,"-")</f>
        <v>0.11</v>
      </c>
      <c r="P28" s="146">
        <f>IFERROR('P&amp;L(OUTPUT)'!O18/'P&amp;L(OUTPUT)'!O$7*-1,"-")</f>
        <v>0.11</v>
      </c>
      <c r="Q28" s="146">
        <f>IFERROR('P&amp;L(OUTPUT)'!P18/'P&amp;L(OUTPUT)'!P$7*-1,"-")</f>
        <v>0.11</v>
      </c>
      <c r="R28" s="146">
        <f>IFERROR('P&amp;L(OUTPUT)'!Q18/'P&amp;L(OUTPUT)'!Q$7*-1,"-")</f>
        <v>0.11</v>
      </c>
      <c r="S28" s="231">
        <f t="shared" si="4"/>
        <v>0.10886963989497711</v>
      </c>
      <c r="T28" s="235">
        <f t="shared" si="5"/>
        <v>0.10997535891559486</v>
      </c>
      <c r="U28" s="155"/>
      <c r="V28" s="8">
        <f t="shared" si="6"/>
        <v>0.10999999999999999</v>
      </c>
      <c r="W28" s="8">
        <f t="shared" si="7"/>
        <v>0.11</v>
      </c>
      <c r="X28" s="157"/>
    </row>
    <row r="29" spans="1:24" ht="15.6">
      <c r="E29" s="3" t="s">
        <v>482</v>
      </c>
      <c r="H29" s="145">
        <f>IFERROR('P&amp;L(OUTPUT)'!G22/'P&amp;L(OUTPUT)'!G$7,"-")</f>
        <v>0.20946275827683786</v>
      </c>
      <c r="I29" s="145">
        <f>IFERROR('P&amp;L(OUTPUT)'!H22/'P&amp;L(OUTPUT)'!H$7,"-")</f>
        <v>0.20429383945254198</v>
      </c>
      <c r="J29" s="145">
        <f>IFERROR('P&amp;L(OUTPUT)'!I22/'P&amp;L(OUTPUT)'!I$7,"-")</f>
        <v>0.20638161167302266</v>
      </c>
      <c r="K29" s="145">
        <f>IFERROR('P&amp;L(OUTPUT)'!J22/'P&amp;L(OUTPUT)'!J$7,"-")</f>
        <v>0.20977939790082334</v>
      </c>
      <c r="L29" s="145">
        <f>IFERROR('P&amp;L(OUTPUT)'!K22/'P&amp;L(OUTPUT)'!K$7,"-")</f>
        <v>0.20698652178225463</v>
      </c>
      <c r="M29" s="158">
        <f>IFERROR('P&amp;L(OUTPUT)'!L22/'P&amp;L(OUTPUT)'!L$7,"-")</f>
        <v>0.18769650014007069</v>
      </c>
      <c r="N29" s="145">
        <f>IFERROR('P&amp;L(OUTPUT)'!M22/'P&amp;L(OUTPUT)'!M$7,"-")</f>
        <v>0.17969999999999997</v>
      </c>
      <c r="O29" s="145">
        <f>IFERROR('P&amp;L(OUTPUT)'!N22/'P&amp;L(OUTPUT)'!N$7,"-")</f>
        <v>0.18770000000000001</v>
      </c>
      <c r="P29" s="145">
        <f>IFERROR('P&amp;L(OUTPUT)'!O22/'P&amp;L(OUTPUT)'!O$7,"-")</f>
        <v>0.18770000000000001</v>
      </c>
      <c r="Q29" s="145">
        <f>IFERROR('P&amp;L(OUTPUT)'!P22/'P&amp;L(OUTPUT)'!P$7,"-")</f>
        <v>0.18869999999999995</v>
      </c>
      <c r="R29" s="145">
        <f>IFERROR('P&amp;L(OUTPUT)'!Q22/'P&amp;L(OUTPUT)'!Q$7,"-")</f>
        <v>0.19270000000000004</v>
      </c>
      <c r="S29" s="231">
        <f t="shared" si="4"/>
        <v>0.2041001048709252</v>
      </c>
      <c r="T29" s="235">
        <f t="shared" si="5"/>
        <v>0.20668406672763864</v>
      </c>
      <c r="U29" s="155"/>
      <c r="V29" s="8">
        <f t="shared" si="6"/>
        <v>0.18729999999999997</v>
      </c>
      <c r="W29" s="8">
        <f t="shared" si="7"/>
        <v>0.18770000000000001</v>
      </c>
      <c r="X29" s="157"/>
    </row>
    <row r="30" spans="1:24" ht="15.6">
      <c r="E30" s="3" t="s">
        <v>384</v>
      </c>
      <c r="H30" s="145">
        <f>IFERROR('P&amp;L(OUTPUT)'!G25/'P&amp;L(OUTPUT)'!G$7*-1,"-")</f>
        <v>2.1002738980943687E-2</v>
      </c>
      <c r="I30" s="145">
        <f>IFERROR('P&amp;L(OUTPUT)'!H25/'P&amp;L(OUTPUT)'!H$7*-1,"-")</f>
        <v>2.0775127158105883E-2</v>
      </c>
      <c r="J30" s="145">
        <f>IFERROR('P&amp;L(OUTPUT)'!I25/'P&amp;L(OUTPUT)'!I$7*-1,"-")</f>
        <v>2.5383896166104754E-2</v>
      </c>
      <c r="K30" s="145">
        <f>IFERROR('P&amp;L(OUTPUT)'!J25/'P&amp;L(OUTPUT)'!J$7*-1,"-")</f>
        <v>2.5153457775543123E-2</v>
      </c>
      <c r="L30" s="145">
        <f>IFERROR('P&amp;L(OUTPUT)'!K25/'P&amp;L(OUTPUT)'!K$7*-1,"-")</f>
        <v>2.322503737826807E-2</v>
      </c>
      <c r="M30" s="158">
        <f>IFERROR('P&amp;L(OUTPUT)'!L25/'P&amp;L(OUTPUT)'!L$7*-1,"-")</f>
        <v>2.6969901707648555E-2</v>
      </c>
      <c r="N30" s="145">
        <f>IFERROR('P&amp;L(OUTPUT)'!M25/'P&amp;L(OUTPUT)'!M$7*-1,"-")</f>
        <v>2.3833807599848378E-2</v>
      </c>
      <c r="O30" s="145">
        <f>IFERROR('P&amp;L(OUTPUT)'!N25/'P&amp;L(OUTPUT)'!N$7*-1,"-")</f>
        <v>2.3825280550502419E-2</v>
      </c>
      <c r="P30" s="145">
        <f>IFERROR('P&amp;L(OUTPUT)'!O25/'P&amp;L(OUTPUT)'!O$7*-1,"-")</f>
        <v>2.3818856395594494E-2</v>
      </c>
      <c r="Q30" s="145">
        <f>IFERROR('P&amp;L(OUTPUT)'!P25/'P&amp;L(OUTPUT)'!P$7*-1,"-")</f>
        <v>2.3813286013105363E-2</v>
      </c>
      <c r="R30" s="145">
        <f>IFERROR('P&amp;L(OUTPUT)'!Q25/'P&amp;L(OUTPUT)'!Q$7*-1,"-")</f>
        <v>2.380844774764268E-2</v>
      </c>
      <c r="S30" s="231">
        <f t="shared" si="4"/>
        <v>2.375169319443568E-2</v>
      </c>
      <c r="T30" s="235">
        <f t="shared" si="5"/>
        <v>2.4189247576905597E-2</v>
      </c>
      <c r="U30" s="155"/>
      <c r="V30" s="8">
        <f t="shared" si="6"/>
        <v>2.3819935661338668E-2</v>
      </c>
      <c r="W30" s="8">
        <f t="shared" si="7"/>
        <v>2.3818856395594494E-2</v>
      </c>
      <c r="X30" s="157"/>
    </row>
    <row r="31" spans="1:24" ht="15.6">
      <c r="C31" s="2" t="s">
        <v>475</v>
      </c>
      <c r="E31" s="3" t="s">
        <v>483</v>
      </c>
      <c r="H31" s="145">
        <f>IFERROR('P&amp;L(OUTPUT)'!G27/'P&amp;L(OUTPUT)'!G$7,"-")</f>
        <v>0.18846001929589418</v>
      </c>
      <c r="I31" s="145">
        <f>IFERROR('P&amp;L(OUTPUT)'!H27/'P&amp;L(OUTPUT)'!H$7,"-")</f>
        <v>0.18351871229443609</v>
      </c>
      <c r="J31" s="145">
        <f>IFERROR('P&amp;L(OUTPUT)'!I27/'P&amp;L(OUTPUT)'!I$7,"-")</f>
        <v>0.1809977155069179</v>
      </c>
      <c r="K31" s="145">
        <f>IFERROR('P&amp;L(OUTPUT)'!J27/'P&amp;L(OUTPUT)'!J$7,"-")</f>
        <v>0.18462594012528022</v>
      </c>
      <c r="L31" s="145">
        <f>IFERROR('P&amp;L(OUTPUT)'!K27/'P&amp;L(OUTPUT)'!K$7,"-")</f>
        <v>0.18376148440398657</v>
      </c>
      <c r="M31" s="158">
        <f>IFERROR('P&amp;L(OUTPUT)'!L27/'P&amp;L(OUTPUT)'!L$7,"-")</f>
        <v>0.16072659843242212</v>
      </c>
      <c r="N31" s="145">
        <f>IFERROR('P&amp;L(OUTPUT)'!M27/'P&amp;L(OUTPUT)'!M$7,"-")</f>
        <v>0.15586619240015159</v>
      </c>
      <c r="O31" s="145">
        <f>IFERROR('P&amp;L(OUTPUT)'!N27/'P&amp;L(OUTPUT)'!N$7,"-")</f>
        <v>0.16387471944949755</v>
      </c>
      <c r="P31" s="145">
        <f>IFERROR('P&amp;L(OUTPUT)'!O27/'P&amp;L(OUTPUT)'!O$7,"-")</f>
        <v>0.1638811436044055</v>
      </c>
      <c r="Q31" s="145">
        <f>IFERROR('P&amp;L(OUTPUT)'!P27/'P&amp;L(OUTPUT)'!P$7,"-")</f>
        <v>0.16488671398689458</v>
      </c>
      <c r="R31" s="145">
        <f>IFERROR('P&amp;L(OUTPUT)'!Q27/'P&amp;L(OUTPUT)'!Q$7,"-")</f>
        <v>0.16889155225235736</v>
      </c>
      <c r="S31" s="231">
        <f t="shared" si="4"/>
        <v>0.18034841167648952</v>
      </c>
      <c r="T31" s="235">
        <f t="shared" si="5"/>
        <v>0.18364009834921133</v>
      </c>
      <c r="U31" s="155"/>
      <c r="V31" s="8">
        <f t="shared" si="6"/>
        <v>0.1634800643386613</v>
      </c>
      <c r="W31" s="8">
        <f t="shared" si="7"/>
        <v>0.1638811436044055</v>
      </c>
      <c r="X31" s="157"/>
    </row>
    <row r="32" spans="1:24" ht="15.6">
      <c r="E32" s="3" t="s">
        <v>484</v>
      </c>
      <c r="H32" s="145">
        <f>IFERROR('P&amp;L(OUTPUT)'!G33/'P&amp;L(OUTPUT)'!G$7*-1,"-")</f>
        <v>6.8701153221054538E-3</v>
      </c>
      <c r="I32" s="145">
        <f>IFERROR('P&amp;L(OUTPUT)'!H33/'P&amp;L(OUTPUT)'!H$7*-1,"-")</f>
        <v>6.997072222046063E-3</v>
      </c>
      <c r="J32" s="145">
        <f>IFERROR('P&amp;L(OUTPUT)'!I33/'P&amp;L(OUTPUT)'!I$7*-1,"-")</f>
        <v>5.7043239558576984E-3</v>
      </c>
      <c r="K32" s="145">
        <f>IFERROR('P&amp;L(OUTPUT)'!J33/'P&amp;L(OUTPUT)'!J$7*-1,"-")</f>
        <v>3.2273270064735091E-3</v>
      </c>
      <c r="L32" s="145">
        <f>IFERROR('P&amp;L(OUTPUT)'!K33/'P&amp;L(OUTPUT)'!K$7*-1,"-")</f>
        <v>3.5449659646531986E-3</v>
      </c>
      <c r="M32" s="158">
        <f>IFERROR('P&amp;L(OUTPUT)'!L33/'P&amp;L(OUTPUT)'!L$7*-1,"-")</f>
        <v>6.7858409750656771E-3</v>
      </c>
      <c r="N32" s="145">
        <f>IFERROR('P&amp;L(OUTPUT)'!M33/'P&amp;L(OUTPUT)'!M$7*-1,"-")</f>
        <v>4.2479688577142525E-3</v>
      </c>
      <c r="O32" s="145">
        <f>IFERROR('P&amp;L(OUTPUT)'!N33/'P&amp;L(OUTPUT)'!N$7*-1,"-")</f>
        <v>4.2479688577142525E-3</v>
      </c>
      <c r="P32" s="145">
        <f>IFERROR('P&amp;L(OUTPUT)'!O33/'P&amp;L(OUTPUT)'!O$7*-1,"-")</f>
        <v>4.2479688577142525E-3</v>
      </c>
      <c r="Q32" s="145">
        <f>IFERROR('P&amp;L(OUTPUT)'!P33/'P&amp;L(OUTPUT)'!P$7*-1,"-")</f>
        <v>4.2479688577142525E-3</v>
      </c>
      <c r="R32" s="145">
        <f>IFERROR('P&amp;L(OUTPUT)'!Q33/'P&amp;L(OUTPUT)'!Q$7*-1,"-")</f>
        <v>4.2479688577142525E-3</v>
      </c>
      <c r="S32" s="231">
        <f t="shared" si="4"/>
        <v>5.5216075743669329E-3</v>
      </c>
      <c r="T32" s="235">
        <f t="shared" si="5"/>
        <v>6.2450824654616873E-3</v>
      </c>
      <c r="U32" s="155"/>
      <c r="V32" s="8">
        <f t="shared" si="6"/>
        <v>4.2479688577142525E-3</v>
      </c>
      <c r="W32" s="8">
        <f t="shared" si="7"/>
        <v>4.2479688577142525E-3</v>
      </c>
      <c r="X32" s="157"/>
    </row>
    <row r="33" spans="1:24" ht="15.6">
      <c r="E33" s="3" t="s">
        <v>487</v>
      </c>
      <c r="H33" s="145">
        <f>IFERROR('P&amp;L(OUTPUT)'!G38/'P&amp;L(OUTPUT)'!G$7*1,"-")</f>
        <v>3.95216172290319E-2</v>
      </c>
      <c r="I33" s="145">
        <f>IFERROR('P&amp;L(OUTPUT)'!H38/'P&amp;L(OUTPUT)'!H$7*1,"-")</f>
        <v>3.4782189996699943E-2</v>
      </c>
      <c r="J33" s="145">
        <f>IFERROR('P&amp;L(OUTPUT)'!I38/'P&amp;L(OUTPUT)'!I$7*1,"-")</f>
        <v>3.5152867591517901E-2</v>
      </c>
      <c r="K33" s="145">
        <f>IFERROR('P&amp;L(OUTPUT)'!J38/'P&amp;L(OUTPUT)'!J$7*1,"-")</f>
        <v>3.4073911130664318E-2</v>
      </c>
      <c r="L33" s="145">
        <f>IFERROR('P&amp;L(OUTPUT)'!K38/'P&amp;L(OUTPUT)'!K$7*1,"-")</f>
        <v>3.6107223281426216E-2</v>
      </c>
      <c r="M33" s="158">
        <f>IFERROR('P&amp;L(OUTPUT)'!L38/'P&amp;L(OUTPUT)'!L$7*1,"-")</f>
        <v>3.8629162984208869E-2</v>
      </c>
      <c r="N33" s="145">
        <f>IFERROR('P&amp;L(OUTPUT)'!M38/'P&amp;L(OUTPUT)'!M$7*1,"-")</f>
        <v>3.637782870225819E-2</v>
      </c>
      <c r="O33" s="145">
        <f>IFERROR('P&amp;L(OUTPUT)'!N38/'P&amp;L(OUTPUT)'!N$7*1,"-")</f>
        <v>3.637782870225819E-2</v>
      </c>
      <c r="P33" s="145">
        <f>IFERROR('P&amp;L(OUTPUT)'!O38/'P&amp;L(OUTPUT)'!O$7*1,"-")</f>
        <v>3.637782870225819E-2</v>
      </c>
      <c r="Q33" s="145">
        <f>IFERROR('P&amp;L(OUTPUT)'!P38/'P&amp;L(OUTPUT)'!P$7*1,"-")</f>
        <v>3.637782870225819E-2</v>
      </c>
      <c r="R33" s="145">
        <f>IFERROR('P&amp;L(OUTPUT)'!Q38/'P&amp;L(OUTPUT)'!Q$7*1,"-")</f>
        <v>3.637782870225819E-2</v>
      </c>
      <c r="S33" s="231">
        <f t="shared" si="4"/>
        <v>3.637782870225819E-2</v>
      </c>
      <c r="T33" s="235">
        <f t="shared" si="5"/>
        <v>3.5630045436472059E-2</v>
      </c>
      <c r="U33" s="155"/>
      <c r="V33" s="8">
        <f t="shared" si="6"/>
        <v>3.637782870225819E-2</v>
      </c>
      <c r="W33" s="8">
        <f t="shared" si="7"/>
        <v>3.637782870225819E-2</v>
      </c>
      <c r="X33" s="157"/>
    </row>
    <row r="34" spans="1:24" ht="15.6">
      <c r="E34" s="3" t="s">
        <v>485</v>
      </c>
      <c r="H34" s="145">
        <f>IFERROR('P&amp;L(OUTPUT)'!G41/'P&amp;L(OUTPUT)'!G$7*1,"-")</f>
        <v>0.21922855274318984</v>
      </c>
      <c r="I34" s="145">
        <f>IFERROR('P&amp;L(OUTPUT)'!H41/'P&amp;L(OUTPUT)'!H$7*1,"-")</f>
        <v>0.20245590423476723</v>
      </c>
      <c r="J34" s="145">
        <f>IFERROR('P&amp;L(OUTPUT)'!I41/'P&amp;L(OUTPUT)'!I$7*1,"-")</f>
        <v>0.1989316770758488</v>
      </c>
      <c r="K34" s="145">
        <f>IFERROR('P&amp;L(OUTPUT)'!J41/'P&amp;L(OUTPUT)'!J$7*1,"-")</f>
        <v>0.21547252424947103</v>
      </c>
      <c r="L34" s="145">
        <f>IFERROR('P&amp;L(OUTPUT)'!K41/'P&amp;L(OUTPUT)'!K$7*1,"-")</f>
        <v>0.20851746951880304</v>
      </c>
      <c r="M34" s="158">
        <f>IFERROR('P&amp;L(OUTPUT)'!L41/'P&amp;L(OUTPUT)'!L$7*1,"-")</f>
        <v>0.19256992044156532</v>
      </c>
      <c r="N34" s="145">
        <f>IFERROR('P&amp;L(OUTPUT)'!M41/'P&amp;L(OUTPUT)'!M$7*1,"-")</f>
        <v>0.18799605224469557</v>
      </c>
      <c r="O34" s="145">
        <f>IFERROR('P&amp;L(OUTPUT)'!N41/'P&amp;L(OUTPUT)'!N$7*1,"-")</f>
        <v>0.1960045792940415</v>
      </c>
      <c r="P34" s="145">
        <f>IFERROR('P&amp;L(OUTPUT)'!O41/'P&amp;L(OUTPUT)'!O$7*1,"-")</f>
        <v>0.19601100344894942</v>
      </c>
      <c r="Q34" s="145">
        <f>IFERROR('P&amp;L(OUTPUT)'!P41/'P&amp;L(OUTPUT)'!P$7*1,"-")</f>
        <v>0.19701657383143853</v>
      </c>
      <c r="R34" s="145">
        <f>IFERROR('P&amp;L(OUTPUT)'!Q41/'P&amp;L(OUTPUT)'!Q$7*1,"-")</f>
        <v>0.20102141209690128</v>
      </c>
      <c r="S34" s="231">
        <f t="shared" si="4"/>
        <v>0.20619600804394089</v>
      </c>
      <c r="T34" s="235">
        <f t="shared" si="5"/>
        <v>0.20548668687678512</v>
      </c>
      <c r="U34" s="155"/>
      <c r="V34" s="8">
        <f t="shared" si="6"/>
        <v>0.19560992418320527</v>
      </c>
      <c r="W34" s="8">
        <f t="shared" si="7"/>
        <v>0.19601100344894942</v>
      </c>
      <c r="X34" s="157"/>
    </row>
    <row r="35" spans="1:24" ht="15.6">
      <c r="C35" s="2" t="s">
        <v>476</v>
      </c>
      <c r="E35" s="3" t="s">
        <v>486</v>
      </c>
      <c r="H35" s="145">
        <f>IFERROR('P&amp;L(OUTPUT)'!G47/'P&amp;L(OUTPUT)'!G$7*1,"-")</f>
        <v>0.17579984071174662</v>
      </c>
      <c r="I35" s="145">
        <f>IFERROR('P&amp;L(OUTPUT)'!H47/'P&amp;L(OUTPUT)'!H$7*1,"-")</f>
        <v>0.16973478536087541</v>
      </c>
      <c r="J35" s="145">
        <f>IFERROR('P&amp;L(OUTPUT)'!I47/'P&amp;L(OUTPUT)'!I$7*1,"-")</f>
        <v>0.16672308811879358</v>
      </c>
      <c r="K35" s="145">
        <f>IFERROR('P&amp;L(OUTPUT)'!J47/'P&amp;L(OUTPUT)'!J$7*1,"-")</f>
        <v>0.17765068191816985</v>
      </c>
      <c r="L35" s="145">
        <f>IFERROR('P&amp;L(OUTPUT)'!K47/'P&amp;L(OUTPUT)'!K$7*1,"-")</f>
        <v>0.16017552173449862</v>
      </c>
      <c r="M35" s="158">
        <f>IFERROR('P&amp;L(OUTPUT)'!L47/'P&amp;L(OUTPUT)'!L$7*1,"-")</f>
        <v>0.14769958776709921</v>
      </c>
      <c r="N35" s="145">
        <f>IFERROR('P&amp;L(OUTPUT)'!M47/'P&amp;L(OUTPUT)'!M$7*1,"-")</f>
        <v>0.1441929720716815</v>
      </c>
      <c r="O35" s="145">
        <f>IFERROR('P&amp;L(OUTPUT)'!N47/'P&amp;L(OUTPUT)'!N$7*1,"-")</f>
        <v>0.15033551231852985</v>
      </c>
      <c r="P35" s="145">
        <f>IFERROR('P&amp;L(OUTPUT)'!O47/'P&amp;L(OUTPUT)'!O$7*1,"-")</f>
        <v>0.15034043964534421</v>
      </c>
      <c r="Q35" s="145">
        <f>IFERROR('P&amp;L(OUTPUT)'!P47/'P&amp;L(OUTPUT)'!P$7*1,"-")</f>
        <v>0.15111171212871333</v>
      </c>
      <c r="R35" s="145">
        <f>IFERROR('P&amp;L(OUTPUT)'!Q47/'P&amp;L(OUTPUT)'!Q$7*1,"-")</f>
        <v>0.15418342307832331</v>
      </c>
      <c r="S35" s="231">
        <f t="shared" si="4"/>
        <v>0.16629725093519723</v>
      </c>
      <c r="T35" s="235">
        <f t="shared" si="5"/>
        <v>0.16822893673983449</v>
      </c>
      <c r="U35" s="155"/>
      <c r="V35" s="8">
        <f t="shared" si="6"/>
        <v>0.15003281184851844</v>
      </c>
      <c r="W35" s="8">
        <f t="shared" si="7"/>
        <v>0.15034043964534421</v>
      </c>
      <c r="X35" s="157"/>
    </row>
    <row r="36" spans="1:24" ht="15.6">
      <c r="C36" s="2" t="s">
        <v>626</v>
      </c>
      <c r="E36" s="3" t="s">
        <v>625</v>
      </c>
      <c r="H36" s="145">
        <f>IFERROR('P&amp;L(OUTPUT)'!G54/'P&amp;L(OUTPUT)'!G52,"-")</f>
        <v>0.9768508287292812</v>
      </c>
      <c r="I36" s="145">
        <f>IFERROR('P&amp;L(OUTPUT)'!H54/'P&amp;L(OUTPUT)'!H52,"-")</f>
        <v>0.33727833168429855</v>
      </c>
      <c r="J36" s="145">
        <f>IFERROR('P&amp;L(OUTPUT)'!I54/'P&amp;L(OUTPUT)'!I52,"-")</f>
        <v>0.36722769747156303</v>
      </c>
      <c r="K36" s="145">
        <f>IFERROR('P&amp;L(OUTPUT)'!J54/'P&amp;L(OUTPUT)'!J52,"-")</f>
        <v>0.49635309795042326</v>
      </c>
      <c r="L36" s="145">
        <f>IFERROR('P&amp;L(OUTPUT)'!K54/'P&amp;L(OUTPUT)'!K52,"-")</f>
        <v>0.52849721919614689</v>
      </c>
      <c r="M36" s="158">
        <f>IFERROR('P&amp;L(OUTPUT)'!L54/'P&amp;L(OUTPUT)'!L52,"-")</f>
        <v>0.54236388406069447</v>
      </c>
      <c r="N36" s="145">
        <f>IFERROR('P&amp;L(OUTPUT)'!M54/'P&amp;L(OUTPUT)'!M52,"-")</f>
        <v>0.5</v>
      </c>
      <c r="O36" s="145">
        <f>IFERROR('P&amp;L(OUTPUT)'!N54/'P&amp;L(OUTPUT)'!N52,"-")</f>
        <v>0.5</v>
      </c>
      <c r="P36" s="145">
        <f>IFERROR('P&amp;L(OUTPUT)'!O54/'P&amp;L(OUTPUT)'!O52,"-")</f>
        <v>0.5</v>
      </c>
      <c r="Q36" s="145">
        <f>IFERROR('P&amp;L(OUTPUT)'!P54/'P&amp;L(OUTPUT)'!P52,"-")</f>
        <v>0.5</v>
      </c>
      <c r="R36" s="145">
        <f>IFERROR('P&amp;L(OUTPUT)'!Q54/'P&amp;L(OUTPUT)'!Q52,"-")</f>
        <v>0.5</v>
      </c>
      <c r="S36" s="231">
        <f t="shared" si="4"/>
        <v>0.54142850984873447</v>
      </c>
      <c r="T36" s="235">
        <f t="shared" si="5"/>
        <v>0.51242515857328508</v>
      </c>
      <c r="U36" s="155"/>
      <c r="V36" s="8">
        <f t="shared" si="6"/>
        <v>0.5</v>
      </c>
      <c r="W36" s="8">
        <f t="shared" si="7"/>
        <v>0.5</v>
      </c>
      <c r="X36" s="157"/>
    </row>
    <row r="37" spans="1:24" ht="15.6">
      <c r="C37" s="2" t="s">
        <v>634</v>
      </c>
      <c r="E37" s="3" t="s">
        <v>630</v>
      </c>
      <c r="H37" s="208">
        <f>IFERROR(1-H36,"-")</f>
        <v>2.3149171270718805E-2</v>
      </c>
      <c r="I37" s="208">
        <f t="shared" ref="I37:R37" si="8">IFERROR(1-I36,"-")</f>
        <v>0.66272166831570145</v>
      </c>
      <c r="J37" s="208">
        <f t="shared" si="8"/>
        <v>0.63277230252843697</v>
      </c>
      <c r="K37" s="208">
        <f t="shared" si="8"/>
        <v>0.50364690204957674</v>
      </c>
      <c r="L37" s="208">
        <f t="shared" si="8"/>
        <v>0.47150278080385311</v>
      </c>
      <c r="M37" s="209">
        <f t="shared" si="8"/>
        <v>0.45763611593930553</v>
      </c>
      <c r="N37" s="208">
        <f t="shared" si="8"/>
        <v>0.5</v>
      </c>
      <c r="O37" s="208">
        <f t="shared" si="8"/>
        <v>0.5</v>
      </c>
      <c r="P37" s="208">
        <f t="shared" si="8"/>
        <v>0.5</v>
      </c>
      <c r="Q37" s="208">
        <f t="shared" si="8"/>
        <v>0.5</v>
      </c>
      <c r="R37" s="208">
        <f t="shared" si="8"/>
        <v>0.5</v>
      </c>
      <c r="S37" s="231">
        <f t="shared" si="4"/>
        <v>0.45857149015126547</v>
      </c>
      <c r="T37" s="235">
        <f t="shared" si="5"/>
        <v>0.48757484142671492</v>
      </c>
      <c r="U37" s="155"/>
      <c r="V37" s="8">
        <f t="shared" si="6"/>
        <v>0.5</v>
      </c>
      <c r="W37" s="8">
        <f t="shared" si="7"/>
        <v>0.5</v>
      </c>
      <c r="X37" s="157"/>
    </row>
    <row r="38" spans="1:24">
      <c r="A38" s="149"/>
      <c r="B38" s="149"/>
      <c r="C38" s="149"/>
      <c r="D38" s="149"/>
      <c r="E38" s="149"/>
      <c r="F38" s="149"/>
      <c r="G38" s="149"/>
      <c r="H38" s="150"/>
      <c r="I38" s="150"/>
      <c r="J38" s="150"/>
      <c r="K38" s="150"/>
      <c r="L38" s="150"/>
      <c r="M38" s="161"/>
      <c r="N38" s="150"/>
      <c r="O38" s="149"/>
      <c r="P38" s="149"/>
      <c r="Q38" s="149"/>
      <c r="R38" s="149"/>
      <c r="S38" s="234"/>
      <c r="T38" s="149"/>
      <c r="U38" s="268"/>
      <c r="V38" s="149"/>
      <c r="W38" s="149"/>
      <c r="X38" s="274"/>
    </row>
    <row r="39" spans="1:24">
      <c r="M39" s="157"/>
      <c r="S39" s="229"/>
      <c r="T39" s="64"/>
      <c r="U39" s="155"/>
      <c r="X39" s="157"/>
    </row>
    <row r="40" spans="1:24" ht="15.6">
      <c r="D40" s="3" t="s">
        <v>490</v>
      </c>
      <c r="M40" s="157"/>
      <c r="S40" s="229"/>
      <c r="T40" s="64"/>
      <c r="U40" s="155"/>
      <c r="X40" s="157"/>
    </row>
    <row r="41" spans="1:24" ht="15.6">
      <c r="E41" s="3" t="s">
        <v>505</v>
      </c>
      <c r="H41" s="119" t="s">
        <v>158</v>
      </c>
      <c r="I41" s="154">
        <f>AVERAGE(('BS(OUTPUT)'!H24,'BS(OUTPUT)'!G24))</f>
        <v>1278.355</v>
      </c>
      <c r="J41" s="154">
        <f>AVERAGE(('BS(OUTPUT)'!I24,'BS(OUTPUT)'!H24))</f>
        <v>1340.05</v>
      </c>
      <c r="K41" s="154">
        <f>AVERAGE(('BS(OUTPUT)'!J24,'BS(OUTPUT)'!I24))</f>
        <v>1556.925</v>
      </c>
      <c r="L41" s="154">
        <f>AVERAGE(('BS(OUTPUT)'!K24,'BS(OUTPUT)'!J24))</f>
        <v>1822.8249999999998</v>
      </c>
      <c r="M41" s="163">
        <f>AVERAGE(('BS(OUTPUT)'!L24,'BS(OUTPUT)'!K24))</f>
        <v>1967.7849999999999</v>
      </c>
      <c r="N41" s="154">
        <f>AVERAGE(('BS(OUTPUT)'!M24,'BS(OUTPUT)'!L24))</f>
        <v>2089.8581774672466</v>
      </c>
      <c r="O41" s="154">
        <f>AVERAGE(('BS(OUTPUT)'!N24,'BS(OUTPUT)'!M24))</f>
        <v>2258.2037780002397</v>
      </c>
      <c r="P41" s="154">
        <f>AVERAGE(('BS(OUTPUT)'!O24,'BS(OUTPUT)'!N24))</f>
        <v>2413.5719304948848</v>
      </c>
      <c r="Q41" s="154">
        <f>AVERAGE(('BS(OUTPUT)'!P24,'BS(OUTPUT)'!O24))</f>
        <v>2577.5296556244439</v>
      </c>
      <c r="R41" s="154">
        <f>AVERAGE(('BS(OUTPUT)'!Q24,'BS(OUTPUT)'!P24))</f>
        <v>2734.4354629292047</v>
      </c>
      <c r="S41" s="229"/>
      <c r="T41" s="64"/>
      <c r="U41" s="155"/>
      <c r="X41" s="157"/>
    </row>
    <row r="42" spans="1:24" ht="15.6">
      <c r="E42" s="3" t="s">
        <v>511</v>
      </c>
      <c r="H42" s="119" t="s">
        <v>158</v>
      </c>
      <c r="I42" s="154">
        <f>AVERAGE(('BS(OUTPUT)'!H27,'BS(OUTPUT)'!G27))</f>
        <v>769.81999999999994</v>
      </c>
      <c r="J42" s="154">
        <f>AVERAGE(('BS(OUTPUT)'!I27,'BS(OUTPUT)'!H27))</f>
        <v>823.72499999999991</v>
      </c>
      <c r="K42" s="154">
        <f>AVERAGE(('BS(OUTPUT)'!J27,'BS(OUTPUT)'!I27))</f>
        <v>687.73500000000001</v>
      </c>
      <c r="L42" s="154">
        <f>AVERAGE(('BS(OUTPUT)'!K27,'BS(OUTPUT)'!J27))</f>
        <v>603.86500000000001</v>
      </c>
      <c r="M42" s="163">
        <f>AVERAGE(('BS(OUTPUT)'!L27,'BS(OUTPUT)'!K27))</f>
        <v>747.45</v>
      </c>
      <c r="N42" s="154">
        <f>AVERAGE(('BS(OUTPUT)'!M27,'BS(OUTPUT)'!L27))</f>
        <v>916.46664850262687</v>
      </c>
      <c r="O42" s="154">
        <f>AVERAGE(('BS(OUTPUT)'!N27,'BS(OUTPUT)'!M27))</f>
        <v>1003.6144951709887</v>
      </c>
      <c r="P42" s="154">
        <f>AVERAGE(('BS(OUTPUT)'!O27,'BS(OUTPUT)'!N27))</f>
        <v>1078.8855823088129</v>
      </c>
      <c r="Q42" s="154">
        <f>AVERAGE(('BS(OUTPUT)'!P27,'BS(OUTPUT)'!O27))</f>
        <v>1154.4075730704299</v>
      </c>
      <c r="R42" s="154">
        <f>AVERAGE(('BS(OUTPUT)'!Q27,'BS(OUTPUT)'!P27))</f>
        <v>1229.4440653200079</v>
      </c>
      <c r="S42" s="229"/>
      <c r="T42" s="64"/>
      <c r="U42" s="155"/>
      <c r="X42" s="157"/>
    </row>
    <row r="43" spans="1:24" ht="15.6">
      <c r="E43" s="3" t="s">
        <v>515</v>
      </c>
      <c r="H43" s="119" t="s">
        <v>158</v>
      </c>
      <c r="I43" s="154">
        <f>AVERAGE(('BS(OUTPUT)'!H63,'BS(OUTPUT)'!G63))</f>
        <v>1432.875</v>
      </c>
      <c r="J43" s="154">
        <f>AVERAGE(('BS(OUTPUT)'!I63,'BS(OUTPUT)'!H63))</f>
        <v>1468.79</v>
      </c>
      <c r="K43" s="154">
        <f>AVERAGE(('BS(OUTPUT)'!J63,'BS(OUTPUT)'!I63))</f>
        <v>1698.7050000000002</v>
      </c>
      <c r="L43" s="154">
        <f>AVERAGE(('BS(OUTPUT)'!K63,'BS(OUTPUT)'!J63))</f>
        <v>1966.605</v>
      </c>
      <c r="M43" s="163">
        <f>AVERAGE(('BS(OUTPUT)'!L63,'BS(OUTPUT)'!K63))</f>
        <v>2102.2799999999997</v>
      </c>
      <c r="N43" s="154">
        <f>AVERAGE(('BS(OUTPUT)'!M63,'BS(OUTPUT)'!L63))</f>
        <v>2280.3676962043792</v>
      </c>
      <c r="O43" s="154">
        <f>AVERAGE(('BS(OUTPUT)'!N63,'BS(OUTPUT)'!M63))</f>
        <v>2464.0595243832709</v>
      </c>
      <c r="P43" s="154">
        <f>AVERAGE(('BS(OUTPUT)'!O63,'BS(OUTPUT)'!N63))</f>
        <v>2633.5908924865003</v>
      </c>
      <c r="Q43" s="154">
        <f>AVERAGE(('BS(OUTPUT)'!P63,'BS(OUTPUT)'!O63))</f>
        <v>2812.4948506401215</v>
      </c>
      <c r="R43" s="154">
        <f>AVERAGE(('BS(OUTPUT)'!Q63,'BS(OUTPUT)'!P63))</f>
        <v>2983.7040447292043</v>
      </c>
      <c r="S43" s="229"/>
      <c r="T43" s="64"/>
      <c r="U43" s="155"/>
      <c r="X43" s="157"/>
    </row>
    <row r="44" spans="1:24" ht="15.6">
      <c r="E44" s="3" t="s">
        <v>517</v>
      </c>
      <c r="H44" s="119" t="s">
        <v>158</v>
      </c>
      <c r="I44" s="154">
        <f>AVERAGE('BS(OUTPUT)'!H76,'BS(OUTPUT)'!G76)</f>
        <v>965.61500000000069</v>
      </c>
      <c r="J44" s="154">
        <f>AVERAGE('BS(OUTPUT)'!I76,'BS(OUTPUT)'!H76)</f>
        <v>1671.1500000000005</v>
      </c>
      <c r="K44" s="154">
        <f>AVERAGE('BS(OUTPUT)'!J76,'BS(OUTPUT)'!I76)</f>
        <v>2129.0649999999996</v>
      </c>
      <c r="L44" s="154">
        <f>AVERAGE('BS(OUTPUT)'!K76,'BS(OUTPUT)'!J76)</f>
        <v>1418.0250000000001</v>
      </c>
      <c r="M44" s="163">
        <f>AVERAGE('BS(OUTPUT)'!L76,'BS(OUTPUT)'!K76)</f>
        <v>816.91500000000065</v>
      </c>
      <c r="N44" s="154">
        <f>AVERAGE('BS(OUTPUT)'!M76,'BS(OUTPUT)'!L76)</f>
        <v>1031.8624456783959</v>
      </c>
      <c r="O44" s="154">
        <f>AVERAGE('BS(OUTPUT)'!N76,'BS(OUTPUT)'!M76)</f>
        <v>1861.6321994272405</v>
      </c>
      <c r="P44" s="154">
        <f>AVERAGE('BS(OUTPUT)'!O76,'BS(OUTPUT)'!N76)</f>
        <v>2835.7966387329279</v>
      </c>
      <c r="Q44" s="154">
        <f>AVERAGE('BS(OUTPUT)'!P76,'BS(OUTPUT)'!O76)</f>
        <v>3919.1791935791789</v>
      </c>
      <c r="R44" s="154">
        <f>AVERAGE('BS(OUTPUT)'!Q76,'BS(OUTPUT)'!P76)</f>
        <v>5042.0037613242966</v>
      </c>
      <c r="S44" s="229"/>
      <c r="T44" s="64"/>
      <c r="U44" s="155"/>
      <c r="X44" s="157"/>
    </row>
    <row r="45" spans="1:24" ht="15.6">
      <c r="E45" s="3" t="s">
        <v>520</v>
      </c>
      <c r="H45" s="119" t="s">
        <v>158</v>
      </c>
      <c r="I45" s="154">
        <f>AVERAGE('BS(OUTPUT)'!H77,'BS(OUTPUT)'!G77)</f>
        <v>615.3000000000003</v>
      </c>
      <c r="J45" s="154">
        <f>AVERAGE('BS(OUTPUT)'!I77,'BS(OUTPUT)'!H77)</f>
        <v>694.98500000000013</v>
      </c>
      <c r="K45" s="154">
        <f>AVERAGE('BS(OUTPUT)'!J77,'BS(OUTPUT)'!I77)</f>
        <v>545.95499999999993</v>
      </c>
      <c r="L45" s="154">
        <f>AVERAGE('BS(OUTPUT)'!K77,'BS(OUTPUT)'!J77)</f>
        <v>460.08499999999992</v>
      </c>
      <c r="M45" s="163">
        <f>AVERAGE('BS(OUTPUT)'!L77,'BS(OUTPUT)'!K77)</f>
        <v>612.95500000000004</v>
      </c>
      <c r="N45" s="154">
        <f>AVERAGE('BS(OUTPUT)'!M77,'BS(OUTPUT)'!L77)</f>
        <v>725.9571297654943</v>
      </c>
      <c r="O45" s="154">
        <f>AVERAGE('BS(OUTPUT)'!N77,'BS(OUTPUT)'!M77)</f>
        <v>797.75874878795753</v>
      </c>
      <c r="P45" s="154">
        <f>AVERAGE('BS(OUTPUT)'!O77,'BS(OUTPUT)'!N77)</f>
        <v>858.86662031719743</v>
      </c>
      <c r="Q45" s="154">
        <f>AVERAGE('BS(OUTPUT)'!P77,'BS(OUTPUT)'!O77)</f>
        <v>919.44237805475223</v>
      </c>
      <c r="R45" s="154">
        <f>AVERAGE('BS(OUTPUT)'!Q77,'BS(OUTPUT)'!P77)</f>
        <v>980.17548352000836</v>
      </c>
      <c r="S45" s="229"/>
      <c r="T45" s="64"/>
      <c r="U45" s="155"/>
      <c r="X45" s="157"/>
    </row>
    <row r="46" spans="1:24" ht="15.6">
      <c r="C46" s="2" t="s">
        <v>531</v>
      </c>
      <c r="E46" s="3" t="s">
        <v>530</v>
      </c>
      <c r="H46" s="119" t="s">
        <v>158</v>
      </c>
      <c r="I46" s="154">
        <f>AVERAGE('BS(OUTPUT)'!H7,'BS(OUTPUT)'!G7)</f>
        <v>1550.0349999999999</v>
      </c>
      <c r="J46" s="154">
        <f>AVERAGE('BS(OUTPUT)'!I7,'BS(OUTPUT)'!H7)</f>
        <v>1684.4749999999999</v>
      </c>
      <c r="K46" s="154">
        <f>AVERAGE('BS(OUTPUT)'!J7,'BS(OUTPUT)'!I7)</f>
        <v>1816.3400000000001</v>
      </c>
      <c r="L46" s="154">
        <f>AVERAGE('BS(OUTPUT)'!K7,'BS(OUTPUT)'!J7)</f>
        <v>1889.825</v>
      </c>
      <c r="M46" s="163">
        <f>AVERAGE('BS(OUTPUT)'!L7,'BS(OUTPUT)'!K7)</f>
        <v>2102.7849999999999</v>
      </c>
      <c r="N46" s="154">
        <f>AVERAGE('BS(OUTPUT)'!M7,'BS(OUTPUT)'!L7)</f>
        <v>2323.1926266901655</v>
      </c>
      <c r="O46" s="154">
        <f>AVERAGE('BS(OUTPUT)'!N7,'BS(OUTPUT)'!M7)</f>
        <v>2502.4750776018936</v>
      </c>
      <c r="P46" s="154">
        <f>AVERAGE('BS(OUTPUT)'!O7,'BS(OUTPUT)'!N7)</f>
        <v>2696.9229628616358</v>
      </c>
      <c r="Q46" s="154">
        <f>AVERAGE('BS(OUTPUT)'!P7,'BS(OUTPUT)'!O7)</f>
        <v>2905.4507492106677</v>
      </c>
      <c r="R46" s="154">
        <f>AVERAGE('BS(OUTPUT)'!Q7,'BS(OUTPUT)'!P7)</f>
        <v>3128.0365319775774</v>
      </c>
      <c r="S46" s="229"/>
      <c r="T46" s="64"/>
      <c r="U46" s="155"/>
      <c r="X46" s="157"/>
    </row>
    <row r="47" spans="1:24" ht="15.6">
      <c r="E47" s="3" t="s">
        <v>533</v>
      </c>
      <c r="H47" s="119" t="s">
        <v>158</v>
      </c>
      <c r="I47" s="154">
        <f>AVERAGE('BS(OUTPUT)'!H36,'BS(OUTPUT)'!G36)</f>
        <v>8569.1349999999984</v>
      </c>
      <c r="J47" s="154">
        <f>AVERAGE('BS(OUTPUT)'!I36,'BS(OUTPUT)'!H36)</f>
        <v>8895.3250000000007</v>
      </c>
      <c r="K47" s="154">
        <f>AVERAGE('BS(OUTPUT)'!J36,'BS(OUTPUT)'!I36)</f>
        <v>10100.57</v>
      </c>
      <c r="L47" s="154">
        <f>AVERAGE('BS(OUTPUT)'!K36,'BS(OUTPUT)'!J36)</f>
        <v>11565.829999999998</v>
      </c>
      <c r="M47" s="163">
        <f>AVERAGE('BS(OUTPUT)'!L36,'BS(OUTPUT)'!K36)</f>
        <v>12969.449999999999</v>
      </c>
      <c r="N47" s="154">
        <f>AVERAGE('BS(OUTPUT)'!M36,'BS(OUTPUT)'!L36)</f>
        <v>14212.055</v>
      </c>
      <c r="O47" s="154">
        <f>AVERAGE('BS(OUTPUT)'!N36,'BS(OUTPUT)'!M36)</f>
        <v>15388.67</v>
      </c>
      <c r="P47" s="154">
        <f>AVERAGE('BS(OUTPUT)'!O36,'BS(OUTPUT)'!N36)</f>
        <v>16655.759999999998</v>
      </c>
      <c r="Q47" s="154">
        <f>AVERAGE('BS(OUTPUT)'!P36,'BS(OUTPUT)'!O36)</f>
        <v>18014.555</v>
      </c>
      <c r="R47" s="154">
        <f>AVERAGE('BS(OUTPUT)'!Q36,'BS(OUTPUT)'!P36)</f>
        <v>19461.129999999997</v>
      </c>
      <c r="S47" s="229"/>
      <c r="T47" s="64"/>
      <c r="U47" s="155"/>
      <c r="X47" s="157"/>
    </row>
    <row r="48" spans="1:24" ht="15.6">
      <c r="E48" s="3" t="s">
        <v>543</v>
      </c>
      <c r="H48" s="119" t="s">
        <v>158</v>
      </c>
      <c r="I48" s="154">
        <f>AVERAGE('BS(OUTPUT)'!H78,'BS(OUTPUT)'!G78)</f>
        <v>5992.8050000000003</v>
      </c>
      <c r="J48" s="154">
        <f>AVERAGE('BS(OUTPUT)'!I78,'BS(OUTPUT)'!H78)</f>
        <v>6299.31</v>
      </c>
      <c r="K48" s="154">
        <f>AVERAGE('BS(OUTPUT)'!J78,'BS(OUTPUT)'!I78)</f>
        <v>7364.96</v>
      </c>
      <c r="L48" s="154">
        <f>AVERAGE('BS(OUTPUT)'!K78,'BS(OUTPUT)'!J78)</f>
        <v>8398.8450000000012</v>
      </c>
      <c r="M48" s="163">
        <f>AVERAGE('BS(OUTPUT)'!L78,'BS(OUTPUT)'!K78)</f>
        <v>9249.1049999999996</v>
      </c>
      <c r="N48" s="154">
        <f>AVERAGE('BS(OUTPUT)'!M78,'BS(OUTPUT)'!L78)</f>
        <v>10032.301793230232</v>
      </c>
      <c r="O48" s="154">
        <f>AVERAGE('BS(OUTPUT)'!N78,'BS(OUTPUT)'!M78)</f>
        <v>11007.933093312477</v>
      </c>
      <c r="P48" s="154">
        <f>AVERAGE('BS(OUTPUT)'!O78,'BS(OUTPUT)'!N78)</f>
        <v>12087.157895060351</v>
      </c>
      <c r="Q48" s="154">
        <f>AVERAGE('BS(OUTPUT)'!P78,'BS(OUTPUT)'!O78)</f>
        <v>13247.616453726654</v>
      </c>
      <c r="R48" s="154">
        <f>AVERAGE('BS(OUTPUT)'!Q78,'BS(OUTPUT)'!P78)</f>
        <v>14502.387726995097</v>
      </c>
      <c r="S48" s="229"/>
      <c r="T48" s="64"/>
      <c r="U48" s="155"/>
      <c r="X48" s="157"/>
    </row>
    <row r="49" spans="1:24" ht="15.6">
      <c r="C49" s="2" t="s">
        <v>550</v>
      </c>
      <c r="E49" s="3" t="s">
        <v>549</v>
      </c>
      <c r="H49" s="119" t="s">
        <v>158</v>
      </c>
      <c r="I49" s="154">
        <f>AVERAGE('BS(OUTPUT)'!H79,'BS(OUTPUT)'!G79)</f>
        <v>5669.1</v>
      </c>
      <c r="J49" s="154">
        <f>AVERAGE('BS(OUTPUT)'!I79,'BS(OUTPUT)'!H79)</f>
        <v>6118.7150000000001</v>
      </c>
      <c r="K49" s="154">
        <f>AVERAGE('BS(OUTPUT)'!J79,'BS(OUTPUT)'!I79)</f>
        <v>7134.6399999999994</v>
      </c>
      <c r="L49" s="154">
        <f>AVERAGE('BS(OUTPUT)'!K79,'BS(OUTPUT)'!J79)</f>
        <v>8022.4150000000009</v>
      </c>
      <c r="M49" s="163">
        <f>AVERAGE('BS(OUTPUT)'!L79,'BS(OUTPUT)'!K79)</f>
        <v>8677.2800000000007</v>
      </c>
      <c r="N49" s="154">
        <f>AVERAGE('BS(OUTPUT)'!M79,'BS(OUTPUT)'!L79)</f>
        <v>9428.7917932302298</v>
      </c>
      <c r="O49" s="154">
        <f>AVERAGE('BS(OUTPUT)'!N79,'BS(OUTPUT)'!M79)</f>
        <v>10404.423093312476</v>
      </c>
      <c r="P49" s="154">
        <f>AVERAGE('BS(OUTPUT)'!O79,'BS(OUTPUT)'!N79)</f>
        <v>11483.647895060352</v>
      </c>
      <c r="Q49" s="154">
        <f>AVERAGE('BS(OUTPUT)'!P79,'BS(OUTPUT)'!O79)</f>
        <v>12644.106453726654</v>
      </c>
      <c r="R49" s="154">
        <f>AVERAGE('BS(OUTPUT)'!Q79,'BS(OUTPUT)'!P79)</f>
        <v>13898.877726995097</v>
      </c>
      <c r="S49" s="229"/>
      <c r="T49" s="64"/>
      <c r="U49" s="155"/>
      <c r="X49" s="157"/>
    </row>
    <row r="50" spans="1:24" ht="15.6">
      <c r="C50" s="2" t="s">
        <v>561</v>
      </c>
      <c r="E50" s="3" t="s">
        <v>564</v>
      </c>
      <c r="H50" s="119" t="s">
        <v>158</v>
      </c>
      <c r="I50" s="154">
        <f>AVERAGE('BS(OUTPUT)'!H80,'BS(OUTPUT)'!G80)</f>
        <v>676.55499999999995</v>
      </c>
      <c r="J50" s="154">
        <f>AVERAGE('BS(OUTPUT)'!I80,'BS(OUTPUT)'!H80)</f>
        <v>495.70499999999998</v>
      </c>
      <c r="K50" s="154">
        <f>AVERAGE('BS(OUTPUT)'!J80,'BS(OUTPUT)'!I80)</f>
        <v>475.2</v>
      </c>
      <c r="L50" s="154">
        <f>AVERAGE('BS(OUTPUT)'!K80,'BS(OUTPUT)'!J80)</f>
        <v>675.46</v>
      </c>
      <c r="M50" s="163">
        <f>AVERAGE('BS(OUTPUT)'!L80,'BS(OUTPUT)'!K80)</f>
        <v>933.33500000000004</v>
      </c>
      <c r="N50" s="154">
        <f>AVERAGE('BS(OUTPUT)'!M80,'BS(OUTPUT)'!L80)</f>
        <v>999.02</v>
      </c>
      <c r="O50" s="154">
        <f>AVERAGE('BS(OUTPUT)'!N80,'BS(OUTPUT)'!M80)</f>
        <v>999.02</v>
      </c>
      <c r="P50" s="154">
        <f>AVERAGE('BS(OUTPUT)'!O80,'BS(OUTPUT)'!N80)</f>
        <v>999.02</v>
      </c>
      <c r="Q50" s="154">
        <f>AVERAGE('BS(OUTPUT)'!P80,'BS(OUTPUT)'!O80)</f>
        <v>999.02</v>
      </c>
      <c r="R50" s="154">
        <f>AVERAGE('BS(OUTPUT)'!Q80,'BS(OUTPUT)'!P80)</f>
        <v>999.02</v>
      </c>
      <c r="S50" s="229"/>
      <c r="T50" s="64"/>
      <c r="U50" s="155"/>
      <c r="X50" s="157"/>
    </row>
    <row r="51" spans="1:24">
      <c r="A51" s="149"/>
      <c r="B51" s="149"/>
      <c r="C51" s="149"/>
      <c r="D51" s="149"/>
      <c r="E51" s="149"/>
      <c r="F51" s="149"/>
      <c r="G51" s="149"/>
      <c r="H51" s="150"/>
      <c r="I51" s="150"/>
      <c r="J51" s="150"/>
      <c r="K51" s="150"/>
      <c r="L51" s="150"/>
      <c r="M51" s="161"/>
      <c r="N51" s="150"/>
      <c r="O51" s="149"/>
      <c r="P51" s="149"/>
      <c r="Q51" s="149"/>
      <c r="R51" s="149"/>
      <c r="S51" s="260"/>
      <c r="T51" s="261"/>
      <c r="U51" s="268"/>
      <c r="V51" s="149"/>
      <c r="W51" s="149"/>
      <c r="X51" s="274"/>
    </row>
    <row r="52" spans="1:24">
      <c r="A52" s="59"/>
      <c r="B52" s="59"/>
      <c r="C52" s="59"/>
      <c r="D52" s="59"/>
      <c r="E52" s="59"/>
      <c r="F52" s="59"/>
      <c r="G52" s="59"/>
      <c r="H52" s="151"/>
      <c r="I52" s="151"/>
      <c r="J52" s="151"/>
      <c r="K52" s="151"/>
      <c r="L52" s="151"/>
      <c r="M52" s="162"/>
      <c r="N52" s="151"/>
      <c r="O52" s="59"/>
      <c r="P52" s="59"/>
      <c r="Q52" s="59"/>
      <c r="R52" s="59"/>
      <c r="S52" s="229"/>
      <c r="T52" s="64"/>
      <c r="U52" s="155"/>
      <c r="X52" s="157"/>
    </row>
    <row r="53" spans="1:24" ht="15.6">
      <c r="A53" s="59"/>
      <c r="B53" s="59"/>
      <c r="C53" s="59"/>
      <c r="D53" s="125" t="s">
        <v>610</v>
      </c>
      <c r="E53" s="59"/>
      <c r="F53" s="59"/>
      <c r="G53" s="59"/>
      <c r="H53" s="151"/>
      <c r="I53" s="151"/>
      <c r="J53" s="151"/>
      <c r="K53" s="151"/>
      <c r="L53" s="151"/>
      <c r="M53" s="162"/>
      <c r="N53" s="151"/>
      <c r="O53" s="59"/>
      <c r="P53" s="59"/>
      <c r="Q53" s="59"/>
      <c r="R53" s="59"/>
      <c r="S53" s="229"/>
      <c r="T53" s="64"/>
      <c r="U53" s="155"/>
      <c r="X53" s="157"/>
    </row>
    <row r="54" spans="1:24" ht="15.6">
      <c r="A54" s="59"/>
      <c r="B54" s="59"/>
      <c r="C54" s="59"/>
      <c r="D54" s="59"/>
      <c r="E54" s="125" t="s">
        <v>451</v>
      </c>
      <c r="F54" s="59"/>
      <c r="G54" s="59"/>
      <c r="H54" s="203">
        <f>'P&amp;L(OUTPUT)'!G52</f>
        <v>7.6777331598891507</v>
      </c>
      <c r="I54" s="203">
        <f>'P&amp;L(OUTPUT)'!H52</f>
        <v>8.1535033284440956</v>
      </c>
      <c r="J54" s="203">
        <f>'P&amp;L(OUTPUT)'!I52</f>
        <v>8.1693184382757806</v>
      </c>
      <c r="K54" s="203">
        <f>'P&amp;L(OUTPUT)'!J52</f>
        <v>9.5698002482789768</v>
      </c>
      <c r="L54" s="203">
        <f>'P&amp;L(OUTPUT)'!K52</f>
        <v>9.8392192259957145</v>
      </c>
      <c r="M54" s="204">
        <f>'P&amp;L(OUTPUT)'!L52</f>
        <v>9.5876590474045695</v>
      </c>
      <c r="N54" s="203">
        <f>'P&amp;L(OUTPUT)'!M52</f>
        <v>10.258569828402901</v>
      </c>
      <c r="O54" s="203">
        <f>'P&amp;L(OUTPUT)'!N52</f>
        <v>11.712633866727071</v>
      </c>
      <c r="P54" s="203">
        <f>'P&amp;L(OUTPUT)'!O52</f>
        <v>12.59149408615831</v>
      </c>
      <c r="Q54" s="203">
        <f>'P&amp;L(OUTPUT)'!P52</f>
        <v>13.54201697490018</v>
      </c>
      <c r="R54" s="203">
        <f>'P&amp;L(OUTPUT)'!Q52</f>
        <v>14.715415144645881</v>
      </c>
      <c r="S54" s="233"/>
      <c r="T54" s="177"/>
      <c r="U54" s="178"/>
      <c r="X54" s="157"/>
    </row>
    <row r="55" spans="1:24" ht="15.6">
      <c r="A55" s="59"/>
      <c r="B55" s="59"/>
      <c r="C55" s="59"/>
      <c r="D55" s="59"/>
      <c r="E55" s="125" t="s">
        <v>611</v>
      </c>
      <c r="F55" s="59"/>
      <c r="G55" s="59"/>
      <c r="H55" s="203">
        <f>'P&amp;L(OUTPUT)'!G54</f>
        <v>7.5</v>
      </c>
      <c r="I55" s="203">
        <f>'P&amp;L(OUTPUT)'!H54</f>
        <v>2.75</v>
      </c>
      <c r="J55" s="203">
        <f>'P&amp;L(OUTPUT)'!I54</f>
        <v>3</v>
      </c>
      <c r="K55" s="203">
        <f>'P&amp;L(OUTPUT)'!J54</f>
        <v>4.75</v>
      </c>
      <c r="L55" s="203">
        <f>'P&amp;L(OUTPUT)'!K54</f>
        <v>5.2</v>
      </c>
      <c r="M55" s="204">
        <f>'P&amp;L(OUTPUT)'!L54</f>
        <v>5.2</v>
      </c>
      <c r="N55" s="203">
        <f>'P&amp;L(OUTPUT)'!M53</f>
        <v>0</v>
      </c>
      <c r="O55" s="203">
        <f>'P&amp;L(OUTPUT)'!N53</f>
        <v>0</v>
      </c>
      <c r="P55" s="203">
        <f>'P&amp;L(OUTPUT)'!O53</f>
        <v>0</v>
      </c>
      <c r="Q55" s="203">
        <f>'P&amp;L(OUTPUT)'!P53</f>
        <v>0</v>
      </c>
      <c r="R55" s="203">
        <f>'P&amp;L(OUTPUT)'!Q53</f>
        <v>0</v>
      </c>
      <c r="S55" s="229"/>
      <c r="T55" s="64"/>
      <c r="U55" s="155"/>
      <c r="X55" s="157"/>
    </row>
    <row r="56" spans="1:24" ht="15.6">
      <c r="A56" s="59"/>
      <c r="B56" s="59"/>
      <c r="C56" s="59"/>
      <c r="D56" s="59"/>
      <c r="E56" s="125" t="s">
        <v>589</v>
      </c>
      <c r="F56" s="59"/>
      <c r="G56" s="59"/>
      <c r="H56" s="203">
        <f>IFERROR('P&amp;L(OUTPUT)'!G7/'P&amp;L(OUTPUT)'!G50,"-")</f>
        <v>43.673151971042365</v>
      </c>
      <c r="I56" s="203">
        <f>IFERROR('P&amp;L(OUTPUT)'!H7/'P&amp;L(OUTPUT)'!H50,"-")</f>
        <v>48.036725713640983</v>
      </c>
      <c r="J56" s="203">
        <f>IFERROR('P&amp;L(OUTPUT)'!I7/'P&amp;L(OUTPUT)'!I50,"-")</f>
        <v>48.999322951929578</v>
      </c>
      <c r="K56" s="203">
        <f>IFERROR('P&amp;L(OUTPUT)'!J7/'P&amp;L(OUTPUT)'!J50,"-")</f>
        <v>53.868637851258327</v>
      </c>
      <c r="L56" s="203">
        <f>IFERROR('P&amp;L(OUTPUT)'!K7/'P&amp;L(OUTPUT)'!K50,"-")</f>
        <v>61.427733273158076</v>
      </c>
      <c r="M56" s="204">
        <f>IFERROR('P&amp;L(OUTPUT)'!L7/'P&amp;L(OUTPUT)'!L50,"-")</f>
        <v>64.913241752054944</v>
      </c>
      <c r="N56" s="203">
        <f>IFERROR('P&amp;L(OUTPUT)'!M7/'P&amp;L(OUTPUT)'!M50,"-")</f>
        <v>71.144728352662995</v>
      </c>
      <c r="O56" s="203">
        <f>IFERROR('P&amp;L(OUTPUT)'!N7/'P&amp;L(OUTPUT)'!N50,"-")</f>
        <v>77.909960767688901</v>
      </c>
      <c r="P56" s="203">
        <f>IFERROR('P&amp;L(OUTPUT)'!O7/'P&amp;L(OUTPUT)'!O50,"-")</f>
        <v>83.753207825265562</v>
      </c>
      <c r="Q56" s="203">
        <f>IFERROR('P&amp;L(OUTPUT)'!P7/'P&amp;L(OUTPUT)'!P50,"-")</f>
        <v>89.615932373034155</v>
      </c>
      <c r="R56" s="203">
        <f>IFERROR('P&amp;L(OUTPUT)'!Q7/'P&amp;L(OUTPUT)'!Q50,"-")</f>
        <v>95.440967977281389</v>
      </c>
      <c r="S56" s="229"/>
      <c r="T56" s="64"/>
      <c r="U56" s="155"/>
      <c r="X56" s="157"/>
    </row>
    <row r="57" spans="1:24" ht="15.6">
      <c r="A57" s="59"/>
      <c r="B57" s="59"/>
      <c r="C57" s="59"/>
      <c r="D57" s="59"/>
      <c r="E57" s="125" t="s">
        <v>583</v>
      </c>
      <c r="F57" s="59"/>
      <c r="G57" s="59"/>
      <c r="H57" s="203">
        <f>IFERROR('BS(OUTPUT)'!G81/'P&amp;L(OUTPUT)'!G50,"-")</f>
        <v>32.27487133080708</v>
      </c>
      <c r="I57" s="203">
        <f>IFERROR('BS(OUTPUT)'!H81/'P&amp;L(OUTPUT)'!H50,"-")</f>
        <v>31.770732257700555</v>
      </c>
      <c r="J57" s="203">
        <f>IFERROR('BS(OUTPUT)'!I81/'P&amp;L(OUTPUT)'!I50,"-")</f>
        <v>37.270085759422251</v>
      </c>
      <c r="K57" s="203">
        <f>IFERROR('BS(OUTPUT)'!J81/'P&amp;L(OUTPUT)'!J50,"-")</f>
        <v>43.243031260580068</v>
      </c>
      <c r="L57" s="203">
        <f>IFERROR('BS(OUTPUT)'!K81/'P&amp;L(OUTPUT)'!K50,"-")</f>
        <v>47.282522847794212</v>
      </c>
      <c r="M57" s="204">
        <f>IFERROR('BS(OUTPUT)'!L81/'P&amp;L(OUTPUT)'!L50,"-")</f>
        <v>50.519423488345907</v>
      </c>
      <c r="N57" s="203">
        <f>IFERROR('BS(OUTPUT)'!M81/'P&amp;L(OUTPUT)'!M50,"-")</f>
        <v>55.648708402547356</v>
      </c>
      <c r="O57" s="203">
        <f>IFERROR('BS(OUTPUT)'!N81/'P&amp;L(OUTPUT)'!N50,"-")</f>
        <v>61.505025335910886</v>
      </c>
      <c r="P57" s="203">
        <f>IFERROR('BS(OUTPUT)'!O81/'P&amp;L(OUTPUT)'!O50,"-")</f>
        <v>67.800772378990047</v>
      </c>
      <c r="Q57" s="203">
        <f>IFERROR('BS(OUTPUT)'!P81/'P&amp;L(OUTPUT)'!P50,"-")</f>
        <v>74.571780866440136</v>
      </c>
      <c r="R57" s="203">
        <f>IFERROR('BS(OUTPUT)'!Q81/'P&amp;L(OUTPUT)'!Q50,"-")</f>
        <v>81.929488438763073</v>
      </c>
      <c r="S57" s="229"/>
      <c r="T57" s="64"/>
      <c r="U57" s="155"/>
      <c r="X57" s="157"/>
    </row>
    <row r="58" spans="1:24" ht="15.6">
      <c r="A58" s="59"/>
      <c r="B58" s="59"/>
      <c r="C58" s="59"/>
      <c r="D58" s="59"/>
      <c r="E58" s="125" t="s">
        <v>612</v>
      </c>
      <c r="F58" s="59"/>
      <c r="G58" s="59"/>
      <c r="H58" s="203">
        <f>IFERROR('CASH FLOW(OUTPUT)'!G61/'P&amp;L(OUTPUT)'!G50,"-")</f>
        <v>4.8765906905718053</v>
      </c>
      <c r="I58" s="203">
        <f>IFERROR('CASH FLOW(OUTPUT)'!H61/'P&amp;L(OUTPUT)'!H50,"-")</f>
        <v>7.5239760803339699</v>
      </c>
      <c r="J58" s="203">
        <f>IFERROR('CASH FLOW(OUTPUT)'!I61/'P&amp;L(OUTPUT)'!I50,"-")</f>
        <v>6.3776235612728316</v>
      </c>
      <c r="K58" s="203">
        <f>IFERROR('CASH FLOW(OUTPUT)'!J61/'P&amp;L(OUTPUT)'!J50,"-")</f>
        <v>10.690328405371849</v>
      </c>
      <c r="L58" s="203">
        <f>IFERROR('CASH FLOW(OUTPUT)'!K61/'P&amp;L(OUTPUT)'!K50,"-")</f>
        <v>7.9303847455714811</v>
      </c>
      <c r="M58" s="204">
        <f>IFERROR('CASH FLOW(OUTPUT)'!L61/'P&amp;L(OUTPUT)'!L50,"-")</f>
        <v>5.313984911609051</v>
      </c>
      <c r="N58" s="393">
        <f>IFERROR('CASH FLOW(OUTPUT)'!M61/'P&amp;L(OUTPUT)'!M50,"-")</f>
        <v>6.6313948999434169</v>
      </c>
      <c r="O58" s="393">
        <f>IFERROR('CASH FLOW(OUTPUT)'!N61/'P&amp;L(OUTPUT)'!N50,"-")</f>
        <v>7.8659929946162537</v>
      </c>
      <c r="P58" s="393">
        <f>IFERROR('CASH FLOW(OUTPUT)'!O61/'P&amp;L(OUTPUT)'!O50,"-")</f>
        <v>8.5197169325433979</v>
      </c>
      <c r="Q58" s="393">
        <f>IFERROR('CASH FLOW(OUTPUT)'!P61/'P&amp;L(OUTPUT)'!P50,"-")</f>
        <v>9.1767851768240902</v>
      </c>
      <c r="R58" s="393">
        <f>IFERROR('CASH FLOW(OUTPUT)'!Q61/'P&amp;L(OUTPUT)'!Q50,"-")</f>
        <v>10.118104581224367</v>
      </c>
      <c r="S58" s="229"/>
      <c r="T58" s="64"/>
      <c r="U58" s="155"/>
      <c r="X58" s="157"/>
    </row>
    <row r="59" spans="1:24" ht="15.6">
      <c r="A59" s="59"/>
      <c r="B59" s="59"/>
      <c r="C59" s="59"/>
      <c r="D59" s="59"/>
      <c r="E59" s="125" t="s">
        <v>614</v>
      </c>
      <c r="F59" s="59"/>
      <c r="G59" s="59"/>
      <c r="H59" s="203">
        <f>IFERROR('CASH FLOW(OUTPUT)'!G25/'P&amp;L(OUTPUT)'!G50,"-")</f>
        <v>6.1719359764719242</v>
      </c>
      <c r="I59" s="203">
        <f>IFERROR('CASH FLOW(OUTPUT)'!H25/'P&amp;L(OUTPUT)'!H50,"-")</f>
        <v>8.4518221821053814</v>
      </c>
      <c r="J59" s="203">
        <f>IFERROR('CASH FLOW(OUTPUT)'!I25/'P&amp;L(OUTPUT)'!I50,"-")</f>
        <v>9.1042089821710483</v>
      </c>
      <c r="K59" s="203">
        <f>IFERROR('CASH FLOW(OUTPUT)'!J25/'P&amp;L(OUTPUT)'!J50,"-")</f>
        <v>11.938155964338105</v>
      </c>
      <c r="L59" s="203">
        <f>IFERROR('CASH FLOW(OUTPUT)'!K25/'P&amp;L(OUTPUT)'!K50,"-")</f>
        <v>10.177874308924746</v>
      </c>
      <c r="M59" s="204">
        <f>IFERROR('CASH FLOW(OUTPUT)'!L25/'P&amp;L(OUTPUT)'!L50,"-")</f>
        <v>8.3890327665803373</v>
      </c>
      <c r="N59" s="393">
        <f>IFERROR('CASH FLOW(OUTPUT)'!M25/'P&amp;L(OUTPUT)'!M50,"-")</f>
        <v>9.2222608315482386</v>
      </c>
      <c r="O59" s="393">
        <f>IFERROR('CASH FLOW(OUTPUT)'!N25/'P&amp;L(OUTPUT)'!N50,"-")</f>
        <v>10.70322728814094</v>
      </c>
      <c r="P59" s="393">
        <f>IFERROR('CASH FLOW(OUTPUT)'!O25/'P&amp;L(OUTPUT)'!O50,"-")</f>
        <v>11.569743798082433</v>
      </c>
      <c r="Q59" s="393">
        <f>IFERROR('CASH FLOW(OUTPUT)'!P25/'P&amp;L(OUTPUT)'!P50,"-")</f>
        <v>12.440313922950859</v>
      </c>
      <c r="R59" s="393">
        <f>IFERROR('CASH FLOW(OUTPUT)'!Q25/'P&amp;L(OUTPUT)'!Q50,"-")</f>
        <v>13.593762695849374</v>
      </c>
      <c r="S59" s="229"/>
      <c r="T59" s="64"/>
      <c r="U59" s="155"/>
      <c r="X59" s="157"/>
    </row>
    <row r="60" spans="1:24">
      <c r="A60" s="149"/>
      <c r="B60" s="149"/>
      <c r="C60" s="149"/>
      <c r="D60" s="149"/>
      <c r="E60" s="149"/>
      <c r="F60" s="149"/>
      <c r="G60" s="149"/>
      <c r="H60" s="150"/>
      <c r="I60" s="150"/>
      <c r="J60" s="150"/>
      <c r="K60" s="150"/>
      <c r="L60" s="150"/>
      <c r="M60" s="161"/>
      <c r="N60" s="150"/>
      <c r="O60" s="149"/>
      <c r="P60" s="149"/>
      <c r="Q60" s="149"/>
      <c r="R60" s="149"/>
      <c r="S60" s="260"/>
      <c r="T60" s="261"/>
      <c r="U60" s="268"/>
      <c r="V60" s="149"/>
      <c r="W60" s="149"/>
      <c r="X60" s="274"/>
    </row>
    <row r="61" spans="1:24" ht="15.6">
      <c r="D61" s="3" t="s">
        <v>489</v>
      </c>
      <c r="M61" s="157"/>
      <c r="S61" s="229"/>
      <c r="T61" s="64"/>
      <c r="U61" s="155"/>
      <c r="X61" s="157"/>
    </row>
    <row r="62" spans="1:24" ht="15.6">
      <c r="C62" s="2" t="s">
        <v>493</v>
      </c>
      <c r="E62" s="3" t="s">
        <v>497</v>
      </c>
      <c r="H62" s="152">
        <f>IFERROR(('BS(OUTPUT)'!G62+'BS(OUTPUT)'!G51)/('BS(OUTPUT)'!G40+'BS(OUTPUT)'!G41),"-")</f>
        <v>0.1452426347406125</v>
      </c>
      <c r="I62" s="152">
        <f>IFERROR(('BS(OUTPUT)'!H62+'BS(OUTPUT)'!H51)/('BS(OUTPUT)'!H40+'BS(OUTPUT)'!H41),"-")</f>
        <v>9.3094778112392737E-2</v>
      </c>
      <c r="J62" s="152">
        <f>IFERROR(('BS(OUTPUT)'!I62+'BS(OUTPUT)'!I51)/('BS(OUTPUT)'!I40+'BS(OUTPUT)'!I41),"-")</f>
        <v>7.0715664383302429E-2</v>
      </c>
      <c r="K62" s="152">
        <f>IFERROR(('BS(OUTPUT)'!J62+'BS(OUTPUT)'!J51)/('BS(OUTPUT)'!J40+'BS(OUTPUT)'!J41),"-")</f>
        <v>6.3061017572841757E-2</v>
      </c>
      <c r="L62" s="152">
        <f>IFERROR(('BS(OUTPUT)'!K62+'BS(OUTPUT)'!K51)/('BS(OUTPUT)'!K40+'BS(OUTPUT)'!K41),"-")</f>
        <v>0.10352212663906553</v>
      </c>
      <c r="M62" s="164">
        <f>IFERROR(('BS(OUTPUT)'!L62+'BS(OUTPUT)'!L51)/('BS(OUTPUT)'!L40+'BS(OUTPUT)'!L41),"-")</f>
        <v>0.11133300495026334</v>
      </c>
      <c r="N62" s="152">
        <f>IFERROR(('BS(OUTPUT)'!M62+'BS(OUTPUT)'!M51)/('BS(OUTPUT)'!M40+'BS(OUTPUT)'!M41),"-")</f>
        <v>0.10107115487077505</v>
      </c>
      <c r="O62" s="152">
        <f>IFERROR(('BS(OUTPUT)'!N62+'BS(OUTPUT)'!N51)/('BS(OUTPUT)'!N40+'BS(OUTPUT)'!N41),"-")</f>
        <v>9.1447474325784969E-2</v>
      </c>
      <c r="P62" s="152">
        <f>IFERROR(('BS(OUTPUT)'!O62+'BS(OUTPUT)'!O51)/('BS(OUTPUT)'!O40+'BS(OUTPUT)'!O41),"-")</f>
        <v>8.2955975691146641E-2</v>
      </c>
      <c r="Q62" s="152">
        <f>IFERROR(('BS(OUTPUT)'!P62+'BS(OUTPUT)'!P51)/('BS(OUTPUT)'!P40+'BS(OUTPUT)'!P41),"-")</f>
        <v>7.5423694592811771E-2</v>
      </c>
      <c r="R62" s="152">
        <f>IFERROR(('BS(OUTPUT)'!Q62+'BS(OUTPUT)'!Q51)/('BS(OUTPUT)'!Q40+'BS(OUTPUT)'!Q41),"-")</f>
        <v>6.8650242208168968E-2</v>
      </c>
      <c r="S62" s="230"/>
      <c r="T62" s="64"/>
      <c r="U62" s="155"/>
      <c r="X62" s="157"/>
    </row>
    <row r="63" spans="1:24" ht="15.6">
      <c r="C63" s="2" t="s">
        <v>493</v>
      </c>
      <c r="E63" s="3" t="s">
        <v>491</v>
      </c>
      <c r="H63" s="152">
        <f>IFERROR(('BS(OUTPUT)'!G51+'BS(OUTPUT)'!G62)/'BS(OUTPUT)'!G36,"-")</f>
        <v>9.5249970407843124E-2</v>
      </c>
      <c r="I63" s="152">
        <f>IFERROR(('BS(OUTPUT)'!H51+'BS(OUTPUT)'!H62)/'BS(OUTPUT)'!H36,"-")</f>
        <v>6.2143222894422423E-2</v>
      </c>
      <c r="J63" s="152">
        <f>IFERROR(('BS(OUTPUT)'!I51+'BS(OUTPUT)'!I62)/'BS(OUTPUT)'!I36,"-")</f>
        <v>4.9939010114378748E-2</v>
      </c>
      <c r="K63" s="152">
        <f>IFERROR(('BS(OUTPUT)'!J51+'BS(OUTPUT)'!J62)/'BS(OUTPUT)'!J36,"-")</f>
        <v>4.4552798758750012E-2</v>
      </c>
      <c r="L63" s="152">
        <f>IFERROR(('BS(OUTPUT)'!K51+'BS(OUTPUT)'!K62)/'BS(OUTPUT)'!K36,"-")</f>
        <v>7.0629482772234672E-2</v>
      </c>
      <c r="M63" s="164">
        <f>IFERROR(('BS(OUTPUT)'!L51+'BS(OUTPUT)'!L62)/'BS(OUTPUT)'!L36,"-")</f>
        <v>7.3164854914580468E-2</v>
      </c>
      <c r="N63" s="152">
        <f>IFERROR(('BS(OUTPUT)'!M51+'BS(OUTPUT)'!M62)/'BS(OUTPUT)'!M36,"-")</f>
        <v>6.7639647008004206E-2</v>
      </c>
      <c r="O63" s="152">
        <f>IFERROR(('BS(OUTPUT)'!N51+'BS(OUTPUT)'!N62)/'BS(OUTPUT)'!N36,"-")</f>
        <v>6.2409105674804469E-2</v>
      </c>
      <c r="P63" s="152">
        <f>IFERROR(('BS(OUTPUT)'!O51+'BS(OUTPUT)'!O62)/'BS(OUTPUT)'!O36,"-")</f>
        <v>5.7733738944701553E-2</v>
      </c>
      <c r="Q63" s="152">
        <f>IFERROR(('BS(OUTPUT)'!P51+'BS(OUTPUT)'!P62)/'BS(OUTPUT)'!P36,"-")</f>
        <v>5.3351661585276308E-2</v>
      </c>
      <c r="R63" s="152">
        <f>IFERROR(('BS(OUTPUT)'!Q51+'BS(OUTPUT)'!Q62)/'BS(OUTPUT)'!Q36,"-")</f>
        <v>4.946361031575372E-2</v>
      </c>
      <c r="S63" s="230"/>
      <c r="T63" s="64"/>
      <c r="U63" s="155"/>
      <c r="X63" s="157"/>
    </row>
    <row r="64" spans="1:24" ht="15.6">
      <c r="E64" s="3" t="s">
        <v>492</v>
      </c>
      <c r="H64" s="152">
        <f>IFERROR(('BS(OUTPUT)'!G56+'BS(OUTPUT)'!G68)/'BS(OUTPUT)'!G36,"-")</f>
        <v>0.34115217493733929</v>
      </c>
      <c r="I64" s="152">
        <f>IFERROR(('BS(OUTPUT)'!H56+'BS(OUTPUT)'!H68)/'BS(OUTPUT)'!H36,"-")</f>
        <v>0.32875410115875509</v>
      </c>
      <c r="J64" s="152">
        <f>IFERROR(('BS(OUTPUT)'!I56+'BS(OUTPUT)'!I68)/'BS(OUTPUT)'!I36,"-")</f>
        <v>0.28990775079350994</v>
      </c>
      <c r="K64" s="152">
        <f>IFERROR(('BS(OUTPUT)'!J56+'BS(OUTPUT)'!J68)/'BS(OUTPUT)'!J36,"-")</f>
        <v>0.2901145279903532</v>
      </c>
      <c r="L64" s="152">
        <f>IFERROR(('BS(OUTPUT)'!K56+'BS(OUTPUT)'!K68)/'BS(OUTPUT)'!K36,"-")</f>
        <v>0.31443449606944668</v>
      </c>
      <c r="M64" s="164">
        <f>IFERROR(('BS(OUTPUT)'!L56+'BS(OUTPUT)'!L68)/'BS(OUTPUT)'!L36,"-")</f>
        <v>0.3085415145480897</v>
      </c>
      <c r="N64" s="152">
        <f>IFERROR(('BS(OUTPUT)'!M56+'BS(OUTPUT)'!M68)/'BS(OUTPUT)'!M36,"-")</f>
        <v>0.29907403870405019</v>
      </c>
      <c r="O64" s="152">
        <f>IFERROR(('BS(OUTPUT)'!N56+'BS(OUTPUT)'!N68)/'BS(OUTPUT)'!N36,"-")</f>
        <v>0.28829505237248443</v>
      </c>
      <c r="P64" s="152">
        <f>IFERROR(('BS(OUTPUT)'!O56+'BS(OUTPUT)'!O68)/'BS(OUTPUT)'!O36,"-")</f>
        <v>0.27698764476807669</v>
      </c>
      <c r="Q64" s="152">
        <f>IFERROR(('BS(OUTPUT)'!P56+'BS(OUTPUT)'!P68)/'BS(OUTPUT)'!P36,"-")</f>
        <v>0.2676385727008071</v>
      </c>
      <c r="R64" s="152">
        <f>IFERROR(('BS(OUTPUT)'!Q56+'BS(OUTPUT)'!Q68)/'BS(OUTPUT)'!Q36,"-")</f>
        <v>0.25630378873910759</v>
      </c>
      <c r="S64" s="229"/>
      <c r="T64" s="64"/>
      <c r="U64" s="155"/>
      <c r="X64" s="157"/>
    </row>
    <row r="65" spans="1:24" ht="15.6">
      <c r="E65" s="3" t="s">
        <v>498</v>
      </c>
      <c r="H65" s="152">
        <f>IFERROR(('BS(OUTPUT)'!G56+'BS(OUTPUT)'!G68)/('BS(OUTPUT)'!G40+'BS(OUTPUT)'!G41),"-")</f>
        <v>0.52020846330162684</v>
      </c>
      <c r="I65" s="152">
        <f>IFERROR(('BS(OUTPUT)'!H56+'BS(OUTPUT)'!H68)/('BS(OUTPUT)'!H40+'BS(OUTPUT)'!H41),"-")</f>
        <v>0.49249602250127839</v>
      </c>
      <c r="J65" s="152">
        <f>IFERROR(('BS(OUTPUT)'!I56+'BS(OUTPUT)'!I68)/('BS(OUTPUT)'!I40+'BS(OUTPUT)'!I41),"-")</f>
        <v>0.41052113688831704</v>
      </c>
      <c r="K65" s="152">
        <f>IFERROR(('BS(OUTPUT)'!J56+'BS(OUTPUT)'!J68)/('BS(OUTPUT)'!J40+'BS(OUTPUT)'!J41),"-")</f>
        <v>0.41063452482080709</v>
      </c>
      <c r="L65" s="152">
        <f>IFERROR(('BS(OUTPUT)'!K56+'BS(OUTPUT)'!K68)/('BS(OUTPUT)'!K40+'BS(OUTPUT)'!K41),"-")</f>
        <v>0.46086883896292924</v>
      </c>
      <c r="M65" s="164">
        <f>IFERROR(('BS(OUTPUT)'!L56+'BS(OUTPUT)'!L68)/('BS(OUTPUT)'!L40+'BS(OUTPUT)'!L41),"-")</f>
        <v>0.46949937926684387</v>
      </c>
      <c r="N65" s="152">
        <f>IFERROR(('BS(OUTPUT)'!M56+'BS(OUTPUT)'!M68)/('BS(OUTPUT)'!M40+'BS(OUTPUT)'!M41),"-")</f>
        <v>0.44689408979482403</v>
      </c>
      <c r="O65" s="152">
        <f>IFERROR(('BS(OUTPUT)'!N56+'BS(OUTPUT)'!N68)/('BS(OUTPUT)'!N40+'BS(OUTPUT)'!N41),"-")</f>
        <v>0.4224360229973157</v>
      </c>
      <c r="P65" s="152">
        <f>IFERROR(('BS(OUTPUT)'!O56+'BS(OUTPUT)'!O68)/('BS(OUTPUT)'!O40+'BS(OUTPUT)'!O41),"-")</f>
        <v>0.39799570833507036</v>
      </c>
      <c r="Q65" s="152">
        <f>IFERROR(('BS(OUTPUT)'!P56+'BS(OUTPUT)'!P68)/('BS(OUTPUT)'!P40+'BS(OUTPUT)'!P41),"-")</f>
        <v>0.37836291071040651</v>
      </c>
      <c r="R65" s="152">
        <f>IFERROR(('BS(OUTPUT)'!Q56+'BS(OUTPUT)'!Q68)/('BS(OUTPUT)'!Q40+'BS(OUTPUT)'!Q41),"-")</f>
        <v>0.35572246068352903</v>
      </c>
      <c r="S65" s="229"/>
      <c r="T65" s="64"/>
      <c r="U65" s="155"/>
      <c r="X65" s="157"/>
    </row>
    <row r="66" spans="1:24" ht="15.6">
      <c r="C66" s="2" t="s">
        <v>495</v>
      </c>
      <c r="E66" s="3" t="s">
        <v>494</v>
      </c>
      <c r="H66" s="152">
        <f>IFERROR(('BS(OUTPUT)'!G44/'BS(OUTPUT)'!G36),"-")</f>
        <v>0.6588478250626606</v>
      </c>
      <c r="I66" s="152">
        <f>IFERROR(('BS(OUTPUT)'!H44/'BS(OUTPUT)'!H36),"-")</f>
        <v>0.67124589884124497</v>
      </c>
      <c r="J66" s="152">
        <f>IFERROR(('BS(OUTPUT)'!I44/'BS(OUTPUT)'!I36),"-")</f>
        <v>0.71009224920649006</v>
      </c>
      <c r="K66" s="152">
        <f>IFERROR(('BS(OUTPUT)'!J44/'BS(OUTPUT)'!J36),"-")</f>
        <v>0.7098854720096468</v>
      </c>
      <c r="L66" s="152">
        <f>IFERROR(('BS(OUTPUT)'!K44/'BS(OUTPUT)'!K36),"-")</f>
        <v>0.68556550393055338</v>
      </c>
      <c r="M66" s="164">
        <f>IFERROR(('BS(OUTPUT)'!L44/'BS(OUTPUT)'!L36),"-")</f>
        <v>0.69145848545191035</v>
      </c>
      <c r="N66" s="152">
        <f>IFERROR(('BS(OUTPUT)'!M44/'BS(OUTPUT)'!M36),"-")</f>
        <v>0.70092591924166991</v>
      </c>
      <c r="O66" s="152">
        <f>IFERROR(('BS(OUTPUT)'!N44/'BS(OUTPUT)'!N36),"-")</f>
        <v>0.71170522752720533</v>
      </c>
      <c r="P66" s="152">
        <f>IFERROR(('BS(OUTPUT)'!O44/'BS(OUTPUT)'!O36),"-")</f>
        <v>0.72301207991924443</v>
      </c>
      <c r="Q66" s="152">
        <f>IFERROR(('BS(OUTPUT)'!P44/'BS(OUTPUT)'!P36),"-")</f>
        <v>0.7323615791079876</v>
      </c>
      <c r="R66" s="152">
        <f>IFERROR(('BS(OUTPUT)'!Q44/'BS(OUTPUT)'!Q36),"-")</f>
        <v>0.74369627557329343</v>
      </c>
      <c r="S66" s="229"/>
      <c r="T66" s="64"/>
      <c r="U66" s="155"/>
      <c r="X66" s="157"/>
    </row>
    <row r="67" spans="1:24" ht="15.6">
      <c r="E67" s="3" t="s">
        <v>496</v>
      </c>
      <c r="H67" s="152">
        <f>IFERROR(('BS(OUTPUT)'!G56/('BS(OUTPUT)'!G40+'BS(OUTPUT)'!G41)),"-")</f>
        <v>9.3601704716710019E-2</v>
      </c>
      <c r="I67" s="152">
        <f>IFERROR(('BS(OUTPUT)'!H56/('BS(OUTPUT)'!H40+'BS(OUTPUT)'!H41)),"-")</f>
        <v>2.0113003579748847E-2</v>
      </c>
      <c r="J67" s="152">
        <f>IFERROR(('BS(OUTPUT)'!I56/('BS(OUTPUT)'!I40+'BS(OUTPUT)'!I41)),"-")</f>
        <v>3.7530938954698556E-2</v>
      </c>
      <c r="K67" s="152">
        <f>IFERROR(('BS(OUTPUT)'!J56/('BS(OUTPUT)'!J40+'BS(OUTPUT)'!J41)),"-")</f>
        <v>2.7757443371396733E-2</v>
      </c>
      <c r="L67" s="152">
        <f>IFERROR(('BS(OUTPUT)'!K56/('BS(OUTPUT)'!K40+'BS(OUTPUT)'!K41)),"-")</f>
        <v>6.4445849689189025E-2</v>
      </c>
      <c r="M67" s="164">
        <f>IFERROR(('BS(OUTPUT)'!L56/('BS(OUTPUT)'!L40+'BS(OUTPUT)'!L41)),"-")</f>
        <v>6.7256493180850654E-2</v>
      </c>
      <c r="N67" s="152">
        <f>IFERROR(('BS(OUTPUT)'!M56/('BS(OUTPUT)'!M40+'BS(OUTPUT)'!M41)),"-")</f>
        <v>6.1057288819104175E-2</v>
      </c>
      <c r="O67" s="152">
        <f>IFERROR(('BS(OUTPUT)'!N56/('BS(OUTPUT)'!N40+'BS(OUTPUT)'!N41)),"-")</f>
        <v>5.5243603962237479E-2</v>
      </c>
      <c r="P67" s="152">
        <f>IFERROR(('BS(OUTPUT)'!O56/('BS(OUTPUT)'!O40+'BS(OUTPUT)'!O41)),"-")</f>
        <v>5.0113872484398622E-2</v>
      </c>
      <c r="Q67" s="152">
        <f>IFERROR(('BS(OUTPUT)'!P56/('BS(OUTPUT)'!P40+'BS(OUTPUT)'!P41)),"-")</f>
        <v>4.5563606257840512E-2</v>
      </c>
      <c r="R67" s="152">
        <f>IFERROR(('BS(OUTPUT)'!Q56/('BS(OUTPUT)'!Q40+'BS(OUTPUT)'!Q41)),"-")</f>
        <v>4.14717499900423E-2</v>
      </c>
      <c r="S67" s="229"/>
      <c r="T67" s="64"/>
      <c r="U67" s="155"/>
      <c r="X67" s="157"/>
    </row>
    <row r="68" spans="1:24" ht="15.6">
      <c r="E68" s="3" t="s">
        <v>499</v>
      </c>
      <c r="H68" s="152">
        <f>IFERROR('P&amp;L(OUTPUT)'!G27/'P&amp;L(OUTPUT)'!G30*-1,"-")</f>
        <v>34.338367154318085</v>
      </c>
      <c r="I68" s="152">
        <f>IFERROR('P&amp;L(OUTPUT)'!H27/'P&amp;L(OUTPUT)'!H30*-1,"-")</f>
        <v>31.761382113821142</v>
      </c>
      <c r="J68" s="152">
        <f>IFERROR('P&amp;L(OUTPUT)'!I27/'P&amp;L(OUTPUT)'!I30*-1,"-")</f>
        <v>38.227140077820998</v>
      </c>
      <c r="K68" s="152">
        <f>IFERROR('P&amp;L(OUTPUT)'!J27/'P&amp;L(OUTPUT)'!J30*-1,"-")</f>
        <v>73.28690228690229</v>
      </c>
      <c r="L68" s="152">
        <f>IFERROR('P&amp;L(OUTPUT)'!K27/'P&amp;L(OUTPUT)'!K30*-1,"-")</f>
        <v>97.084910237748687</v>
      </c>
      <c r="M68" s="164">
        <f>IFERROR('P&amp;L(OUTPUT)'!L27/'P&amp;L(OUTPUT)'!L30*-1,"-")</f>
        <v>31.672534609468457</v>
      </c>
      <c r="N68" s="152">
        <f>IFERROR('P&amp;L(OUTPUT)'!M27/'P&amp;L(OUTPUT)'!M30*-1,"-")</f>
        <v>36.69193386790036</v>
      </c>
      <c r="O68" s="152">
        <f>IFERROR('P&amp;L(OUTPUT)'!N27/'P&amp;L(OUTPUT)'!N30*-1,"-")</f>
        <v>38.577194169374231</v>
      </c>
      <c r="P68" s="152">
        <f>IFERROR('P&amp;L(OUTPUT)'!O27/'P&amp;L(OUTPUT)'!O30*-1,"-")</f>
        <v>38.578706457981589</v>
      </c>
      <c r="Q68" s="152">
        <f>IFERROR('P&amp;L(OUTPUT)'!P27/'P&amp;L(OUTPUT)'!P30*-1,"-")</f>
        <v>38.815424385106446</v>
      </c>
      <c r="R68" s="152">
        <f>IFERROR('P&amp;L(OUTPUT)'!Q27/'P&amp;L(OUTPUT)'!Q30*-1,"-")</f>
        <v>39.758189833631349</v>
      </c>
      <c r="S68" s="229"/>
      <c r="T68" s="64"/>
      <c r="U68" s="155"/>
      <c r="X68" s="157"/>
    </row>
    <row r="69" spans="1:24">
      <c r="A69" s="149"/>
      <c r="B69" s="149"/>
      <c r="C69" s="149"/>
      <c r="D69" s="149"/>
      <c r="E69" s="149"/>
      <c r="F69" s="149"/>
      <c r="G69" s="149"/>
      <c r="H69" s="150"/>
      <c r="I69" s="150"/>
      <c r="J69" s="150"/>
      <c r="K69" s="150"/>
      <c r="L69" s="150"/>
      <c r="M69" s="161"/>
      <c r="N69" s="150"/>
      <c r="O69" s="149"/>
      <c r="P69" s="149"/>
      <c r="Q69" s="149"/>
      <c r="R69" s="149"/>
      <c r="S69" s="260"/>
      <c r="T69" s="261"/>
      <c r="U69" s="268"/>
      <c r="V69" s="149"/>
      <c r="W69" s="149"/>
      <c r="X69" s="274"/>
    </row>
    <row r="70" spans="1:24" ht="15.6">
      <c r="D70" s="3"/>
      <c r="H70" s="152"/>
      <c r="I70" s="152"/>
      <c r="J70" s="152"/>
      <c r="K70" s="152"/>
      <c r="L70" s="152"/>
      <c r="M70" s="164"/>
      <c r="N70" s="152"/>
      <c r="O70" s="152"/>
      <c r="P70" s="152"/>
      <c r="Q70" s="152"/>
      <c r="R70" s="152"/>
      <c r="S70" s="229"/>
      <c r="T70" s="64"/>
      <c r="U70" s="155"/>
      <c r="X70" s="157"/>
    </row>
    <row r="71" spans="1:24" ht="15.6">
      <c r="D71" s="3" t="s">
        <v>500</v>
      </c>
      <c r="H71" s="152"/>
      <c r="I71" s="152"/>
      <c r="J71" s="152"/>
      <c r="K71" s="152"/>
      <c r="L71" s="152"/>
      <c r="M71" s="164"/>
      <c r="N71" s="152"/>
      <c r="O71" s="152"/>
      <c r="P71" s="152"/>
      <c r="Q71" s="152"/>
      <c r="R71" s="152"/>
      <c r="S71" s="229"/>
      <c r="T71" s="64"/>
      <c r="U71" s="155"/>
      <c r="X71" s="157"/>
    </row>
    <row r="72" spans="1:24" ht="15.6">
      <c r="C72" s="2" t="s">
        <v>627</v>
      </c>
      <c r="E72" s="3" t="s">
        <v>501</v>
      </c>
      <c r="H72" s="152">
        <f>IFERROR('BS(OUTPUT)'!G32/'BS(OUTPUT)'!G68,"-")</f>
        <v>1.4129532869982422</v>
      </c>
      <c r="I72" s="152">
        <f>IFERROR('BS(OUTPUT)'!H32/'BS(OUTPUT)'!H68,"-")</f>
        <v>1.3480496633850947</v>
      </c>
      <c r="J72" s="152">
        <f>IFERROR('BS(OUTPUT)'!I32/'BS(OUTPUT)'!I68,"-")</f>
        <v>1.980721463707648</v>
      </c>
      <c r="K72" s="152">
        <f>IFERROR('BS(OUTPUT)'!J32/'BS(OUTPUT)'!J68,"-")</f>
        <v>1.6276860053370776</v>
      </c>
      <c r="L72" s="152">
        <f>IFERROR('BS(OUTPUT)'!K32/'BS(OUTPUT)'!K68,"-")</f>
        <v>1.2992590006440858</v>
      </c>
      <c r="M72" s="164">
        <f>IFERROR('BS(OUTPUT)'!L32/'BS(OUTPUT)'!L68,"-")</f>
        <v>1.1771831009328344</v>
      </c>
      <c r="N72" s="152">
        <f>IFERROR('BS(OUTPUT)'!M32/'BS(OUTPUT)'!M68,"-")</f>
        <v>1.3734382686371855</v>
      </c>
      <c r="O72" s="152">
        <f>IFERROR('BS(OUTPUT)'!N32/'BS(OUTPUT)'!N68,"-")</f>
        <v>1.573133676472384</v>
      </c>
      <c r="P72" s="152">
        <f>IFERROR('BS(OUTPUT)'!O32/'BS(OUTPUT)'!O68,"-")</f>
        <v>1.8050016285846826</v>
      </c>
      <c r="Q72" s="152">
        <f>IFERROR('BS(OUTPUT)'!P32/'BS(OUTPUT)'!P68,"-")</f>
        <v>2.0131035693825479</v>
      </c>
      <c r="R72" s="152">
        <f>IFERROR('BS(OUTPUT)'!Q32/'BS(OUTPUT)'!Q68,"-")</f>
        <v>2.2285327081878212</v>
      </c>
      <c r="S72" s="229"/>
      <c r="T72" s="64"/>
      <c r="U72" s="155"/>
      <c r="X72" s="157"/>
    </row>
    <row r="73" spans="1:24" ht="15.6">
      <c r="C73" s="2" t="s">
        <v>628</v>
      </c>
      <c r="E73" s="3" t="s">
        <v>502</v>
      </c>
      <c r="H73" s="152">
        <f>IFERROR(('BS(OUTPUT)'!G32-'BS(OUTPUT)'!G24)/'BS(OUTPUT)'!G68,"-")</f>
        <v>0.8969496064803405</v>
      </c>
      <c r="I73" s="152">
        <f>IFERROR(('BS(OUTPUT)'!H32-'BS(OUTPUT)'!H24)/'BS(OUTPUT)'!H68,"-")</f>
        <v>0.85918558363499031</v>
      </c>
      <c r="J73" s="152">
        <f>IFERROR(('BS(OUTPUT)'!I32-'BS(OUTPUT)'!I24)/'BS(OUTPUT)'!I68,"-")</f>
        <v>1.4208037729110186</v>
      </c>
      <c r="K73" s="152">
        <f>IFERROR(('BS(OUTPUT)'!J32-'BS(OUTPUT)'!J24)/'BS(OUTPUT)'!J68,"-")</f>
        <v>1.036626803308579</v>
      </c>
      <c r="L73" s="152">
        <f>IFERROR(('BS(OUTPUT)'!K32-'BS(OUTPUT)'!K24)/'BS(OUTPUT)'!K68,"-")</f>
        <v>0.72398526428575749</v>
      </c>
      <c r="M73" s="164">
        <f>IFERROR(('BS(OUTPUT)'!L32-'BS(OUTPUT)'!L24)/'BS(OUTPUT)'!L68,"-")</f>
        <v>0.61637433057297153</v>
      </c>
      <c r="N73" s="152">
        <f>IFERROR(('BS(OUTPUT)'!M32-'BS(OUTPUT)'!M24)/'BS(OUTPUT)'!M68,"-")</f>
        <v>0.80824013424490559</v>
      </c>
      <c r="O73" s="152">
        <f>IFERROR(('BS(OUTPUT)'!N32-'BS(OUTPUT)'!N24)/'BS(OUTPUT)'!N68,"-")</f>
        <v>0.98458850660887098</v>
      </c>
      <c r="P73" s="152">
        <f>IFERROR(('BS(OUTPUT)'!O32-'BS(OUTPUT)'!O24)/'BS(OUTPUT)'!O68,"-")</f>
        <v>1.2163215945344881</v>
      </c>
      <c r="Q73" s="152">
        <f>IFERROR(('BS(OUTPUT)'!P32-'BS(OUTPUT)'!P24)/'BS(OUTPUT)'!P68,"-")</f>
        <v>1.4031303282438272</v>
      </c>
      <c r="R73" s="152">
        <f>IFERROR(('BS(OUTPUT)'!Q32-'BS(OUTPUT)'!Q24)/'BS(OUTPUT)'!Q68,"-")</f>
        <v>1.6206126691284433</v>
      </c>
      <c r="S73" s="229"/>
      <c r="T73" s="64"/>
      <c r="U73" s="155"/>
      <c r="X73" s="157"/>
    </row>
    <row r="74" spans="1:24" ht="15.6">
      <c r="C74" s="2" t="s">
        <v>629</v>
      </c>
      <c r="E74" s="3" t="s">
        <v>504</v>
      </c>
      <c r="H74" s="152">
        <f>IFERROR('BS(OUTPUT)'!G26/'BS(OUTPUT)'!G68,"-")</f>
        <v>0.41876160431146392</v>
      </c>
      <c r="I74" s="152">
        <f>IFERROR('BS(OUTPUT)'!H26/'BS(OUTPUT)'!H68,"-")</f>
        <v>0.39603279317072076</v>
      </c>
      <c r="J74" s="152">
        <f>IFERROR('BS(OUTPUT)'!I26/'BS(OUTPUT)'!I68,"-")</f>
        <v>0.89387470169001737</v>
      </c>
      <c r="K74" s="152">
        <f>IFERROR('BS(OUTPUT)'!J26/'BS(OUTPUT)'!J68,"-")</f>
        <v>0.70719346736237254</v>
      </c>
      <c r="L74" s="152">
        <f>IFERROR('BS(OUTPUT)'!K26/'BS(OUTPUT)'!K68,"-")</f>
        <v>0.42879844937908956</v>
      </c>
      <c r="M74" s="164">
        <f>IFERROR('BS(OUTPUT)'!L26/'BS(OUTPUT)'!L68,"-")</f>
        <v>0.29433733304150517</v>
      </c>
      <c r="N74" s="152">
        <f>IFERROR('BS(OUTPUT)'!M26/'BS(OUTPUT)'!M68,"-")</f>
        <v>0.46794301676012001</v>
      </c>
      <c r="O74" s="152">
        <f>IFERROR('BS(OUTPUT)'!N26/'BS(OUTPUT)'!N68,"-")</f>
        <v>0.65137190722454186</v>
      </c>
      <c r="P74" s="152">
        <f>IFERROR('BS(OUTPUT)'!O26/'BS(OUTPUT)'!O68,"-")</f>
        <v>0.87061003172306217</v>
      </c>
      <c r="Q74" s="152">
        <f>IFERROR('BS(OUTPUT)'!P26/'BS(OUTPUT)'!P68,"-")</f>
        <v>1.0656337321979412</v>
      </c>
      <c r="R74" s="152">
        <f>IFERROR('BS(OUTPUT)'!Q26/'BS(OUTPUT)'!Q68,"-")</f>
        <v>1.2710845596626406</v>
      </c>
      <c r="S74" s="229"/>
      <c r="T74" s="64"/>
      <c r="U74" s="155"/>
      <c r="X74" s="157"/>
    </row>
    <row r="75" spans="1:24" ht="15.6">
      <c r="E75" s="3" t="s">
        <v>503</v>
      </c>
      <c r="H75" s="152">
        <f>IFERROR('BS(OUTPUT)'!G27/'BS(OUTPUT)'!G63,"-")</f>
        <v>0.5006523342220206</v>
      </c>
      <c r="I75" s="152">
        <f>IFERROR('BS(OUTPUT)'!H27/'BS(OUTPUT)'!H63,"-")</f>
        <v>0.57272421208852364</v>
      </c>
      <c r="J75" s="152">
        <f>IFERROR('BS(OUTPUT)'!I27/'BS(OUTPUT)'!I63,"-")</f>
        <v>0.54912795600985054</v>
      </c>
      <c r="K75" s="152">
        <f>IFERROR('BS(OUTPUT)'!J27/'BS(OUTPUT)'!J63,"-")</f>
        <v>0.29321345404801435</v>
      </c>
      <c r="L75" s="152">
        <f>IFERROR('BS(OUTPUT)'!K27/'BS(OUTPUT)'!K63,"-")</f>
        <v>0.3202011942813251</v>
      </c>
      <c r="M75" s="164">
        <f>IFERROR('BS(OUTPUT)'!L27/'BS(OUTPUT)'!L63,"-")</f>
        <v>0.38815792482427142</v>
      </c>
      <c r="N75" s="152">
        <f>IFERROR('BS(OUTPUT)'!M27/'BS(OUTPUT)'!M63,"-")</f>
        <v>0.41454562600280914</v>
      </c>
      <c r="O75" s="152">
        <f>IFERROR('BS(OUTPUT)'!N27/'BS(OUTPUT)'!N63,"-")</f>
        <v>0.40056704557194389</v>
      </c>
      <c r="P75" s="152">
        <f>IFERROR('BS(OUTPUT)'!O27/'BS(OUTPUT)'!O63,"-")</f>
        <v>0.4182258721071635</v>
      </c>
      <c r="Q75" s="152">
        <f>IFERROR('BS(OUTPUT)'!P27/'BS(OUTPUT)'!P63,"-")</f>
        <v>0.40321761135164585</v>
      </c>
      <c r="R75" s="152">
        <f>IFERROR('BS(OUTPUT)'!Q27/'BS(OUTPUT)'!Q63,"-")</f>
        <v>0.42047248188498842</v>
      </c>
      <c r="S75" s="229"/>
      <c r="T75" s="64"/>
      <c r="U75" s="155"/>
      <c r="X75" s="157"/>
    </row>
    <row r="76" spans="1:24">
      <c r="A76" s="149"/>
      <c r="B76" s="149"/>
      <c r="C76" s="149"/>
      <c r="D76" s="149"/>
      <c r="E76" s="149"/>
      <c r="F76" s="149"/>
      <c r="G76" s="149"/>
      <c r="H76" s="150"/>
      <c r="I76" s="150"/>
      <c r="J76" s="150"/>
      <c r="K76" s="150"/>
      <c r="L76" s="150"/>
      <c r="M76" s="161"/>
      <c r="N76" s="150"/>
      <c r="O76" s="149"/>
      <c r="P76" s="149"/>
      <c r="Q76" s="149"/>
      <c r="R76" s="149"/>
      <c r="S76" s="260"/>
      <c r="T76" s="261"/>
      <c r="U76" s="268"/>
      <c r="V76" s="149"/>
      <c r="W76" s="149"/>
      <c r="X76" s="274"/>
    </row>
    <row r="77" spans="1:24">
      <c r="H77" s="152"/>
      <c r="I77" s="152"/>
      <c r="J77" s="152"/>
      <c r="K77" s="152"/>
      <c r="L77" s="152"/>
      <c r="M77" s="164"/>
      <c r="N77" s="152"/>
      <c r="O77" s="152"/>
      <c r="P77" s="152"/>
      <c r="Q77" s="152"/>
      <c r="R77" s="152"/>
      <c r="S77" s="229"/>
      <c r="T77" s="64"/>
      <c r="U77" s="155"/>
      <c r="X77" s="157"/>
    </row>
    <row r="78" spans="1:24" ht="15.6">
      <c r="D78" s="3" t="s">
        <v>545</v>
      </c>
      <c r="H78" s="152"/>
      <c r="I78" s="152"/>
      <c r="J78" s="152"/>
      <c r="K78" s="152"/>
      <c r="L78" s="152"/>
      <c r="M78" s="164"/>
      <c r="N78" s="152"/>
      <c r="O78" s="152"/>
      <c r="P78" s="152"/>
      <c r="Q78" s="152"/>
      <c r="R78" s="152"/>
      <c r="S78" s="229"/>
      <c r="T78" s="64"/>
      <c r="U78" s="155"/>
      <c r="X78" s="157"/>
    </row>
    <row r="79" spans="1:24" ht="15.6">
      <c r="C79" s="2" t="s">
        <v>507</v>
      </c>
      <c r="E79" s="3" t="s">
        <v>506</v>
      </c>
      <c r="H79" s="152" t="s">
        <v>158</v>
      </c>
      <c r="I79" s="152">
        <f>IFERROR(('P&amp;L(OUTPUT)'!H9*-1)/'Ratio analysis'!I41,"-")</f>
        <v>3.3566341118077525</v>
      </c>
      <c r="J79" s="152">
        <f>IFERROR(('P&amp;L(OUTPUT)'!I9*-1)/'Ratio analysis'!J41,"-")</f>
        <v>3.2396477743367784</v>
      </c>
      <c r="K79" s="152">
        <f>IFERROR(('P&amp;L(OUTPUT)'!J9*-1)/'Ratio analysis'!K41,"-")</f>
        <v>3.0662427541467956</v>
      </c>
      <c r="L79" s="152">
        <f>IFERROR(('P&amp;L(OUTPUT)'!K9*-1)/'Ratio analysis'!L41,"-")</f>
        <v>3.0939283803985571</v>
      </c>
      <c r="M79" s="164">
        <f>IFERROR(('P&amp;L(OUTPUT)'!L9*-1)/'Ratio analysis'!M41,"-")</f>
        <v>3.1856478222976596</v>
      </c>
      <c r="N79" s="152">
        <f>IFERROR(('P&amp;L(OUTPUT)'!M9*-1)/'Ratio analysis'!N41,"-")</f>
        <v>3.1884201685975087</v>
      </c>
      <c r="O79" s="152">
        <f>IFERROR(('P&amp;L(OUTPUT)'!N9*-1)/'Ratio analysis'!O41,"-")</f>
        <v>3.1884201685975091</v>
      </c>
      <c r="P79" s="152">
        <f>IFERROR(('P&amp;L(OUTPUT)'!O9*-1)/'Ratio analysis'!P41,"-")</f>
        <v>3.1884201685975087</v>
      </c>
      <c r="Q79" s="152">
        <f>IFERROR(('P&amp;L(OUTPUT)'!P9*-1)/'Ratio analysis'!Q41,"-")</f>
        <v>3.1884201685975082</v>
      </c>
      <c r="R79" s="152">
        <f>IFERROR(('P&amp;L(OUTPUT)'!Q9*-1)/'Ratio analysis'!R41,"-")</f>
        <v>3.1884201685975091</v>
      </c>
      <c r="S79" s="269">
        <f>AVERAGE(I79:M79)</f>
        <v>3.1884201685975087</v>
      </c>
      <c r="T79" s="270">
        <f>MEDIAN(I79:M79)</f>
        <v>3.1856478222976596</v>
      </c>
      <c r="U79" s="155"/>
      <c r="V79" s="275">
        <f>AVERAGE(N79:R79)</f>
        <v>3.1884201685975087</v>
      </c>
      <c r="W79" s="275">
        <f>MEDIAN(N79:R79)</f>
        <v>3.1884201685975087</v>
      </c>
      <c r="X79" s="157"/>
    </row>
    <row r="80" spans="1:24" ht="15.6">
      <c r="C80" s="2" t="s">
        <v>510</v>
      </c>
      <c r="E80" s="3" t="s">
        <v>509</v>
      </c>
      <c r="H80" s="152" t="s">
        <v>158</v>
      </c>
      <c r="I80" s="152">
        <f>IFERROR('P&amp;L(OUTPUT)'!H7/'Ratio analysis'!I42,"-")</f>
        <v>11.061014263074485</v>
      </c>
      <c r="J80" s="152">
        <f>IFERROR('P&amp;L(OUTPUT)'!I7/'Ratio analysis'!J42,"-")</f>
        <v>10.543130292269872</v>
      </c>
      <c r="K80" s="152">
        <f>IFERROR('P&amp;L(OUTPUT)'!J7/'Ratio analysis'!K42,"-")</f>
        <v>13.881218783397674</v>
      </c>
      <c r="L80" s="152">
        <f>IFERROR('P&amp;L(OUTPUT)'!K7/'Ratio analysis'!L42,"-")</f>
        <v>18.031646146075698</v>
      </c>
      <c r="M80" s="164">
        <f>IFERROR('P&amp;L(OUTPUT)'!L7/'Ratio analysis'!M42,"-")</f>
        <v>15.425633821660311</v>
      </c>
      <c r="N80" s="152">
        <f>IFERROR('P&amp;L(OUTPUT)'!M7/'Ratio analysis'!N42,"-")</f>
        <v>13.78852866129561</v>
      </c>
      <c r="O80" s="152">
        <f>IFERROR('P&amp;L(OUTPUT)'!N7/'Ratio analysis'!O42,"-")</f>
        <v>13.78852866129561</v>
      </c>
      <c r="P80" s="152">
        <f>IFERROR('P&amp;L(OUTPUT)'!O7/'Ratio analysis'!P42,"-")</f>
        <v>13.78852866129561</v>
      </c>
      <c r="Q80" s="152">
        <f>IFERROR('P&amp;L(OUTPUT)'!P7/'Ratio analysis'!Q42,"-")</f>
        <v>13.78852866129561</v>
      </c>
      <c r="R80" s="152">
        <f>IFERROR('P&amp;L(OUTPUT)'!Q7/'Ratio analysis'!R42,"-")</f>
        <v>13.78852866129561</v>
      </c>
      <c r="S80" s="269">
        <f t="shared" ref="S80:S86" si="9">AVERAGE(I80:M80)</f>
        <v>13.78852866129561</v>
      </c>
      <c r="T80" s="270">
        <f t="shared" ref="T80:T86" si="10">MEDIAN(I80:M80)</f>
        <v>13.881218783397674</v>
      </c>
      <c r="U80" s="155"/>
      <c r="V80" s="275">
        <f t="shared" ref="V80:V85" si="11">AVERAGE(N80:R80)</f>
        <v>13.78852866129561</v>
      </c>
      <c r="W80" s="275">
        <f t="shared" ref="W80:W86" si="12">MEDIAN(N80:R80)</f>
        <v>13.78852866129561</v>
      </c>
      <c r="X80" s="157"/>
    </row>
    <row r="81" spans="3:24" ht="15.6">
      <c r="C81" s="2" t="s">
        <v>514</v>
      </c>
      <c r="E81" s="3" t="s">
        <v>513</v>
      </c>
      <c r="H81" s="152" t="s">
        <v>158</v>
      </c>
      <c r="I81" s="152">
        <f>IFERROR(('P&amp;L(OUTPUT)'!H9*-1)/'Ratio analysis'!I43,"-")</f>
        <v>2.9946575939980802</v>
      </c>
      <c r="J81" s="152">
        <f>IFERROR(('P&amp;L(OUTPUT)'!I9*-1)/'Ratio analysis'!J43,"-")</f>
        <v>2.9556914194677253</v>
      </c>
      <c r="K81" s="152">
        <f>IFERROR(('P&amp;L(OUTPUT)'!J9*-1)/'Ratio analysis'!K43,"-")</f>
        <v>2.8103231579350147</v>
      </c>
      <c r="L81" s="152">
        <f>IFERROR(('P&amp;L(OUTPUT)'!K9*-1)/'Ratio analysis'!L43,"-")</f>
        <v>2.8677289033639188</v>
      </c>
      <c r="M81" s="164">
        <f>IFERROR(('P&amp;L(OUTPUT)'!L9*-1)/'Ratio analysis'!M43,"-")</f>
        <v>2.9818435222710584</v>
      </c>
      <c r="N81" s="152">
        <f>IFERROR(('P&amp;L(OUTPUT)'!M9*-1)/'Ratio analysis'!N43,"-")</f>
        <v>2.9220489194071599</v>
      </c>
      <c r="O81" s="152">
        <f>IFERROR(('P&amp;L(OUTPUT)'!N9*-1)/'Ratio analysis'!O43,"-")</f>
        <v>2.9220489194071595</v>
      </c>
      <c r="P81" s="152">
        <f>IFERROR(('P&amp;L(OUTPUT)'!O9*-1)/'Ratio analysis'!P43,"-")</f>
        <v>2.9220489194071595</v>
      </c>
      <c r="Q81" s="152">
        <f>IFERROR(('P&amp;L(OUTPUT)'!P9*-1)/'Ratio analysis'!Q43,"-")</f>
        <v>2.9220489194071595</v>
      </c>
      <c r="R81" s="152">
        <f>IFERROR(('P&amp;L(OUTPUT)'!Q9*-1)/'Ratio analysis'!R43,"-")</f>
        <v>2.9220489194071595</v>
      </c>
      <c r="S81" s="269">
        <f t="shared" si="9"/>
        <v>2.9220489194071595</v>
      </c>
      <c r="T81" s="270">
        <f t="shared" si="10"/>
        <v>2.9556914194677253</v>
      </c>
      <c r="U81" s="155"/>
      <c r="V81" s="275">
        <f t="shared" si="11"/>
        <v>2.9220489194071595</v>
      </c>
      <c r="W81" s="275">
        <f t="shared" si="12"/>
        <v>2.9220489194071595</v>
      </c>
      <c r="X81" s="157"/>
    </row>
    <row r="82" spans="3:24" ht="15.6">
      <c r="C82" s="2" t="s">
        <v>523</v>
      </c>
      <c r="E82" s="3" t="s">
        <v>519</v>
      </c>
      <c r="H82" s="152" t="s">
        <v>158</v>
      </c>
      <c r="I82" s="152">
        <f>IFERROR('P&amp;L(OUTPUT)'!H7/I44,"-")</f>
        <v>8.8182039425650949</v>
      </c>
      <c r="J82" s="152">
        <f>IFERROR('P&amp;L(OUTPUT)'!I7/J44,"-")</f>
        <v>5.1968045956377322</v>
      </c>
      <c r="K82" s="152">
        <f>IFERROR('P&amp;L(OUTPUT)'!J7/K44,"-")</f>
        <v>4.4839401333449196</v>
      </c>
      <c r="L82" s="152">
        <f>IFERROR('P&amp;L(OUTPUT)'!K7/L44,"-")</f>
        <v>7.6787644787644789</v>
      </c>
      <c r="M82" s="164">
        <f>IFERROR('P&amp;L(OUTPUT)'!L7/M44,"-")</f>
        <v>14.11394086288046</v>
      </c>
      <c r="N82" s="152">
        <f>IFERROR('P&amp;L(OUTPUT)'!M7/N44,"-")</f>
        <v>12.246522492338608</v>
      </c>
      <c r="O82" s="152">
        <f>IFERROR('P&amp;L(OUTPUT)'!N7/O44,"-")</f>
        <v>7.4334593244651046</v>
      </c>
      <c r="P82" s="152">
        <f>IFERROR('P&amp;L(OUTPUT)'!O7/P44,"-")</f>
        <v>5.2458785551599272</v>
      </c>
      <c r="Q82" s="152">
        <f>IFERROR('P&amp;L(OUTPUT)'!P7/Q44,"-")</f>
        <v>4.0614580558542013</v>
      </c>
      <c r="R82" s="152">
        <f>IFERROR('P&amp;L(OUTPUT)'!Q7/R44,"-")</f>
        <v>3.3621999376835392</v>
      </c>
      <c r="S82" s="269">
        <f t="shared" si="9"/>
        <v>8.0583308026385367</v>
      </c>
      <c r="T82" s="270">
        <f t="shared" si="10"/>
        <v>7.6787644787644789</v>
      </c>
      <c r="U82" s="155"/>
      <c r="V82" s="275">
        <f t="shared" si="11"/>
        <v>6.4699036731002764</v>
      </c>
      <c r="W82" s="275">
        <f t="shared" si="12"/>
        <v>5.2458785551599272</v>
      </c>
      <c r="X82" s="157"/>
    </row>
    <row r="83" spans="3:24" ht="15.6">
      <c r="C83" s="2" t="s">
        <v>526</v>
      </c>
      <c r="E83" s="3" t="s">
        <v>524</v>
      </c>
      <c r="H83" s="152" t="s">
        <v>158</v>
      </c>
      <c r="I83" s="152">
        <f>IFERROR('P&amp;L(OUTPUT)'!H7/I45,"-")</f>
        <v>13.838761579717204</v>
      </c>
      <c r="J83" s="152">
        <f>IFERROR('P&amp;L(OUTPUT)'!I7/J45,"-")</f>
        <v>12.496154593264599</v>
      </c>
      <c r="K83" s="152">
        <f>IFERROR('P&amp;L(OUTPUT)'!J7/K45,"-")</f>
        <v>17.486056543121688</v>
      </c>
      <c r="L83" s="152">
        <f>IFERROR('P&amp;L(OUTPUT)'!K7/L45,"-")</f>
        <v>23.666670289185699</v>
      </c>
      <c r="M83" s="164">
        <f>IFERROR('P&amp;L(OUTPUT)'!L7/M45,"-")</f>
        <v>18.810336811022015</v>
      </c>
      <c r="N83" s="152">
        <f>IFERROR('P&amp;L(OUTPUT)'!M7/N45,"-")</f>
        <v>17.406987454041587</v>
      </c>
      <c r="O83" s="152">
        <f>IFERROR('P&amp;L(OUTPUT)'!N7/O45,"-")</f>
        <v>17.346556528000058</v>
      </c>
      <c r="P83" s="152">
        <f>IFERROR('P&amp;L(OUTPUT)'!O7/P45,"-")</f>
        <v>17.320785814716565</v>
      </c>
      <c r="Q83" s="152">
        <f>IFERROR('P&amp;L(OUTPUT)'!P7/Q45,"-")</f>
        <v>17.312212584517663</v>
      </c>
      <c r="R83" s="152">
        <f>IFERROR('P&amp;L(OUTPUT)'!Q7/R45,"-")</f>
        <v>17.295091559774431</v>
      </c>
      <c r="S83" s="269">
        <f t="shared" si="9"/>
        <v>17.259595963262239</v>
      </c>
      <c r="T83" s="270">
        <f t="shared" si="10"/>
        <v>17.486056543121688</v>
      </c>
      <c r="U83" s="155"/>
      <c r="V83" s="275">
        <f t="shared" si="11"/>
        <v>17.336326788210062</v>
      </c>
      <c r="W83" s="275">
        <f t="shared" si="12"/>
        <v>17.320785814716565</v>
      </c>
      <c r="X83" s="157"/>
    </row>
    <row r="84" spans="3:24" ht="15.6">
      <c r="C84" s="2" t="s">
        <v>535</v>
      </c>
      <c r="E84" s="3" t="s">
        <v>532</v>
      </c>
      <c r="H84" s="152" t="s">
        <v>158</v>
      </c>
      <c r="I84" s="152">
        <f>IFERROR('P&amp;L(OUTPUT)'!H7/I46,"-")</f>
        <v>5.4934178905637614</v>
      </c>
      <c r="J84" s="152">
        <f>IFERROR('P&amp;L(OUTPUT)'!I7/J46,"-")</f>
        <v>5.1556953947075499</v>
      </c>
      <c r="K84" s="152">
        <f>IFERROR('P&amp;L(OUTPUT)'!J7/K46,"-")</f>
        <v>5.255954281687349</v>
      </c>
      <c r="L84" s="152">
        <f>IFERROR('P&amp;L(OUTPUT)'!K7/L46,"-")</f>
        <v>5.7617398436363159</v>
      </c>
      <c r="M84" s="164">
        <f>IFERROR('P&amp;L(OUTPUT)'!L7/M46,"-")</f>
        <v>5.4831521054220955</v>
      </c>
      <c r="N84" s="152">
        <f>IFERROR('P&amp;L(OUTPUT)'!M7/N46,"-")</f>
        <v>5.4393796299205057</v>
      </c>
      <c r="O84" s="152">
        <f>IFERROR('P&amp;L(OUTPUT)'!N7/O46,"-")</f>
        <v>5.5298721475452712</v>
      </c>
      <c r="P84" s="152">
        <f>IFERROR('P&amp;L(OUTPUT)'!O7/P46,"-")</f>
        <v>5.5160065670318108</v>
      </c>
      <c r="Q84" s="152">
        <f>IFERROR('P&amp;L(OUTPUT)'!P7/Q46,"-")</f>
        <v>5.4785240852637767</v>
      </c>
      <c r="R84" s="152">
        <f>IFERROR('P&amp;L(OUTPUT)'!Q7/R46,"-")</f>
        <v>5.4194458916396817</v>
      </c>
      <c r="S84" s="269">
        <f t="shared" si="9"/>
        <v>5.4299919032034145</v>
      </c>
      <c r="T84" s="270">
        <f t="shared" si="10"/>
        <v>5.4831521054220955</v>
      </c>
      <c r="U84" s="155"/>
      <c r="V84" s="275">
        <f>AVERAGE(N84:R84)</f>
        <v>5.4766456642802099</v>
      </c>
      <c r="W84" s="275">
        <f t="shared" si="12"/>
        <v>5.4785240852637767</v>
      </c>
      <c r="X84" s="157"/>
    </row>
    <row r="85" spans="3:24" ht="15.6">
      <c r="C85" s="2" t="s">
        <v>536</v>
      </c>
      <c r="E85" s="3" t="s">
        <v>534</v>
      </c>
      <c r="H85" s="152" t="s">
        <v>158</v>
      </c>
      <c r="I85" s="152">
        <f>IFERROR('P&amp;L(OUTPUT)'!H7/I47,"-")</f>
        <v>0.99368139257929788</v>
      </c>
      <c r="J85" s="152">
        <f>IFERROR('P&amp;L(OUTPUT)'!I7/J47,"-")</f>
        <v>0.97631508685742219</v>
      </c>
      <c r="K85" s="152">
        <f>IFERROR('P&amp;L(OUTPUT)'!J7/K47,"-")</f>
        <v>0.94515458038506739</v>
      </c>
      <c r="L85" s="152">
        <f>IFERROR('P&amp;L(OUTPUT)'!K7/L47,"-")</f>
        <v>0.94145253734492051</v>
      </c>
      <c r="M85" s="164">
        <f>IFERROR('P&amp;L(OUTPUT)'!L7/M47,"-")</f>
        <v>0.88900377425411259</v>
      </c>
      <c r="N85" s="152">
        <f>IFERROR('P&amp;L(OUTPUT)'!M7/N47,"-")</f>
        <v>0.88915548455167115</v>
      </c>
      <c r="O85" s="152">
        <f>IFERROR('P&amp;L(OUTPUT)'!N7/O47,"-")</f>
        <v>0.89925687090287221</v>
      </c>
      <c r="P85" s="152">
        <f>IFERROR('P&amp;L(OUTPUT)'!O7/P47,"-")</f>
        <v>0.89315916979613486</v>
      </c>
      <c r="Q85" s="152">
        <f>IFERROR('P&amp;L(OUTPUT)'!P7/Q47,"-")</f>
        <v>0.88359562076877984</v>
      </c>
      <c r="R85" s="152">
        <f>IFERROR('P&amp;L(OUTPUT)'!Q7/R47,"-")</f>
        <v>0.87108121327614185</v>
      </c>
      <c r="S85" s="269">
        <f t="shared" si="9"/>
        <v>0.94912147428416416</v>
      </c>
      <c r="T85" s="270">
        <f t="shared" si="10"/>
        <v>0.94515458038506739</v>
      </c>
      <c r="U85" s="155"/>
      <c r="V85" s="275">
        <f t="shared" si="11"/>
        <v>0.88724967185911985</v>
      </c>
      <c r="W85" s="275">
        <f t="shared" si="12"/>
        <v>0.88915548455167115</v>
      </c>
      <c r="X85" s="157"/>
    </row>
    <row r="86" spans="3:24" ht="15.6">
      <c r="C86" s="2" t="s">
        <v>540</v>
      </c>
      <c r="E86" s="3" t="s">
        <v>539</v>
      </c>
      <c r="H86" s="152" t="s">
        <v>158</v>
      </c>
      <c r="I86" s="152">
        <f>IFERROR('P&amp;L(OUTPUT)'!H7/I48,"-")</f>
        <v>1.4208688585729052</v>
      </c>
      <c r="J86" s="152">
        <f>IFERROR('P&amp;L(OUTPUT)'!I7/J48,"-")</f>
        <v>1.378665282388071</v>
      </c>
      <c r="K86" s="152">
        <f>IFERROR('P&amp;L(OUTPUT)'!J7/K48,"-")</f>
        <v>1.2962188525124374</v>
      </c>
      <c r="L86" s="152">
        <f>IFERROR('P&amp;L(OUTPUT)'!K7/L48,"-")</f>
        <v>1.2964496904038589</v>
      </c>
      <c r="M86" s="164">
        <f>IFERROR('P&amp;L(OUTPUT)'!L7/M48,"-")</f>
        <v>1.2465952111042096</v>
      </c>
      <c r="N86" s="152">
        <f>IFERROR('P&amp;L(OUTPUT)'!M7/N48,"-")</f>
        <v>1.2596039184673677</v>
      </c>
      <c r="O86" s="152">
        <f>IFERROR('P&amp;L(OUTPUT)'!N7/O48,"-")</f>
        <v>1.2571267570625013</v>
      </c>
      <c r="P86" s="152">
        <f>IFERROR('P&amp;L(OUTPUT)'!O7/P48,"-")</f>
        <v>1.2307479477870586</v>
      </c>
      <c r="Q86" s="152">
        <f>IFERROR('P&amp;L(OUTPUT)'!P7/Q48,"-")</f>
        <v>1.2015430823875182</v>
      </c>
      <c r="R86" s="152">
        <f>IFERROR('P&amp;L(OUTPUT)'!Q7/R48,"-")</f>
        <v>1.1689264589560957</v>
      </c>
      <c r="S86" s="269">
        <f t="shared" si="9"/>
        <v>1.3277595789962964</v>
      </c>
      <c r="T86" s="270">
        <f t="shared" si="10"/>
        <v>1.2964496904038589</v>
      </c>
      <c r="U86" s="155"/>
      <c r="V86" s="275">
        <f>AVERAGE(N86:R86)</f>
        <v>1.2235896329321083</v>
      </c>
      <c r="W86" s="275">
        <f t="shared" si="12"/>
        <v>1.2307479477870586</v>
      </c>
      <c r="X86" s="157"/>
    </row>
    <row r="87" spans="3:24">
      <c r="M87" s="157"/>
      <c r="S87" s="229"/>
      <c r="T87" s="64"/>
      <c r="U87" s="155"/>
      <c r="X87" s="157"/>
    </row>
    <row r="88" spans="3:24">
      <c r="M88" s="157"/>
      <c r="S88" s="229"/>
      <c r="T88" s="64"/>
      <c r="U88" s="155"/>
      <c r="X88" s="157"/>
    </row>
    <row r="89" spans="3:24" ht="15.6">
      <c r="D89" s="3" t="s">
        <v>544</v>
      </c>
      <c r="M89" s="157"/>
      <c r="S89" s="229"/>
      <c r="T89" s="64"/>
      <c r="U89" s="155"/>
      <c r="X89" s="157"/>
    </row>
    <row r="90" spans="3:24" ht="15.6">
      <c r="E90" s="3" t="s">
        <v>508</v>
      </c>
      <c r="H90" s="152" t="s">
        <v>158</v>
      </c>
      <c r="I90" s="153">
        <f t="shared" ref="I90:R90" si="13">IFERROR(365/I79,"-")</f>
        <v>108.73988282369722</v>
      </c>
      <c r="J90" s="153">
        <f t="shared" si="13"/>
        <v>112.66656915340832</v>
      </c>
      <c r="K90" s="153">
        <f t="shared" si="13"/>
        <v>119.03819405895797</v>
      </c>
      <c r="L90" s="153">
        <f t="shared" si="13"/>
        <v>117.97299585615522</v>
      </c>
      <c r="M90" s="165">
        <f t="shared" si="13"/>
        <v>114.5763814333822</v>
      </c>
      <c r="N90" s="153">
        <f t="shared" si="13"/>
        <v>114.476756732019</v>
      </c>
      <c r="O90" s="153">
        <f t="shared" si="13"/>
        <v>114.47675673201898</v>
      </c>
      <c r="P90" s="153">
        <f t="shared" si="13"/>
        <v>114.476756732019</v>
      </c>
      <c r="Q90" s="153">
        <f t="shared" si="13"/>
        <v>114.47675673201901</v>
      </c>
      <c r="R90" s="153">
        <f t="shared" si="13"/>
        <v>114.47675673201898</v>
      </c>
      <c r="S90" s="271">
        <f>AVERAGE(I90:M90)</f>
        <v>114.59880466512018</v>
      </c>
      <c r="T90" s="272">
        <f>MEDIAN(I90:M90)</f>
        <v>114.5763814333822</v>
      </c>
      <c r="U90" s="155"/>
      <c r="V90" s="276">
        <f>AVERAGE(N90:R90)</f>
        <v>114.476756732019</v>
      </c>
      <c r="W90" s="276">
        <f>MEDIAN(N90:R90)</f>
        <v>114.476756732019</v>
      </c>
      <c r="X90" s="157"/>
    </row>
    <row r="91" spans="3:24" ht="15.6">
      <c r="E91" s="3" t="s">
        <v>512</v>
      </c>
      <c r="H91" s="152" t="s">
        <v>158</v>
      </c>
      <c r="I91" s="153">
        <f t="shared" ref="I91:R91" si="14">IFERROR(365/I80,"-")</f>
        <v>32.998782147718316</v>
      </c>
      <c r="J91" s="153">
        <f t="shared" si="14"/>
        <v>34.619699262145581</v>
      </c>
      <c r="K91" s="153">
        <f t="shared" si="14"/>
        <v>26.294521086041104</v>
      </c>
      <c r="L91" s="153">
        <f t="shared" si="14"/>
        <v>20.2421895950657</v>
      </c>
      <c r="M91" s="165">
        <f t="shared" si="14"/>
        <v>23.661912646174422</v>
      </c>
      <c r="N91" s="153">
        <f t="shared" si="14"/>
        <v>26.471279783792649</v>
      </c>
      <c r="O91" s="153">
        <f t="shared" si="14"/>
        <v>26.471279783792649</v>
      </c>
      <c r="P91" s="153">
        <f t="shared" si="14"/>
        <v>26.471279783792649</v>
      </c>
      <c r="Q91" s="153">
        <f t="shared" si="14"/>
        <v>26.471279783792649</v>
      </c>
      <c r="R91" s="153">
        <f t="shared" si="14"/>
        <v>26.471279783792649</v>
      </c>
      <c r="S91" s="271">
        <f t="shared" ref="S91:S97" si="15">AVERAGE(I91:M91)</f>
        <v>27.563420947429023</v>
      </c>
      <c r="T91" s="272">
        <f t="shared" ref="T91:T97" si="16">MEDIAN(I91:M91)</f>
        <v>26.294521086041104</v>
      </c>
      <c r="U91" s="155"/>
      <c r="V91" s="276">
        <f t="shared" ref="V91:V97" si="17">AVERAGE(N91:R91)</f>
        <v>26.471279783792646</v>
      </c>
      <c r="W91" s="276">
        <f t="shared" ref="W91:W97" si="18">MEDIAN(N91:R91)</f>
        <v>26.471279783792649</v>
      </c>
      <c r="X91" s="157"/>
    </row>
    <row r="92" spans="3:24" ht="15.6">
      <c r="E92" s="3" t="s">
        <v>516</v>
      </c>
      <c r="H92" s="152" t="s">
        <v>158</v>
      </c>
      <c r="I92" s="153">
        <f t="shared" ref="I92:R92" si="19">IFERROR(365/I81,"-")</f>
        <v>121.8837174345195</v>
      </c>
      <c r="J92" s="153">
        <f t="shared" si="19"/>
        <v>123.49056386465773</v>
      </c>
      <c r="K92" s="153">
        <f t="shared" si="19"/>
        <v>129.87830206266983</v>
      </c>
      <c r="L92" s="153">
        <f t="shared" si="19"/>
        <v>127.27841867194829</v>
      </c>
      <c r="M92" s="165">
        <f t="shared" si="19"/>
        <v>122.40749632697205</v>
      </c>
      <c r="N92" s="153">
        <f t="shared" si="19"/>
        <v>124.91235091096731</v>
      </c>
      <c r="O92" s="153">
        <f t="shared" si="19"/>
        <v>124.91235091096733</v>
      </c>
      <c r="P92" s="153">
        <f t="shared" si="19"/>
        <v>124.91235091096733</v>
      </c>
      <c r="Q92" s="153">
        <f t="shared" si="19"/>
        <v>124.91235091096733</v>
      </c>
      <c r="R92" s="153">
        <f t="shared" si="19"/>
        <v>124.91235091096733</v>
      </c>
      <c r="S92" s="271">
        <f t="shared" si="15"/>
        <v>124.98769967215348</v>
      </c>
      <c r="T92" s="272">
        <f t="shared" si="16"/>
        <v>123.49056386465773</v>
      </c>
      <c r="U92" s="155"/>
      <c r="V92" s="276">
        <f t="shared" si="17"/>
        <v>124.91235091096732</v>
      </c>
      <c r="W92" s="276">
        <f t="shared" si="18"/>
        <v>124.91235091096733</v>
      </c>
      <c r="X92" s="157"/>
    </row>
    <row r="93" spans="3:24" ht="15.6">
      <c r="E93" s="3" t="s">
        <v>522</v>
      </c>
      <c r="H93" s="152" t="s">
        <v>158</v>
      </c>
      <c r="I93" s="153">
        <f t="shared" ref="I93:R93" si="20">IFERROR(365/I82,"-")</f>
        <v>41.391648727714333</v>
      </c>
      <c r="J93" s="153">
        <f t="shared" si="20"/>
        <v>70.235467445973612</v>
      </c>
      <c r="K93" s="153">
        <f t="shared" si="20"/>
        <v>81.401622043450018</v>
      </c>
      <c r="L93" s="153">
        <f t="shared" si="20"/>
        <v>47.533688656476265</v>
      </c>
      <c r="M93" s="165">
        <f t="shared" si="20"/>
        <v>25.860955741988885</v>
      </c>
      <c r="N93" s="153">
        <f t="shared" si="20"/>
        <v>29.804379180158534</v>
      </c>
      <c r="O93" s="153">
        <f t="shared" si="20"/>
        <v>49.102306754905747</v>
      </c>
      <c r="P93" s="153">
        <f t="shared" si="20"/>
        <v>69.57843117450372</v>
      </c>
      <c r="Q93" s="153">
        <f t="shared" si="20"/>
        <v>89.869203369929579</v>
      </c>
      <c r="R93" s="153">
        <f t="shared" si="20"/>
        <v>108.55987352479541</v>
      </c>
      <c r="S93" s="271">
        <f t="shared" si="15"/>
        <v>53.284676523120631</v>
      </c>
      <c r="T93" s="272">
        <f t="shared" si="16"/>
        <v>47.533688656476265</v>
      </c>
      <c r="U93" s="155"/>
      <c r="V93" s="276">
        <f t="shared" si="17"/>
        <v>69.382838800858593</v>
      </c>
      <c r="W93" s="276">
        <f t="shared" si="18"/>
        <v>69.57843117450372</v>
      </c>
      <c r="X93" s="157"/>
    </row>
    <row r="94" spans="3:24" ht="15.6">
      <c r="E94" s="3" t="s">
        <v>525</v>
      </c>
      <c r="H94" s="152" t="s">
        <v>158</v>
      </c>
      <c r="I94" s="153">
        <f t="shared" ref="I94:R94" si="21">IFERROR(365/I83,"-")</f>
        <v>26.375192454718103</v>
      </c>
      <c r="J94" s="153">
        <f t="shared" si="21"/>
        <v>29.208985634407423</v>
      </c>
      <c r="K94" s="153">
        <f t="shared" si="21"/>
        <v>20.873774432782351</v>
      </c>
      <c r="L94" s="153">
        <f t="shared" si="21"/>
        <v>15.422532850630192</v>
      </c>
      <c r="M94" s="165">
        <f t="shared" si="21"/>
        <v>19.404224584970024</v>
      </c>
      <c r="N94" s="153">
        <f t="shared" si="21"/>
        <v>20.968590973233201</v>
      </c>
      <c r="O94" s="153">
        <f t="shared" si="21"/>
        <v>21.041640132485824</v>
      </c>
      <c r="P94" s="153">
        <f t="shared" si="21"/>
        <v>21.072946915022676</v>
      </c>
      <c r="Q94" s="153">
        <f t="shared" si="21"/>
        <v>21.083382509201627</v>
      </c>
      <c r="R94" s="153">
        <f t="shared" si="21"/>
        <v>21.104253697559521</v>
      </c>
      <c r="S94" s="271">
        <f t="shared" si="15"/>
        <v>22.25694199150162</v>
      </c>
      <c r="T94" s="272">
        <f t="shared" si="16"/>
        <v>20.873774432782351</v>
      </c>
      <c r="U94" s="155"/>
      <c r="V94" s="276">
        <f t="shared" si="17"/>
        <v>21.054162845500571</v>
      </c>
      <c r="W94" s="276">
        <f t="shared" si="18"/>
        <v>21.072946915022676</v>
      </c>
      <c r="X94" s="157"/>
    </row>
    <row r="95" spans="3:24" ht="15.6">
      <c r="E95" s="3" t="s">
        <v>537</v>
      </c>
      <c r="H95" s="152" t="s">
        <v>158</v>
      </c>
      <c r="I95" s="153">
        <f t="shared" ref="I95:R95" si="22">IFERROR(365/I84,"-")</f>
        <v>66.443152017794503</v>
      </c>
      <c r="J95" s="153">
        <f t="shared" si="22"/>
        <v>70.795493538016544</v>
      </c>
      <c r="K95" s="153">
        <f t="shared" si="22"/>
        <v>69.445048498942029</v>
      </c>
      <c r="L95" s="153">
        <f t="shared" si="22"/>
        <v>63.348920622150708</v>
      </c>
      <c r="M95" s="165">
        <f t="shared" si="22"/>
        <v>66.567549647047798</v>
      </c>
      <c r="N95" s="153">
        <f t="shared" si="22"/>
        <v>67.103240596085101</v>
      </c>
      <c r="O95" s="153">
        <f t="shared" si="22"/>
        <v>66.005142661756608</v>
      </c>
      <c r="P95" s="153">
        <f t="shared" si="22"/>
        <v>66.171059726712443</v>
      </c>
      <c r="Q95" s="153">
        <f t="shared" si="22"/>
        <v>66.62378303342372</v>
      </c>
      <c r="R95" s="153">
        <f t="shared" si="22"/>
        <v>67.350058898653813</v>
      </c>
      <c r="S95" s="271">
        <f t="shared" si="15"/>
        <v>67.320032864790321</v>
      </c>
      <c r="T95" s="272">
        <f t="shared" si="16"/>
        <v>66.567549647047798</v>
      </c>
      <c r="U95" s="155"/>
      <c r="V95" s="276">
        <f t="shared" si="17"/>
        <v>66.650656983326328</v>
      </c>
      <c r="W95" s="276">
        <f t="shared" si="18"/>
        <v>66.62378303342372</v>
      </c>
      <c r="X95" s="157"/>
    </row>
    <row r="96" spans="3:24" ht="15.6">
      <c r="E96" s="3" t="s">
        <v>538</v>
      </c>
      <c r="H96" s="152" t="s">
        <v>158</v>
      </c>
      <c r="I96" s="153">
        <f t="shared" ref="I96:R97" si="23">IFERROR(365/I85,"-")</f>
        <v>367.32095692420063</v>
      </c>
      <c r="J96" s="153">
        <f t="shared" si="23"/>
        <v>373.85471648796039</v>
      </c>
      <c r="K96" s="153">
        <f t="shared" si="23"/>
        <v>386.18021599312846</v>
      </c>
      <c r="L96" s="153">
        <f t="shared" si="23"/>
        <v>387.6987798337355</v>
      </c>
      <c r="M96" s="165">
        <f t="shared" si="23"/>
        <v>410.57193520493257</v>
      </c>
      <c r="N96" s="153">
        <f t="shared" si="23"/>
        <v>410.50188222596393</v>
      </c>
      <c r="O96" s="153">
        <f t="shared" si="23"/>
        <v>405.89069909861524</v>
      </c>
      <c r="P96" s="153">
        <f t="shared" si="23"/>
        <v>408.66176191564142</v>
      </c>
      <c r="Q96" s="153">
        <f t="shared" si="23"/>
        <v>413.08489021530988</v>
      </c>
      <c r="R96" s="153">
        <f t="shared" si="23"/>
        <v>419.01948341559648</v>
      </c>
      <c r="S96" s="271">
        <f t="shared" si="15"/>
        <v>385.12532088879146</v>
      </c>
      <c r="T96" s="272">
        <f t="shared" si="16"/>
        <v>386.18021599312846</v>
      </c>
      <c r="U96" s="155"/>
      <c r="V96" s="276">
        <f t="shared" si="17"/>
        <v>411.43174337422533</v>
      </c>
      <c r="W96" s="276">
        <f t="shared" si="18"/>
        <v>410.50188222596393</v>
      </c>
      <c r="X96" s="157"/>
    </row>
    <row r="97" spans="1:24" ht="15.6">
      <c r="E97" s="3" t="s">
        <v>546</v>
      </c>
      <c r="H97" s="152" t="s">
        <v>158</v>
      </c>
      <c r="I97" s="153">
        <f t="shared" si="23"/>
        <v>256.88507267771308</v>
      </c>
      <c r="J97" s="153">
        <f t="shared" si="23"/>
        <v>264.74881514950533</v>
      </c>
      <c r="K97" s="153">
        <f t="shared" si="23"/>
        <v>281.58825131460412</v>
      </c>
      <c r="L97" s="153">
        <f t="shared" si="23"/>
        <v>281.53811343523739</v>
      </c>
      <c r="M97" s="165">
        <f t="shared" si="23"/>
        <v>292.79753102588143</v>
      </c>
      <c r="N97" s="153">
        <f t="shared" si="23"/>
        <v>289.77363014567027</v>
      </c>
      <c r="O97" s="153">
        <f t="shared" si="23"/>
        <v>290.34462750032219</v>
      </c>
      <c r="P97" s="153">
        <f t="shared" si="23"/>
        <v>296.56762837288233</v>
      </c>
      <c r="Q97" s="153">
        <f t="shared" si="23"/>
        <v>303.77604045185728</v>
      </c>
      <c r="R97" s="153">
        <f t="shared" si="23"/>
        <v>312.25232109636869</v>
      </c>
      <c r="S97" s="271">
        <f t="shared" si="15"/>
        <v>275.51155672058826</v>
      </c>
      <c r="T97" s="272">
        <f t="shared" si="16"/>
        <v>281.53811343523739</v>
      </c>
      <c r="U97" s="155"/>
      <c r="V97" s="276">
        <f t="shared" si="17"/>
        <v>298.54284951342015</v>
      </c>
      <c r="W97" s="276">
        <f t="shared" si="18"/>
        <v>296.56762837288233</v>
      </c>
      <c r="X97" s="157"/>
    </row>
    <row r="98" spans="1:24">
      <c r="A98" s="149"/>
      <c r="B98" s="149"/>
      <c r="C98" s="149"/>
      <c r="D98" s="149"/>
      <c r="E98" s="149"/>
      <c r="F98" s="149"/>
      <c r="G98" s="149"/>
      <c r="H98" s="150"/>
      <c r="I98" s="150"/>
      <c r="J98" s="150"/>
      <c r="K98" s="150"/>
      <c r="L98" s="150"/>
      <c r="M98" s="161"/>
      <c r="N98" s="150"/>
      <c r="O98" s="149"/>
      <c r="P98" s="149"/>
      <c r="Q98" s="149"/>
      <c r="R98" s="149"/>
      <c r="S98" s="260"/>
      <c r="T98" s="261"/>
      <c r="U98" s="268"/>
      <c r="V98" s="149"/>
      <c r="W98" s="149"/>
      <c r="X98" s="274"/>
    </row>
    <row r="99" spans="1:24">
      <c r="M99" s="157"/>
      <c r="S99" s="229"/>
      <c r="T99" s="64"/>
      <c r="U99" s="155"/>
      <c r="X99" s="157"/>
    </row>
    <row r="100" spans="1:24" ht="15.6">
      <c r="D100" s="3" t="s">
        <v>547</v>
      </c>
      <c r="M100" s="157"/>
      <c r="S100" s="229"/>
      <c r="T100" s="64"/>
      <c r="U100" s="155"/>
      <c r="X100" s="157"/>
    </row>
    <row r="101" spans="1:24" ht="15.6">
      <c r="B101" s="2" t="s">
        <v>552</v>
      </c>
      <c r="E101" s="3" t="s">
        <v>548</v>
      </c>
      <c r="H101" s="152" t="s">
        <v>158</v>
      </c>
      <c r="I101" s="177">
        <f>IFERROR('P&amp;L(OUTPUT)'!H47/'Ratio analysis'!I49,"-")</f>
        <v>0.25494170150464807</v>
      </c>
      <c r="J101" s="177">
        <f>IFERROR('P&amp;L(OUTPUT)'!I47/'Ratio analysis'!J49,"-")</f>
        <v>0.23663955585445626</v>
      </c>
      <c r="K101" s="177">
        <f>IFERROR('P&amp;L(OUTPUT)'!J47/'Ratio analysis'!K49,"-")</f>
        <v>0.23770785912113301</v>
      </c>
      <c r="L101" s="177">
        <f>IFERROR('P&amp;L(OUTPUT)'!K47/'Ratio analysis'!L49,"-")</f>
        <v>0.21740336295242768</v>
      </c>
      <c r="M101" s="178">
        <f>IFERROR('P&amp;L(OUTPUT)'!L47/'Ratio analysis'!M49,"-")</f>
        <v>0.19625504766470592</v>
      </c>
      <c r="N101" s="177">
        <f>IFERROR('P&amp;L(OUTPUT)'!M47/'Ratio analysis'!N49,"-")</f>
        <v>0.19325139560608295</v>
      </c>
      <c r="O101" s="177">
        <f>IFERROR('P&amp;L(OUTPUT)'!N47/'Ratio analysis'!O49,"-")</f>
        <v>0.19995323226957717</v>
      </c>
      <c r="P101" s="177">
        <f>IFERROR('P&amp;L(OUTPUT)'!O47/'Ratio analysis'!P49,"-")</f>
        <v>0.19475529030679017</v>
      </c>
      <c r="Q101" s="177">
        <f>IFERROR('P&amp;L(OUTPUT)'!P47/'Ratio analysis'!Q49,"-")</f>
        <v>0.19023353400926449</v>
      </c>
      <c r="R101" s="177">
        <f>IFERROR('P&amp;L(OUTPUT)'!Q47/'Ratio analysis'!R49,"-")</f>
        <v>0.18805489834013298</v>
      </c>
      <c r="S101" s="231">
        <f>AVERAGE(I101:M101)</f>
        <v>0.2285895054194742</v>
      </c>
      <c r="T101" s="235">
        <f>MEDIAN(I101:M101)</f>
        <v>0.23663955585445626</v>
      </c>
      <c r="U101" s="155"/>
      <c r="V101" s="8">
        <f>AVERAGE(N101:R101)</f>
        <v>0.19324967010636956</v>
      </c>
      <c r="W101" s="8">
        <f>MEDIAN(N101:R101)</f>
        <v>0.19325139560608295</v>
      </c>
      <c r="X101" s="157"/>
    </row>
    <row r="102" spans="1:24" ht="15.6">
      <c r="B102" s="2" t="s">
        <v>554</v>
      </c>
      <c r="E102" s="3" t="s">
        <v>553</v>
      </c>
      <c r="H102" s="152" t="s">
        <v>158</v>
      </c>
      <c r="I102" s="177">
        <f>IFERROR('P&amp;L(OUTPUT)'!H47/'Ratio analysis'!I47,"-")</f>
        <v>0.16866229788654288</v>
      </c>
      <c r="J102" s="177">
        <f>IFERROR('P&amp;L(OUTPUT)'!I47/'Ratio analysis'!J47,"-")</f>
        <v>0.16277426625783761</v>
      </c>
      <c r="K102" s="177">
        <f>IFERROR('P&amp;L(OUTPUT)'!J47/'Ratio analysis'!K47,"-")</f>
        <v>0.16790735572348892</v>
      </c>
      <c r="L102" s="177">
        <f>IFERROR('P&amp;L(OUTPUT)'!K47/'Ratio analysis'!L47,"-")</f>
        <v>0.15079765135749018</v>
      </c>
      <c r="M102" s="178">
        <f>IFERROR('P&amp;L(OUTPUT)'!L47/'Ratio analysis'!M47,"-")</f>
        <v>0.13130549098072777</v>
      </c>
      <c r="N102" s="177">
        <f>IFERROR('P&amp;L(OUTPUT)'!M47/'Ratio analysis'!N47,"-")</f>
        <v>0.12820997195134154</v>
      </c>
      <c r="O102" s="177">
        <f>IFERROR('P&amp;L(OUTPUT)'!N47/'Ratio analysis'!O47,"-")</f>
        <v>0.13519024239314134</v>
      </c>
      <c r="P102" s="177">
        <f>IFERROR('P&amp;L(OUTPUT)'!O47/'Ratio analysis'!P47,"-")</f>
        <v>0.13427794226042156</v>
      </c>
      <c r="Q102" s="177">
        <f>IFERROR('P&amp;L(OUTPUT)'!P47/'Ratio analysis'!Q47,"-")</f>
        <v>0.13352164708380362</v>
      </c>
      <c r="R102" s="177">
        <f>IFERROR('P&amp;L(OUTPUT)'!Q47/'Ratio analysis'!R47,"-")</f>
        <v>0.13430628324213453</v>
      </c>
      <c r="S102" s="231">
        <f t="shared" ref="S102:S107" si="24">AVERAGE(I102:M102)</f>
        <v>0.15628941244121747</v>
      </c>
      <c r="T102" s="235">
        <f t="shared" ref="T102:T107" si="25">MEDIAN(I102:M102)</f>
        <v>0.16277426625783761</v>
      </c>
      <c r="U102" s="155"/>
      <c r="V102" s="8">
        <f t="shared" ref="V102:V107" si="26">AVERAGE(N102:R102)</f>
        <v>0.13310121738616854</v>
      </c>
      <c r="W102" s="8">
        <f t="shared" ref="W102:W107" si="27">MEDIAN(N102:R102)</f>
        <v>0.13427794226042156</v>
      </c>
      <c r="X102" s="157"/>
    </row>
    <row r="103" spans="1:24" ht="15.6">
      <c r="B103" s="2" t="s">
        <v>556</v>
      </c>
      <c r="E103" s="3" t="s">
        <v>555</v>
      </c>
      <c r="H103" s="152" t="s">
        <v>158</v>
      </c>
      <c r="I103" s="177">
        <f>IFERROR('P&amp;L(OUTPUT)'!H27/'Ratio analysis'!I48,"-")</f>
        <v>0.26075602326456482</v>
      </c>
      <c r="J103" s="177">
        <f>IFERROR('P&amp;L(OUTPUT)'!I27/'Ratio analysis'!J48,"-")</f>
        <v>0.24953526656094069</v>
      </c>
      <c r="K103" s="177">
        <f>IFERROR('P&amp;L(OUTPUT)'!J27/'Ratio analysis'!K48,"-")</f>
        <v>0.23931562425322067</v>
      </c>
      <c r="L103" s="177">
        <f>IFERROR('P&amp;L(OUTPUT)'!K27/'Ratio analysis'!L48,"-")</f>
        <v>0.23823751956370195</v>
      </c>
      <c r="M103" s="178">
        <f>IFERROR('P&amp;L(OUTPUT)'!L27/'Ratio analysis'!M48,"-")</f>
        <v>0.20036100790292677</v>
      </c>
      <c r="N103" s="177">
        <f>IFERROR('P&amp;L(OUTPUT)'!M27/'Ratio analysis'!N48,"-")</f>
        <v>0.19632966670381963</v>
      </c>
      <c r="O103" s="177">
        <f>IFERROR('P&amp;L(OUTPUT)'!N27/'Ratio analysis'!O48,"-")</f>
        <v>0.20601129462607409</v>
      </c>
      <c r="P103" s="177">
        <f>IFERROR('P&amp;L(OUTPUT)'!O27/'Ratio analysis'!P48,"-")</f>
        <v>0.20169638117211833</v>
      </c>
      <c r="Q103" s="177">
        <f>IFERROR('P&amp;L(OUTPUT)'!P27/'Ratio analysis'!Q48,"-")</f>
        <v>0.19811849056856243</v>
      </c>
      <c r="R103" s="177">
        <f>IFERROR('P&amp;L(OUTPUT)'!Q27/'Ratio analysis'!R48,"-")</f>
        <v>0.19742180412194649</v>
      </c>
      <c r="S103" s="231">
        <f t="shared" si="24"/>
        <v>0.23764108830907099</v>
      </c>
      <c r="T103" s="235">
        <f t="shared" si="25"/>
        <v>0.23931562425322067</v>
      </c>
      <c r="U103" s="155"/>
      <c r="V103" s="8">
        <f t="shared" si="26"/>
        <v>0.19991552743850419</v>
      </c>
      <c r="W103" s="8">
        <f t="shared" si="27"/>
        <v>0.19811849056856243</v>
      </c>
      <c r="X103" s="157"/>
    </row>
    <row r="104" spans="1:24" ht="15.6">
      <c r="B104" s="2" t="s">
        <v>562</v>
      </c>
      <c r="E104" s="3" t="s">
        <v>558</v>
      </c>
      <c r="H104" s="152" t="s">
        <v>158</v>
      </c>
      <c r="I104" s="177">
        <f>IFERROR('P&amp;L(OUTPUT)'!H85/'Ratio analysis'!I48,"-")</f>
        <v>0.21861238281815343</v>
      </c>
      <c r="J104" s="177">
        <f>IFERROR('P&amp;L(OUTPUT)'!I85/'Ratio analysis'!J48,"-")</f>
        <v>0.20913356207077988</v>
      </c>
      <c r="K104" s="177">
        <f>IFERROR('P&amp;L(OUTPUT)'!J85/'Ratio analysis'!K48,"-")</f>
        <v>0.19730860809443329</v>
      </c>
      <c r="L104" s="177">
        <f>IFERROR('P&amp;L(OUTPUT)'!K85/'Ratio analysis'!L48,"-")</f>
        <v>0.18300538118417803</v>
      </c>
      <c r="M104" s="178">
        <f>IFERROR('P&amp;L(OUTPUT)'!L85/'Ratio analysis'!M48,"-")</f>
        <v>0.15367528949487599</v>
      </c>
      <c r="N104" s="177">
        <f>IFERROR('P&amp;L(OUTPUT)'!M85/'Ratio analysis'!N48,"-")</f>
        <v>0.15058485436182964</v>
      </c>
      <c r="O104" s="177">
        <f>IFERROR('P&amp;L(OUTPUT)'!N85/'Ratio analysis'!O48,"-")</f>
        <v>0.15801066297819882</v>
      </c>
      <c r="P104" s="177">
        <f>IFERROR('P&amp;L(OUTPUT)'!O85/'Ratio analysis'!P48,"-")</f>
        <v>0.15470112435901476</v>
      </c>
      <c r="Q104" s="177">
        <f>IFERROR('P&amp;L(OUTPUT)'!P85/'Ratio analysis'!Q48,"-")</f>
        <v>0.15195688226608736</v>
      </c>
      <c r="R104" s="177">
        <f>IFERROR('P&amp;L(OUTPUT)'!Q85/'Ratio analysis'!R48,"-")</f>
        <v>0.15142252376153295</v>
      </c>
      <c r="S104" s="231">
        <f t="shared" si="24"/>
        <v>0.19234704473248415</v>
      </c>
      <c r="T104" s="235">
        <f t="shared" si="25"/>
        <v>0.19730860809443329</v>
      </c>
      <c r="U104" s="155"/>
      <c r="V104" s="8">
        <f t="shared" si="26"/>
        <v>0.1533352095453327</v>
      </c>
      <c r="W104" s="8">
        <f t="shared" si="27"/>
        <v>0.15195688226608736</v>
      </c>
      <c r="X104" s="157"/>
    </row>
    <row r="105" spans="1:24" ht="15.6">
      <c r="B105" s="2" t="s">
        <v>560</v>
      </c>
      <c r="D105" s="3"/>
      <c r="E105" s="3" t="s">
        <v>559</v>
      </c>
      <c r="H105" s="152" t="s">
        <v>158</v>
      </c>
      <c r="I105" s="177">
        <f>IFERROR('P&amp;L(OUTPUT)'!H85/('Ratio analysis'!I50+'Ratio analysis'!I49),"-")</f>
        <v>0.20645644631082904</v>
      </c>
      <c r="J105" s="177">
        <f>IFERROR('P&amp;L(OUTPUT)'!I85/('Ratio analysis'!J50+'Ratio analysis'!J49),"-")</f>
        <v>0.19917046980507505</v>
      </c>
      <c r="K105" s="177">
        <f>IFERROR('P&amp;L(OUTPUT)'!J85/('Ratio analysis'!K50+'Ratio analysis'!K49),"-")</f>
        <v>0.19095933768268158</v>
      </c>
      <c r="L105" s="177">
        <f>IFERROR('P&amp;L(OUTPUT)'!K85/('Ratio analysis'!L50+'Ratio analysis'!L49),"-")</f>
        <v>0.17671371808997346</v>
      </c>
      <c r="M105" s="178">
        <f>IFERROR('P&amp;L(OUTPUT)'!L85/('Ratio analysis'!M50+'Ratio analysis'!M49),"-")</f>
        <v>0.14789468607820674</v>
      </c>
      <c r="N105" s="177">
        <f>IFERROR('P&amp;L(OUTPUT)'!M85/('Ratio analysis'!N50+'Ratio analysis'!N49),"-")</f>
        <v>0.14487341490266023</v>
      </c>
      <c r="O105" s="177">
        <f>IFERROR('P&amp;L(OUTPUT)'!N85/('Ratio analysis'!O50+'Ratio analysis'!O49),"-")</f>
        <v>0.15253031841882997</v>
      </c>
      <c r="P105" s="177">
        <f>IFERROR('P&amp;L(OUTPUT)'!O85/('Ratio analysis'!P50+'Ratio analysis'!P49),"-")</f>
        <v>0.14979946053124868</v>
      </c>
      <c r="Q105" s="177">
        <f>IFERROR('P&amp;L(OUTPUT)'!P85/('Ratio analysis'!Q50+'Ratio analysis'!Q49),"-")</f>
        <v>0.14755169942849491</v>
      </c>
      <c r="R105" s="177">
        <f>IFERROR('P&amp;L(OUTPUT)'!Q85/('Ratio analysis'!R50+'Ratio analysis'!R49),"-")</f>
        <v>0.14740255238903491</v>
      </c>
      <c r="S105" s="231">
        <f t="shared" si="24"/>
        <v>0.18423893159335319</v>
      </c>
      <c r="T105" s="235">
        <f t="shared" si="25"/>
        <v>0.19095933768268158</v>
      </c>
      <c r="U105" s="155"/>
      <c r="V105" s="8">
        <f t="shared" si="26"/>
        <v>0.14843148913405374</v>
      </c>
      <c r="W105" s="8">
        <f t="shared" si="27"/>
        <v>0.14755169942849491</v>
      </c>
      <c r="X105" s="157"/>
    </row>
    <row r="106" spans="1:24" ht="15.6">
      <c r="B106" s="2" t="s">
        <v>632</v>
      </c>
      <c r="D106" s="3"/>
      <c r="E106" s="3" t="s">
        <v>631</v>
      </c>
      <c r="H106" s="152"/>
      <c r="I106" s="177">
        <f>IFERROR(I101*H37,"-")</f>
        <v>5.9016891121795685E-3</v>
      </c>
      <c r="J106" s="177">
        <f t="shared" ref="J106:R106" si="28">IFERROR(J101*I37,"-")</f>
        <v>0.15682616124535187</v>
      </c>
      <c r="K106" s="177">
        <f t="shared" si="28"/>
        <v>0.15041494934518465</v>
      </c>
      <c r="L106" s="177">
        <f t="shared" si="28"/>
        <v>0.10949453024614993</v>
      </c>
      <c r="M106" s="178">
        <f t="shared" si="28"/>
        <v>9.2534800720701582E-2</v>
      </c>
      <c r="N106" s="177">
        <f t="shared" si="28"/>
        <v>8.8438818085017981E-2</v>
      </c>
      <c r="O106" s="177">
        <f t="shared" si="28"/>
        <v>9.9976616134788587E-2</v>
      </c>
      <c r="P106" s="177">
        <f t="shared" si="28"/>
        <v>9.7377645153395087E-2</v>
      </c>
      <c r="Q106" s="177">
        <f t="shared" si="28"/>
        <v>9.5116767004632244E-2</v>
      </c>
      <c r="R106" s="177">
        <f t="shared" si="28"/>
        <v>9.4027449170066488E-2</v>
      </c>
      <c r="S106" s="231">
        <f t="shared" si="24"/>
        <v>0.10303442613391352</v>
      </c>
      <c r="T106" s="235">
        <f t="shared" si="25"/>
        <v>0.10949453024614993</v>
      </c>
      <c r="U106" s="155"/>
      <c r="V106" s="8">
        <f t="shared" si="26"/>
        <v>9.4987459109580077E-2</v>
      </c>
      <c r="W106" s="8">
        <f t="shared" si="27"/>
        <v>9.5116767004632244E-2</v>
      </c>
      <c r="X106" s="157"/>
    </row>
    <row r="107" spans="1:24" ht="15.6">
      <c r="B107" s="2" t="s">
        <v>636</v>
      </c>
      <c r="D107" s="3"/>
      <c r="E107" s="3" t="s">
        <v>633</v>
      </c>
      <c r="H107" s="152"/>
      <c r="I107" s="177">
        <f>IFERROR(I105*H37,"-")</f>
        <v>4.779295635593343E-3</v>
      </c>
      <c r="J107" s="177">
        <f t="shared" ref="J107:R107" si="29">IFERROR(J105*I37,"-")</f>
        <v>0.13199458602844139</v>
      </c>
      <c r="K107" s="177">
        <f t="shared" si="29"/>
        <v>0.12083377979477575</v>
      </c>
      <c r="L107" s="177">
        <f t="shared" si="29"/>
        <v>8.9001316665677385E-2</v>
      </c>
      <c r="M107" s="178">
        <f t="shared" si="29"/>
        <v>6.9732755751987383E-2</v>
      </c>
      <c r="N107" s="177">
        <f t="shared" si="29"/>
        <v>6.6299306898916929E-2</v>
      </c>
      <c r="O107" s="177">
        <f t="shared" si="29"/>
        <v>7.6265159209414984E-2</v>
      </c>
      <c r="P107" s="177">
        <f t="shared" si="29"/>
        <v>7.489973026562434E-2</v>
      </c>
      <c r="Q107" s="177">
        <f t="shared" si="29"/>
        <v>7.3775849714247457E-2</v>
      </c>
      <c r="R107" s="177">
        <f t="shared" si="29"/>
        <v>7.3701276194517454E-2</v>
      </c>
      <c r="S107" s="231">
        <f t="shared" si="24"/>
        <v>8.3268346775295057E-2</v>
      </c>
      <c r="T107" s="235">
        <f t="shared" si="25"/>
        <v>8.9001316665677385E-2</v>
      </c>
      <c r="U107" s="155"/>
      <c r="V107" s="8">
        <f t="shared" si="26"/>
        <v>7.298826445654423E-2</v>
      </c>
      <c r="W107" s="8">
        <f t="shared" si="27"/>
        <v>7.3775849714247457E-2</v>
      </c>
      <c r="X107" s="157"/>
    </row>
    <row r="108" spans="1:24">
      <c r="A108" s="149"/>
      <c r="B108" s="149"/>
      <c r="C108" s="149"/>
      <c r="D108" s="149"/>
      <c r="E108" s="149"/>
      <c r="F108" s="149"/>
      <c r="G108" s="149"/>
      <c r="H108" s="150"/>
      <c r="I108" s="150"/>
      <c r="J108" s="150"/>
      <c r="K108" s="150"/>
      <c r="L108" s="150"/>
      <c r="M108" s="161"/>
      <c r="N108" s="150"/>
      <c r="O108" s="149"/>
      <c r="P108" s="149"/>
      <c r="Q108" s="149"/>
      <c r="R108" s="149"/>
      <c r="S108" s="260"/>
      <c r="T108" s="261"/>
      <c r="U108" s="268"/>
      <c r="V108" s="149"/>
      <c r="W108" s="149"/>
      <c r="X108" s="274"/>
    </row>
    <row r="109" spans="1:24">
      <c r="H109" s="152"/>
      <c r="I109" s="177"/>
      <c r="J109" s="177"/>
      <c r="K109" s="177"/>
      <c r="L109" s="177"/>
      <c r="M109" s="178"/>
      <c r="N109" s="177"/>
      <c r="O109" s="177"/>
      <c r="P109" s="177"/>
      <c r="Q109" s="177"/>
      <c r="R109" s="177"/>
      <c r="S109" s="231"/>
      <c r="T109" s="64"/>
      <c r="U109" s="155"/>
      <c r="X109" s="157"/>
    </row>
    <row r="110" spans="1:24" ht="15.6">
      <c r="D110" s="3" t="s">
        <v>565</v>
      </c>
      <c r="H110" s="152"/>
      <c r="I110" s="177"/>
      <c r="J110" s="177"/>
      <c r="K110" s="177"/>
      <c r="L110" s="177"/>
      <c r="M110" s="178"/>
      <c r="N110" s="177"/>
      <c r="O110" s="177"/>
      <c r="P110" s="177"/>
      <c r="Q110" s="177"/>
      <c r="R110" s="177"/>
      <c r="S110" s="231"/>
      <c r="T110" s="64"/>
      <c r="U110" s="155"/>
      <c r="X110" s="157"/>
    </row>
    <row r="111" spans="1:24" ht="15.6">
      <c r="C111" s="2" t="s">
        <v>567</v>
      </c>
      <c r="E111" s="3" t="s">
        <v>624</v>
      </c>
      <c r="H111" s="145">
        <f>IFERROR('CASH FLOW(OUTPUT)'!G25/'P&amp;L(OUTPUT)'!G7,"-")</f>
        <v>0.14132105648257876</v>
      </c>
      <c r="I111" s="145">
        <f>IFERROR('CASH FLOW(OUTPUT)'!H25/'P&amp;L(OUTPUT)'!H7,"-")</f>
        <v>0.17594500991780376</v>
      </c>
      <c r="J111" s="145">
        <f>IFERROR('CASH FLOW(OUTPUT)'!I25/'P&amp;L(OUTPUT)'!I7,"-")</f>
        <v>0.18580275060336374</v>
      </c>
      <c r="K111" s="145">
        <f>IFERROR('CASH FLOW(OUTPUT)'!J25/'P&amp;L(OUTPUT)'!J7,"-")</f>
        <v>0.22161607273793799</v>
      </c>
      <c r="L111" s="145">
        <f>IFERROR('CASH FLOW(OUTPUT)'!K25/'P&amp;L(OUTPUT)'!K7,"-")</f>
        <v>0.16568858667900982</v>
      </c>
      <c r="M111" s="158">
        <f>IFERROR('CASH FLOW(OUTPUT)'!L25/'P&amp;L(OUTPUT)'!L7,"-")</f>
        <v>0.1292345373633226</v>
      </c>
      <c r="N111" s="145">
        <f>IFERROR('CASH FLOW(OUTPUT)'!M25/'P&amp;L(OUTPUT)'!M7,"-")</f>
        <v>0.12962676286897432</v>
      </c>
      <c r="O111" s="145">
        <f>IFERROR('CASH FLOW(OUTPUT)'!N25/'P&amp;L(OUTPUT)'!N7,"-")</f>
        <v>0.1373794465133375</v>
      </c>
      <c r="P111" s="145">
        <f>IFERROR('CASH FLOW(OUTPUT)'!O25/'P&amp;L(OUTPUT)'!O7,"-")</f>
        <v>0.13814090347703942</v>
      </c>
      <c r="Q111" s="145">
        <f>IFERROR('CASH FLOW(OUTPUT)'!P25/'P&amp;L(OUTPUT)'!P7,"-")</f>
        <v>0.13881810514638138</v>
      </c>
      <c r="R111" s="145">
        <f>IFERROR('CASH FLOW(OUTPUT)'!Q25/'P&amp;L(OUTPUT)'!Q7,"-")</f>
        <v>0.14243110672437032</v>
      </c>
      <c r="S111" s="231">
        <f>AVERAGE(H111:M111)</f>
        <v>0.16993466896400278</v>
      </c>
      <c r="T111" s="235">
        <f>MEDIAN(H111:M111)</f>
        <v>0.17081679829840679</v>
      </c>
      <c r="U111" s="155"/>
      <c r="V111" s="8">
        <f>AVERAGE(N111:R111)</f>
        <v>0.13727926494602058</v>
      </c>
      <c r="W111" s="8">
        <f>MEDIAN(N111:R111)</f>
        <v>0.13814090347703942</v>
      </c>
      <c r="X111" s="157"/>
    </row>
    <row r="112" spans="1:24" ht="15.6">
      <c r="C112" s="2" t="s">
        <v>568</v>
      </c>
      <c r="E112" s="3" t="s">
        <v>566</v>
      </c>
      <c r="H112" s="145">
        <f>IFERROR('CASH FLOW(OUTPUT)'!G25/'P&amp;L(OUTPUT)'!G47,"-")</f>
        <v>0.80387476979742201</v>
      </c>
      <c r="I112" s="145">
        <f>IFERROR('CASH FLOW(OUTPUT)'!H25/'P&amp;L(OUTPUT)'!H47,"-")</f>
        <v>1.0365878128264912</v>
      </c>
      <c r="J112" s="145">
        <f>IFERROR('CASH FLOW(OUTPUT)'!I25/'P&amp;L(OUTPUT)'!I47,"-")</f>
        <v>1.1144392339408655</v>
      </c>
      <c r="K112" s="145">
        <f>IFERROR('CASH FLOW(OUTPUT)'!J25/'P&amp;L(OUTPUT)'!J47,"-")</f>
        <v>1.2474822519399034</v>
      </c>
      <c r="L112" s="145">
        <f>IFERROR('CASH FLOW(OUTPUT)'!K25/'P&amp;L(OUTPUT)'!K47,"-")</f>
        <v>1.0344188979989681</v>
      </c>
      <c r="M112" s="158">
        <f>IFERROR('CASH FLOW(OUTPUT)'!L25/'P&amp;L(OUTPUT)'!L47,"-")</f>
        <v>0.8749823836144125</v>
      </c>
      <c r="N112" s="145">
        <f>IFERROR('CASH FLOW(OUTPUT)'!M25/'P&amp;L(OUTPUT)'!M47,"-")</f>
        <v>0.89898114316233102</v>
      </c>
      <c r="O112" s="145">
        <f>IFERROR('CASH FLOW(OUTPUT)'!N25/'P&amp;L(OUTPUT)'!N47,"-")</f>
        <v>0.91381899322801985</v>
      </c>
      <c r="P112" s="145">
        <f>IFERROR('CASH FLOW(OUTPUT)'!O25/'P&amp;L(OUTPUT)'!O47,"-")</f>
        <v>0.9188539278115474</v>
      </c>
      <c r="Q112" s="145">
        <f>IFERROR('CASH FLOW(OUTPUT)'!P25/'P&amp;L(OUTPUT)'!P47,"-")</f>
        <v>0.91864557148382675</v>
      </c>
      <c r="R112" s="145">
        <f>IFERROR('CASH FLOW(OUTPUT)'!Q25/'P&amp;L(OUTPUT)'!Q47,"-")</f>
        <v>0.92377704347643819</v>
      </c>
      <c r="S112" s="231">
        <f t="shared" ref="S112:S114" si="30">AVERAGE(H112:M112)</f>
        <v>1.0186308916863438</v>
      </c>
      <c r="T112" s="235">
        <f t="shared" ref="T112:T114" si="31">MEDIAN(H112:M112)</f>
        <v>1.0355033554127298</v>
      </c>
      <c r="U112" s="155"/>
      <c r="V112" s="8">
        <f t="shared" ref="V112:V114" si="32">AVERAGE(N112:R112)</f>
        <v>0.91481533583243257</v>
      </c>
      <c r="W112" s="8">
        <f t="shared" ref="W112:W114" si="33">MEDIAN(N112:R112)</f>
        <v>0.91864557148382675</v>
      </c>
      <c r="X112" s="157"/>
    </row>
    <row r="113" spans="1:24" ht="15.6">
      <c r="C113" s="2" t="s">
        <v>574</v>
      </c>
      <c r="E113" s="3" t="s">
        <v>575</v>
      </c>
      <c r="H113" s="145">
        <f>IFERROR('CASH FLOW(OUTPUT)'!G61/'P&amp;L(OUTPUT)'!G7,"-")</f>
        <v>0.11166106567726658</v>
      </c>
      <c r="I113" s="145">
        <f>IFERROR('CASH FLOW(OUTPUT)'!H61/'P&amp;L(OUTPUT)'!H7,"-")</f>
        <v>0.15662966133841608</v>
      </c>
      <c r="J113" s="145">
        <f>IFERROR('CASH FLOW(OUTPUT)'!I61/'P&amp;L(OUTPUT)'!I7,"-")</f>
        <v>0.1301573813076877</v>
      </c>
      <c r="K113" s="145">
        <f>IFERROR('CASH FLOW(OUTPUT)'!J61/'P&amp;L(OUTPUT)'!J7,"-")</f>
        <v>0.19845180483103922</v>
      </c>
      <c r="L113" s="145">
        <f>IFERROR('CASH FLOW(OUTPUT)'!K61/'P&amp;L(OUTPUT)'!K7,"-")</f>
        <v>0.12910104806092204</v>
      </c>
      <c r="M113" s="158">
        <f>IFERROR('CASH FLOW(OUTPUT)'!L61/'P&amp;L(OUTPUT)'!L7,"-")</f>
        <v>8.1862879871360414E-2</v>
      </c>
      <c r="N113" s="145">
        <f>IFERROR('CASH FLOW(OUTPUT)'!M61/'P&amp;L(OUTPUT)'!M7,"-")</f>
        <v>9.3209926490571804E-2</v>
      </c>
      <c r="O113" s="145">
        <f>IFERROR('CASH FLOW(OUTPUT)'!N61/'P&amp;L(OUTPUT)'!N7,"-")</f>
        <v>0.10096261013493497</v>
      </c>
      <c r="P113" s="145">
        <f>IFERROR('CASH FLOW(OUTPUT)'!O61/'P&amp;L(OUTPUT)'!O7,"-")</f>
        <v>0.10172406709863692</v>
      </c>
      <c r="Q113" s="145">
        <f>IFERROR('CASH FLOW(OUTPUT)'!P61/'P&amp;L(OUTPUT)'!P7,"-")</f>
        <v>0.10240126876797889</v>
      </c>
      <c r="R113" s="145">
        <f>IFERROR('CASH FLOW(OUTPUT)'!Q61/'P&amp;L(OUTPUT)'!Q7,"-")</f>
        <v>0.10601427034596783</v>
      </c>
      <c r="S113" s="231">
        <f t="shared" si="30"/>
        <v>0.13464397351444868</v>
      </c>
      <c r="T113" s="235">
        <f t="shared" si="31"/>
        <v>0.12962921468430488</v>
      </c>
      <c r="U113" s="155"/>
      <c r="V113" s="8">
        <f t="shared" si="32"/>
        <v>0.10086242856761807</v>
      </c>
      <c r="W113" s="8">
        <f t="shared" si="33"/>
        <v>0.10172406709863692</v>
      </c>
      <c r="X113" s="157"/>
    </row>
    <row r="114" spans="1:24" ht="15.6">
      <c r="C114" s="2" t="s">
        <v>577</v>
      </c>
      <c r="E114" s="3" t="s">
        <v>576</v>
      </c>
      <c r="H114" s="145">
        <f>IFERROR('CASH FLOW(OUTPUT)'!G61/'P&amp;L(OUTPUT)'!G47,"-")</f>
        <v>0.63516022099447556</v>
      </c>
      <c r="I114" s="145">
        <f>IFERROR('CASH FLOW(OUTPUT)'!H61/'P&amp;L(OUTPUT)'!H47,"-")</f>
        <v>0.92279058182094875</v>
      </c>
      <c r="J114" s="145">
        <f>IFERROR('CASH FLOW(OUTPUT)'!I61/'P&amp;L(OUTPUT)'!I47,"-")</f>
        <v>0.7806800052488706</v>
      </c>
      <c r="K114" s="145">
        <f>IFERROR('CASH FLOW(OUTPUT)'!J61/'P&amp;L(OUTPUT)'!J47,"-")</f>
        <v>1.1170900257081529</v>
      </c>
      <c r="L114" s="145">
        <f>IFERROR('CASH FLOW(OUTPUT)'!K61/'P&amp;L(OUTPUT)'!K47,"-")</f>
        <v>0.80599736253655208</v>
      </c>
      <c r="M114" s="158">
        <f>IFERROR('CASH FLOW(OUTPUT)'!L61/'P&amp;L(OUTPUT)'!L47,"-")</f>
        <v>0.55425259548080985</v>
      </c>
      <c r="N114" s="145">
        <f>IFERROR('CASH FLOW(OUTPUT)'!M61/'P&amp;L(OUTPUT)'!M47,"-")</f>
        <v>0.64642489263786795</v>
      </c>
      <c r="O114" s="145">
        <f>IFERROR('CASH FLOW(OUTPUT)'!N61/'P&amp;L(OUTPUT)'!N47,"-")</f>
        <v>0.67158190754700797</v>
      </c>
      <c r="P114" s="145">
        <f>IFERROR('CASH FLOW(OUTPUT)'!O61/'P&amp;L(OUTPUT)'!O47,"-")</f>
        <v>0.67662478132035409</v>
      </c>
      <c r="Q114" s="145">
        <f>IFERROR('CASH FLOW(OUTPUT)'!P61/'P&amp;L(OUTPUT)'!P47,"-")</f>
        <v>0.67765275983873396</v>
      </c>
      <c r="R114" s="145">
        <f>IFERROR('CASH FLOW(OUTPUT)'!Q61/'P&amp;L(OUTPUT)'!Q47,"-")</f>
        <v>0.687585398153431</v>
      </c>
      <c r="S114" s="231">
        <f t="shared" si="30"/>
        <v>0.802661798631635</v>
      </c>
      <c r="T114" s="235">
        <f t="shared" si="31"/>
        <v>0.79333868389271134</v>
      </c>
      <c r="U114" s="155"/>
      <c r="V114" s="8">
        <f t="shared" si="32"/>
        <v>0.67197394789947906</v>
      </c>
      <c r="W114" s="8">
        <f t="shared" si="33"/>
        <v>0.67662478132035409</v>
      </c>
      <c r="X114" s="157"/>
    </row>
    <row r="115" spans="1:24">
      <c r="A115" s="149"/>
      <c r="B115" s="149"/>
      <c r="C115" s="149"/>
      <c r="D115" s="149"/>
      <c r="E115" s="149"/>
      <c r="F115" s="149"/>
      <c r="G115" s="149"/>
      <c r="H115" s="150"/>
      <c r="I115" s="150"/>
      <c r="J115" s="150"/>
      <c r="K115" s="150"/>
      <c r="L115" s="150"/>
      <c r="M115" s="161"/>
      <c r="N115" s="150"/>
      <c r="O115" s="149"/>
      <c r="P115" s="149"/>
      <c r="Q115" s="149"/>
      <c r="R115" s="149"/>
      <c r="S115" s="260"/>
      <c r="T115" s="261"/>
      <c r="U115" s="268"/>
      <c r="V115" s="149"/>
      <c r="W115" s="149"/>
      <c r="X115" s="274"/>
    </row>
    <row r="116" spans="1:24">
      <c r="I116" s="177"/>
      <c r="J116" s="177"/>
      <c r="K116" s="177"/>
      <c r="L116" s="177"/>
      <c r="M116" s="178"/>
      <c r="N116" s="177"/>
      <c r="O116" s="177"/>
      <c r="P116" s="177"/>
      <c r="Q116" s="177"/>
      <c r="R116" s="177"/>
      <c r="S116" s="231"/>
      <c r="T116" s="64"/>
      <c r="U116" s="155"/>
      <c r="X116" s="157"/>
    </row>
    <row r="117" spans="1:24" ht="15.6">
      <c r="D117" s="3" t="s">
        <v>578</v>
      </c>
      <c r="F117" s="2" t="s">
        <v>580</v>
      </c>
      <c r="G117" s="114">
        <v>560</v>
      </c>
      <c r="I117" s="177"/>
      <c r="J117" s="177"/>
      <c r="K117" s="177"/>
      <c r="L117" s="177"/>
      <c r="M117" s="178"/>
      <c r="N117" s="177"/>
      <c r="O117" s="177"/>
      <c r="P117" s="177"/>
      <c r="Q117" s="177"/>
      <c r="R117" s="177"/>
      <c r="S117" s="231"/>
      <c r="T117" s="64"/>
      <c r="U117" s="155"/>
      <c r="X117" s="157"/>
    </row>
    <row r="118" spans="1:24" ht="15.6">
      <c r="C118" s="2" t="s">
        <v>592</v>
      </c>
      <c r="E118" s="3" t="s">
        <v>579</v>
      </c>
      <c r="G118" s="152" t="s">
        <v>158</v>
      </c>
      <c r="H118" s="152" t="s">
        <v>158</v>
      </c>
      <c r="I118" s="152" t="s">
        <v>158</v>
      </c>
      <c r="J118" s="152" t="s">
        <v>158</v>
      </c>
      <c r="K118" s="152" t="s">
        <v>158</v>
      </c>
      <c r="L118" s="152" t="s">
        <v>158</v>
      </c>
      <c r="M118" s="164">
        <f>IFERROR($G$117/'P&amp;L(OUTPUT)'!L52,"-")</f>
        <v>58.408418283459397</v>
      </c>
      <c r="N118" s="152">
        <f>IFERROR($G$117/'P&amp;L(OUTPUT)'!M52,"-")</f>
        <v>54.588505938666813</v>
      </c>
      <c r="O118" s="152">
        <f>IFERROR($G$117/'P&amp;L(OUTPUT)'!N52,"-")</f>
        <v>47.811620031155641</v>
      </c>
      <c r="P118" s="152">
        <f>IFERROR($G$117/'P&amp;L(OUTPUT)'!O52,"-")</f>
        <v>44.474467935906176</v>
      </c>
      <c r="Q118" s="152">
        <f>IFERROR($G$117/'P&amp;L(OUTPUT)'!P52,"-")</f>
        <v>41.352776402359204</v>
      </c>
      <c r="R118" s="152">
        <f>IFERROR($G$117/'P&amp;L(OUTPUT)'!Q52,"-")</f>
        <v>38.055331398771493</v>
      </c>
      <c r="S118" s="231"/>
      <c r="T118" s="64"/>
      <c r="U118" s="155"/>
      <c r="X118" s="157"/>
    </row>
    <row r="119" spans="1:24" ht="15.6">
      <c r="C119" s="2" t="s">
        <v>593</v>
      </c>
      <c r="E119" s="3" t="s">
        <v>581</v>
      </c>
      <c r="G119" s="152" t="s">
        <v>158</v>
      </c>
      <c r="H119" s="152" t="s">
        <v>158</v>
      </c>
      <c r="I119" s="152" t="s">
        <v>158</v>
      </c>
      <c r="J119" s="152" t="s">
        <v>158</v>
      </c>
      <c r="K119" s="152" t="s">
        <v>158</v>
      </c>
      <c r="L119" s="152" t="s">
        <v>158</v>
      </c>
      <c r="M119" s="164">
        <f>IFERROR($G$117/M57,"-")</f>
        <v>11.084845418498963</v>
      </c>
      <c r="N119" s="152">
        <f t="shared" ref="N119:R119" si="34">IFERROR($G$117/N57,"-")</f>
        <v>10.063126639869429</v>
      </c>
      <c r="O119" s="152">
        <f t="shared" si="34"/>
        <v>9.1049470663827741</v>
      </c>
      <c r="P119" s="152">
        <f t="shared" si="34"/>
        <v>8.25949292833619</v>
      </c>
      <c r="Q119" s="152">
        <f t="shared" si="34"/>
        <v>7.5095430670077938</v>
      </c>
      <c r="R119" s="152">
        <f t="shared" si="34"/>
        <v>6.8351458146667587</v>
      </c>
      <c r="S119" s="231"/>
      <c r="T119" s="64"/>
      <c r="U119" s="155"/>
      <c r="X119" s="157"/>
    </row>
    <row r="120" spans="1:24" ht="15.6">
      <c r="C120" s="2" t="s">
        <v>594</v>
      </c>
      <c r="E120" s="3" t="s">
        <v>588</v>
      </c>
      <c r="G120" s="152" t="s">
        <v>158</v>
      </c>
      <c r="H120" s="152" t="s">
        <v>158</v>
      </c>
      <c r="I120" s="152" t="s">
        <v>158</v>
      </c>
      <c r="J120" s="152" t="s">
        <v>158</v>
      </c>
      <c r="K120" s="152" t="s">
        <v>158</v>
      </c>
      <c r="L120" s="152" t="s">
        <v>158</v>
      </c>
      <c r="M120" s="164">
        <f t="shared" ref="M120:R120" si="35">IFERROR($G$117/M56,"-")</f>
        <v>8.6268993025952554</v>
      </c>
      <c r="N120" s="152">
        <f t="shared" si="35"/>
        <v>7.8712789122490037</v>
      </c>
      <c r="O120" s="152">
        <f t="shared" si="35"/>
        <v>7.1877843921626674</v>
      </c>
      <c r="P120" s="152">
        <f t="shared" si="35"/>
        <v>6.6863110624769</v>
      </c>
      <c r="Q120" s="152">
        <f t="shared" si="35"/>
        <v>6.2488888434363545</v>
      </c>
      <c r="R120" s="152">
        <f t="shared" si="35"/>
        <v>5.8675012614425857</v>
      </c>
      <c r="S120" s="231"/>
      <c r="T120" s="64"/>
      <c r="U120" s="155"/>
      <c r="X120" s="157"/>
    </row>
    <row r="121" spans="1:24" ht="15.6">
      <c r="C121" s="2" t="s">
        <v>595</v>
      </c>
      <c r="E121" s="3" t="s">
        <v>613</v>
      </c>
      <c r="G121" s="152" t="s">
        <v>158</v>
      </c>
      <c r="H121" s="152" t="s">
        <v>158</v>
      </c>
      <c r="I121" s="152" t="s">
        <v>158</v>
      </c>
      <c r="J121" s="152" t="s">
        <v>158</v>
      </c>
      <c r="K121" s="152" t="s">
        <v>158</v>
      </c>
      <c r="L121" s="152" t="s">
        <v>158</v>
      </c>
      <c r="M121" s="164">
        <f t="shared" ref="M121:R122" si="36">IFERROR($G$117/M58,"-")</f>
        <v>105.38230900441802</v>
      </c>
      <c r="N121" s="152">
        <f t="shared" si="36"/>
        <v>84.446788111620108</v>
      </c>
      <c r="O121" s="152">
        <f t="shared" si="36"/>
        <v>71.192537341856593</v>
      </c>
      <c r="P121" s="152">
        <f t="shared" si="36"/>
        <v>65.729883332264976</v>
      </c>
      <c r="Q121" s="152">
        <f t="shared" si="36"/>
        <v>61.023549010853635</v>
      </c>
      <c r="R121" s="152">
        <f t="shared" si="36"/>
        <v>55.346334434925929</v>
      </c>
      <c r="S121" s="231"/>
      <c r="T121" s="64"/>
      <c r="U121" s="155"/>
      <c r="X121" s="157"/>
    </row>
    <row r="122" spans="1:24" ht="15.6">
      <c r="C122" s="2" t="s">
        <v>615</v>
      </c>
      <c r="E122" s="3" t="s">
        <v>596</v>
      </c>
      <c r="G122" s="152" t="s">
        <v>158</v>
      </c>
      <c r="H122" s="152" t="s">
        <v>158</v>
      </c>
      <c r="I122" s="152" t="s">
        <v>158</v>
      </c>
      <c r="J122" s="152" t="s">
        <v>158</v>
      </c>
      <c r="K122" s="152" t="s">
        <v>158</v>
      </c>
      <c r="L122" s="152" t="s">
        <v>158</v>
      </c>
      <c r="M122" s="164">
        <f t="shared" si="36"/>
        <v>66.753821993745234</v>
      </c>
      <c r="N122" s="152">
        <f t="shared" si="36"/>
        <v>60.722637347699788</v>
      </c>
      <c r="O122" s="152">
        <f t="shared" si="36"/>
        <v>52.320667862530954</v>
      </c>
      <c r="P122" s="152">
        <f t="shared" si="36"/>
        <v>48.402108963969823</v>
      </c>
      <c r="Q122" s="152">
        <f t="shared" si="36"/>
        <v>45.014941220001568</v>
      </c>
      <c r="R122" s="152">
        <f t="shared" si="36"/>
        <v>41.195363824541865</v>
      </c>
      <c r="S122" s="231"/>
      <c r="T122" s="64"/>
      <c r="U122" s="155"/>
      <c r="X122" s="157"/>
    </row>
    <row r="123" spans="1:24" ht="15.6">
      <c r="C123" s="2" t="s">
        <v>622</v>
      </c>
      <c r="E123" s="3" t="s">
        <v>620</v>
      </c>
      <c r="G123" s="152" t="s">
        <v>158</v>
      </c>
      <c r="H123" s="152" t="s">
        <v>158</v>
      </c>
      <c r="I123" s="152" t="s">
        <v>158</v>
      </c>
      <c r="J123" s="152" t="s">
        <v>158</v>
      </c>
      <c r="K123" s="152" t="s">
        <v>158</v>
      </c>
      <c r="L123" s="152" t="s">
        <v>158</v>
      </c>
      <c r="M123" s="164">
        <f>IFERROR('BS(OUTPUT)'!$L$83/'P&amp;L(OUTPUT)'!L22,"-")</f>
        <v>45.96196144391255</v>
      </c>
      <c r="N123" s="152">
        <f>IFERROR('BS(OUTPUT)'!$L$83/'P&amp;L(OUTPUT)'!M22,"-")</f>
        <v>43.802331175564852</v>
      </c>
      <c r="O123" s="152">
        <f>IFERROR('BS(OUTPUT)'!$L$83/'P&amp;L(OUTPUT)'!N22,"-")</f>
        <v>38.294003154835735</v>
      </c>
      <c r="P123" s="152">
        <f>IFERROR('BS(OUTPUT)'!$L$83/'P&amp;L(OUTPUT)'!O22,"-")</f>
        <v>35.62232851612626</v>
      </c>
      <c r="Q123" s="152">
        <f>IFERROR('BS(OUTPUT)'!$L$83/'P&amp;L(OUTPUT)'!P22,"-")</f>
        <v>33.115468168714131</v>
      </c>
      <c r="R123" s="152">
        <f>IFERROR('BS(OUTPUT)'!$L$83/'P&amp;L(OUTPUT)'!Q22,"-")</f>
        <v>30.448890822224104</v>
      </c>
      <c r="S123" s="231"/>
      <c r="T123" s="64"/>
      <c r="U123" s="155"/>
      <c r="X123" s="157"/>
    </row>
    <row r="124" spans="1:24" ht="15.6">
      <c r="C124" s="2" t="s">
        <v>623</v>
      </c>
      <c r="E124" s="3" t="s">
        <v>621</v>
      </c>
      <c r="G124" s="152" t="s">
        <v>158</v>
      </c>
      <c r="H124" s="152" t="s">
        <v>158</v>
      </c>
      <c r="I124" s="152" t="s">
        <v>158</v>
      </c>
      <c r="J124" s="152" t="s">
        <v>158</v>
      </c>
      <c r="K124" s="152" t="s">
        <v>158</v>
      </c>
      <c r="L124" s="152" t="s">
        <v>158</v>
      </c>
      <c r="M124" s="164">
        <f>IFERROR('BS(OUTPUT)'!$L$83/'P&amp;L(OUTPUT)'!L27,"-")</f>
        <v>53.674372423320186</v>
      </c>
      <c r="N124" s="152">
        <f>IFERROR('BS(OUTPUT)'!$L$83/'P&amp;L(OUTPUT)'!M27,"-")</f>
        <v>50.500232225095068</v>
      </c>
      <c r="O124" s="152">
        <f>IFERROR('BS(OUTPUT)'!$L$83/'P&amp;L(OUTPUT)'!N27,"-")</f>
        <v>43.861459633972267</v>
      </c>
      <c r="P124" s="152">
        <f>IFERROR('BS(OUTPUT)'!$L$83/'P&amp;L(OUTPUT)'!O27,"-")</f>
        <v>40.799758382313094</v>
      </c>
      <c r="Q124" s="152">
        <f>IFERROR('BS(OUTPUT)'!$L$83/'P&amp;L(OUTPUT)'!P27,"-")</f>
        <v>37.898073727959819</v>
      </c>
      <c r="R124" s="152">
        <f>IFERROR('BS(OUTPUT)'!$L$83/'P&amp;L(OUTPUT)'!Q27,"-")</f>
        <v>34.741235918510476</v>
      </c>
      <c r="S124" s="231"/>
      <c r="T124" s="64"/>
      <c r="U124" s="155"/>
      <c r="X124" s="157"/>
    </row>
    <row r="125" spans="1:24">
      <c r="A125" s="149"/>
      <c r="B125" s="149"/>
      <c r="C125" s="149"/>
      <c r="D125" s="149"/>
      <c r="E125" s="149"/>
      <c r="F125" s="149"/>
      <c r="G125" s="149"/>
      <c r="H125" s="150"/>
      <c r="I125" s="150"/>
      <c r="J125" s="150"/>
      <c r="K125" s="150"/>
      <c r="L125" s="150"/>
      <c r="M125" s="161"/>
      <c r="N125" s="150"/>
      <c r="O125" s="149"/>
      <c r="P125" s="149"/>
      <c r="Q125" s="149"/>
      <c r="R125" s="149"/>
      <c r="S125" s="260"/>
      <c r="T125" s="261"/>
      <c r="U125" s="268"/>
      <c r="V125" s="149"/>
      <c r="W125" s="149"/>
      <c r="X125" s="274"/>
    </row>
    <row r="126" spans="1:24">
      <c r="I126" s="8"/>
      <c r="J126" s="8"/>
      <c r="K126" s="8"/>
      <c r="L126" s="8"/>
      <c r="M126" s="164"/>
      <c r="N126" s="8"/>
      <c r="O126" s="8"/>
      <c r="P126" s="8"/>
      <c r="Q126" s="8"/>
      <c r="R126" s="8"/>
      <c r="S126" s="231"/>
      <c r="T126" s="64"/>
      <c r="U126" s="155"/>
      <c r="X126" s="157"/>
    </row>
    <row r="127" spans="1:24">
      <c r="I127" s="8"/>
      <c r="J127" s="8"/>
      <c r="K127" s="8"/>
      <c r="L127" s="8"/>
      <c r="M127" s="164"/>
      <c r="N127" s="8"/>
      <c r="O127" s="8"/>
      <c r="P127" s="8"/>
      <c r="Q127" s="8"/>
      <c r="R127" s="8"/>
      <c r="S127" s="231"/>
      <c r="T127" s="64"/>
      <c r="U127" s="155"/>
      <c r="X127" s="157"/>
    </row>
    <row r="128" spans="1:24">
      <c r="I128" s="8"/>
      <c r="J128" s="8"/>
      <c r="K128" s="8"/>
      <c r="L128" s="8"/>
      <c r="M128" s="164"/>
      <c r="N128" s="8"/>
      <c r="O128" s="8"/>
      <c r="P128" s="8"/>
      <c r="Q128" s="8"/>
      <c r="R128" s="8"/>
      <c r="S128" s="231"/>
      <c r="T128" s="64"/>
      <c r="U128" s="155"/>
      <c r="X128" s="157"/>
    </row>
    <row r="129" spans="3:24">
      <c r="I129" s="8"/>
      <c r="J129" s="8"/>
      <c r="K129" s="8"/>
      <c r="L129" s="8"/>
      <c r="M129" s="164"/>
      <c r="N129" s="8"/>
      <c r="O129" s="8"/>
      <c r="P129" s="8"/>
      <c r="Q129" s="8"/>
      <c r="R129" s="8"/>
      <c r="S129" s="231"/>
      <c r="T129" s="64"/>
      <c r="U129" s="155"/>
      <c r="X129" s="157"/>
    </row>
    <row r="130" spans="3:24">
      <c r="M130" s="164"/>
      <c r="S130" s="229"/>
      <c r="T130" s="64"/>
      <c r="U130" s="155"/>
      <c r="X130" s="157"/>
    </row>
    <row r="131" spans="3:24">
      <c r="M131" s="164"/>
      <c r="S131" s="229"/>
      <c r="T131" s="64"/>
      <c r="U131" s="155"/>
      <c r="X131" s="157"/>
    </row>
    <row r="132" spans="3:24" ht="15.6">
      <c r="D132" s="3" t="s">
        <v>527</v>
      </c>
      <c r="M132" s="164"/>
      <c r="S132" s="229"/>
      <c r="T132" s="64"/>
      <c r="U132" s="155"/>
      <c r="X132" s="157"/>
    </row>
    <row r="133" spans="3:24">
      <c r="C133" s="2">
        <v>1</v>
      </c>
      <c r="D133" s="2" t="s">
        <v>528</v>
      </c>
      <c r="S133" s="59"/>
      <c r="T133" s="59"/>
    </row>
    <row r="134" spans="3:24">
      <c r="C134" s="2">
        <v>2</v>
      </c>
      <c r="D134" s="2" t="s">
        <v>529</v>
      </c>
    </row>
    <row r="135" spans="3:24" ht="15.6">
      <c r="C135" s="2">
        <v>3</v>
      </c>
      <c r="D135" s="228" t="s">
        <v>635</v>
      </c>
    </row>
    <row r="136" spans="3:24">
      <c r="C136" s="2">
        <v>5</v>
      </c>
      <c r="D136" s="2" t="s">
        <v>678</v>
      </c>
    </row>
  </sheetData>
  <mergeCells count="2">
    <mergeCell ref="S1:U1"/>
    <mergeCell ref="V1:X1"/>
  </mergeCells>
  <hyperlinks>
    <hyperlink ref="B1" location="Forecasting!L15" display="Forecasting sheet Link" xr:uid="{AFC07C2A-2DA7-4579-8B93-644050B66A06}"/>
  </hyperlinks>
  <pageMargins left="0.7" right="0.7" top="0.75" bottom="0.75" header="0.3" footer="0.3"/>
  <ignoredErrors>
    <ignoredError sqref="J80:R80" formula="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9C6C-1766-49C0-A967-04F2BD0874D0}">
  <sheetPr codeName="Sheet27">
    <tabColor rgb="FF002060"/>
  </sheetPr>
  <dimension ref="A1:T29"/>
  <sheetViews>
    <sheetView showGridLines="0" topLeftCell="C1" zoomScale="99" workbookViewId="0">
      <selection activeCell="C6" sqref="C6:M6"/>
    </sheetView>
  </sheetViews>
  <sheetFormatPr defaultColWidth="11.77734375" defaultRowHeight="15"/>
  <cols>
    <col min="1" max="1" width="2.6640625" style="2" customWidth="1"/>
    <col min="2" max="30" width="15.5546875" style="2" customWidth="1"/>
    <col min="31" max="16384" width="11.77734375" style="2"/>
  </cols>
  <sheetData>
    <row r="1" spans="1:20" ht="15.6">
      <c r="A1" s="59"/>
      <c r="B1" s="370"/>
      <c r="C1" s="59"/>
      <c r="D1" s="59"/>
      <c r="E1" s="59"/>
      <c r="F1" s="59"/>
      <c r="G1" s="59"/>
      <c r="H1" s="59"/>
      <c r="I1" s="59"/>
      <c r="J1" s="59"/>
      <c r="K1" s="59"/>
      <c r="L1" s="59"/>
      <c r="M1" s="59"/>
      <c r="N1" s="59"/>
      <c r="O1" s="59"/>
      <c r="P1" s="59"/>
      <c r="Q1" s="59"/>
    </row>
    <row r="2" spans="1:20" ht="15.6">
      <c r="A2" s="59"/>
      <c r="B2" s="59"/>
      <c r="C2" s="59"/>
      <c r="D2" s="59"/>
      <c r="E2" s="125"/>
      <c r="F2" s="59"/>
      <c r="G2" s="64"/>
      <c r="H2" s="64"/>
      <c r="I2" s="64"/>
      <c r="J2" s="64"/>
      <c r="K2" s="64"/>
      <c r="L2" s="64"/>
      <c r="M2" s="64"/>
      <c r="N2" s="64"/>
      <c r="O2" s="64"/>
      <c r="P2" s="64"/>
      <c r="Q2" s="64"/>
      <c r="R2" s="119"/>
      <c r="S2" s="119"/>
      <c r="T2" s="119"/>
    </row>
    <row r="3" spans="1:20">
      <c r="A3" s="59"/>
      <c r="B3" s="59"/>
      <c r="C3" s="371"/>
      <c r="D3" s="372"/>
      <c r="E3" s="372"/>
      <c r="F3" s="372"/>
      <c r="G3" s="368"/>
      <c r="H3" s="368"/>
      <c r="I3" s="368"/>
      <c r="J3" s="368"/>
      <c r="K3" s="368"/>
      <c r="L3" s="368"/>
      <c r="M3" s="368"/>
      <c r="N3" s="368"/>
      <c r="O3" s="368"/>
      <c r="P3" s="368"/>
      <c r="Q3" s="368"/>
      <c r="R3" s="368"/>
      <c r="S3" s="368"/>
      <c r="T3" s="368"/>
    </row>
    <row r="4" spans="1:20" ht="15.6">
      <c r="A4" s="59"/>
      <c r="B4" s="59"/>
      <c r="C4" s="59"/>
      <c r="D4" s="59"/>
      <c r="E4" s="59"/>
      <c r="F4" s="59"/>
      <c r="G4" s="59"/>
      <c r="H4" s="59"/>
      <c r="I4" s="59"/>
      <c r="J4" s="59"/>
      <c r="K4" s="59"/>
      <c r="L4" s="122"/>
      <c r="M4" s="59"/>
      <c r="N4" s="59"/>
      <c r="O4" s="59"/>
      <c r="P4" s="59"/>
      <c r="Q4" s="59"/>
    </row>
    <row r="5" spans="1:20" ht="15.6">
      <c r="A5" s="59"/>
      <c r="B5" s="59"/>
      <c r="C5" s="59"/>
      <c r="D5" s="59"/>
      <c r="E5" s="125"/>
      <c r="F5" s="59"/>
      <c r="G5" s="301"/>
      <c r="H5" s="301"/>
      <c r="I5" s="301"/>
      <c r="J5" s="301"/>
      <c r="K5" s="301"/>
      <c r="L5" s="301"/>
      <c r="M5" s="301"/>
      <c r="N5" s="301"/>
      <c r="O5" s="301"/>
      <c r="P5" s="301"/>
      <c r="Q5" s="301"/>
    </row>
    <row r="6" spans="1:20" ht="75">
      <c r="A6" s="59"/>
      <c r="B6" s="59"/>
      <c r="C6" s="59"/>
      <c r="D6" s="65" t="s">
        <v>988</v>
      </c>
      <c r="E6" s="66"/>
      <c r="F6" s="66"/>
      <c r="G6" s="66"/>
      <c r="O6" s="74"/>
      <c r="P6" s="74"/>
      <c r="Q6" s="74"/>
    </row>
    <row r="7" spans="1:20">
      <c r="A7" s="59"/>
      <c r="B7" s="59"/>
      <c r="C7" s="59"/>
      <c r="D7" s="59"/>
      <c r="E7" s="59"/>
      <c r="F7" s="59"/>
      <c r="G7" s="74"/>
      <c r="H7" s="74"/>
      <c r="I7" s="74"/>
      <c r="J7" s="74"/>
      <c r="K7" s="74"/>
      <c r="L7" s="74"/>
      <c r="M7" s="74"/>
      <c r="N7" s="74"/>
      <c r="O7" s="74"/>
      <c r="P7" s="74"/>
      <c r="Q7" s="74"/>
    </row>
    <row r="8" spans="1:20" ht="15.6">
      <c r="A8" s="59"/>
      <c r="B8" s="59"/>
      <c r="C8" s="59"/>
      <c r="D8" s="3" t="s">
        <v>866</v>
      </c>
      <c r="H8" s="66"/>
      <c r="K8" s="74"/>
      <c r="L8" s="74"/>
      <c r="M8" s="74"/>
      <c r="N8" s="74"/>
      <c r="O8" s="74"/>
      <c r="P8" s="74"/>
      <c r="Q8" s="74"/>
    </row>
    <row r="9" spans="1:20">
      <c r="A9" s="59"/>
      <c r="B9" s="59"/>
      <c r="C9" s="59"/>
      <c r="D9" s="37">
        <v>1</v>
      </c>
      <c r="E9" s="37" t="s">
        <v>867</v>
      </c>
      <c r="K9" s="74"/>
      <c r="L9" s="74"/>
      <c r="M9" s="74"/>
      <c r="N9" s="74"/>
      <c r="O9" s="74"/>
      <c r="P9" s="74"/>
      <c r="Q9" s="74"/>
    </row>
    <row r="10" spans="1:20">
      <c r="A10" s="59"/>
      <c r="B10" s="59"/>
      <c r="C10" s="59"/>
      <c r="D10" s="2">
        <v>2</v>
      </c>
      <c r="E10" s="2" t="s">
        <v>869</v>
      </c>
      <c r="K10" s="74"/>
      <c r="L10" s="74"/>
      <c r="M10" s="74"/>
      <c r="N10" s="74"/>
      <c r="O10" s="74"/>
      <c r="P10" s="74"/>
      <c r="Q10" s="74"/>
    </row>
    <row r="11" spans="1:20">
      <c r="A11" s="59"/>
      <c r="B11" s="59"/>
      <c r="C11" s="59"/>
      <c r="D11" s="392">
        <v>3</v>
      </c>
      <c r="E11" s="392" t="s">
        <v>868</v>
      </c>
      <c r="K11" s="74"/>
      <c r="L11" s="74"/>
      <c r="M11" s="74"/>
      <c r="N11" s="74"/>
      <c r="O11" s="74"/>
      <c r="P11" s="74"/>
      <c r="Q11" s="74"/>
    </row>
    <row r="12" spans="1:20">
      <c r="A12" s="59"/>
      <c r="B12" s="59"/>
      <c r="C12" s="59"/>
      <c r="D12" s="59"/>
      <c r="E12" s="59"/>
      <c r="F12" s="59"/>
      <c r="G12" s="74"/>
      <c r="H12" s="74"/>
      <c r="I12" s="74"/>
      <c r="J12" s="74"/>
      <c r="K12" s="74"/>
      <c r="L12" s="74"/>
      <c r="M12" s="74"/>
      <c r="N12" s="74"/>
      <c r="O12" s="74"/>
      <c r="P12" s="74"/>
      <c r="Q12" s="74"/>
    </row>
    <row r="13" spans="1:20">
      <c r="A13" s="59"/>
      <c r="B13" s="59"/>
      <c r="C13" s="59"/>
      <c r="D13" s="59"/>
      <c r="E13" s="59"/>
      <c r="F13" s="59"/>
      <c r="G13" s="74"/>
      <c r="H13" s="74"/>
      <c r="I13" s="74"/>
      <c r="J13" s="74"/>
      <c r="K13" s="74"/>
      <c r="L13" s="74"/>
      <c r="M13" s="74"/>
      <c r="N13" s="74"/>
      <c r="O13" s="74"/>
      <c r="P13" s="74"/>
      <c r="Q13" s="74"/>
    </row>
    <row r="14" spans="1:20" ht="15.6">
      <c r="A14" s="59"/>
      <c r="B14" s="59"/>
      <c r="C14" s="59"/>
      <c r="D14" s="59"/>
      <c r="E14" s="125" t="s">
        <v>1018</v>
      </c>
      <c r="F14" s="59"/>
      <c r="G14" s="74"/>
      <c r="H14" s="74"/>
      <c r="I14" s="74"/>
      <c r="J14" s="74"/>
      <c r="K14" s="74"/>
      <c r="L14" s="74"/>
      <c r="M14" s="74"/>
      <c r="N14" s="74"/>
      <c r="O14" s="74"/>
      <c r="P14" s="74"/>
      <c r="Q14" s="74"/>
    </row>
    <row r="15" spans="1:20">
      <c r="A15" s="59"/>
      <c r="B15" s="59"/>
      <c r="C15" s="59"/>
      <c r="D15" s="59"/>
      <c r="E15" s="59"/>
      <c r="F15" s="59"/>
      <c r="G15" s="74"/>
      <c r="H15" s="74"/>
      <c r="I15" s="74"/>
      <c r="J15" s="74"/>
      <c r="K15" s="74"/>
      <c r="L15" s="74"/>
      <c r="M15" s="74"/>
      <c r="N15" s="74"/>
      <c r="O15" s="74"/>
      <c r="P15" s="74"/>
      <c r="Q15" s="74"/>
    </row>
    <row r="16" spans="1:20" ht="15.6">
      <c r="A16" s="59"/>
      <c r="B16" s="59"/>
      <c r="C16" s="59"/>
      <c r="D16" s="125">
        <v>1</v>
      </c>
      <c r="E16" s="125" t="s">
        <v>989</v>
      </c>
      <c r="F16" s="59"/>
      <c r="G16" s="74"/>
      <c r="H16" s="74"/>
      <c r="I16" s="74"/>
      <c r="J16" s="74"/>
      <c r="K16" s="74"/>
      <c r="L16" s="74"/>
      <c r="M16" s="74"/>
      <c r="N16" s="74"/>
      <c r="O16" s="74"/>
      <c r="P16" s="74"/>
      <c r="Q16" s="74"/>
    </row>
    <row r="17" spans="1:17">
      <c r="A17" s="59"/>
      <c r="B17" s="59"/>
      <c r="C17" s="59"/>
      <c r="D17" s="59"/>
      <c r="E17" s="59" t="s">
        <v>1054</v>
      </c>
      <c r="F17" s="59"/>
      <c r="G17" s="74"/>
      <c r="H17" s="74"/>
      <c r="I17" s="74"/>
      <c r="J17" s="74"/>
      <c r="K17" s="74"/>
      <c r="L17" s="74"/>
      <c r="M17" s="74"/>
      <c r="N17" s="74"/>
      <c r="O17" s="74"/>
      <c r="P17" s="74"/>
      <c r="Q17" s="74"/>
    </row>
    <row r="18" spans="1:17">
      <c r="A18" s="59"/>
      <c r="B18" s="59"/>
      <c r="C18" s="59"/>
      <c r="D18" s="59"/>
      <c r="E18" s="59"/>
      <c r="F18" s="59"/>
      <c r="G18" s="74"/>
      <c r="H18" s="74"/>
      <c r="I18" s="74"/>
      <c r="J18" s="74"/>
      <c r="K18" s="74"/>
      <c r="L18" s="74"/>
      <c r="M18" s="74"/>
      <c r="N18" s="74"/>
      <c r="O18" s="74"/>
      <c r="P18" s="74"/>
      <c r="Q18" s="74"/>
    </row>
    <row r="19" spans="1:17" ht="15.6">
      <c r="A19" s="59"/>
      <c r="B19" s="59"/>
      <c r="C19" s="59"/>
      <c r="D19" s="125">
        <v>2</v>
      </c>
      <c r="E19" s="125" t="s">
        <v>1055</v>
      </c>
      <c r="F19" s="59"/>
      <c r="G19" s="74"/>
      <c r="H19" s="74"/>
      <c r="I19" s="74"/>
      <c r="J19" s="74"/>
      <c r="K19" s="74"/>
      <c r="L19" s="74"/>
      <c r="M19" s="74"/>
      <c r="N19" s="74"/>
      <c r="O19" s="74"/>
      <c r="P19" s="74"/>
      <c r="Q19" s="74"/>
    </row>
    <row r="20" spans="1:17">
      <c r="A20" s="59"/>
      <c r="B20" s="59"/>
      <c r="C20" s="59"/>
      <c r="D20" s="59"/>
      <c r="E20" s="59" t="s">
        <v>1056</v>
      </c>
      <c r="F20" s="59"/>
      <c r="G20" s="74"/>
      <c r="H20" s="74"/>
      <c r="I20" s="74"/>
      <c r="J20" s="74"/>
      <c r="K20" s="74"/>
      <c r="L20" s="74"/>
      <c r="M20" s="74"/>
      <c r="N20" s="74"/>
      <c r="O20" s="74"/>
      <c r="P20" s="74"/>
      <c r="Q20" s="74"/>
    </row>
    <row r="21" spans="1:17">
      <c r="G21" s="45"/>
      <c r="H21" s="45"/>
      <c r="I21" s="45"/>
      <c r="J21" s="45"/>
      <c r="K21" s="45"/>
      <c r="L21" s="45"/>
      <c r="M21" s="45"/>
      <c r="N21" s="45"/>
      <c r="O21" s="45"/>
      <c r="P21" s="45"/>
      <c r="Q21" s="45"/>
    </row>
    <row r="22" spans="1:17" ht="15.6">
      <c r="D22" s="3">
        <v>3</v>
      </c>
      <c r="E22" s="3" t="s">
        <v>1061</v>
      </c>
      <c r="G22" s="45"/>
      <c r="H22" s="45"/>
      <c r="I22" s="45"/>
      <c r="J22" s="45"/>
      <c r="K22" s="45"/>
      <c r="L22" s="45"/>
      <c r="M22" s="45"/>
      <c r="N22" s="45"/>
      <c r="O22" s="45"/>
      <c r="P22" s="45"/>
      <c r="Q22" s="45"/>
    </row>
    <row r="23" spans="1:17">
      <c r="E23" s="2" t="s">
        <v>1062</v>
      </c>
      <c r="G23" s="45"/>
      <c r="H23" s="45"/>
      <c r="I23" s="45"/>
      <c r="J23" s="45"/>
      <c r="K23" s="45"/>
      <c r="L23" s="45"/>
      <c r="M23" s="45"/>
      <c r="N23" s="45"/>
      <c r="O23" s="45"/>
      <c r="P23" s="45"/>
      <c r="Q23" s="45"/>
    </row>
    <row r="24" spans="1:17">
      <c r="G24" s="45"/>
      <c r="H24" s="45"/>
      <c r="I24" s="45"/>
      <c r="J24" s="45"/>
      <c r="K24" s="45"/>
      <c r="L24" s="45"/>
      <c r="M24" s="45"/>
      <c r="N24" s="45"/>
      <c r="O24" s="45"/>
      <c r="P24" s="45"/>
      <c r="Q24" s="45"/>
    </row>
    <row r="25" spans="1:17" ht="15.6">
      <c r="D25" s="3">
        <v>4</v>
      </c>
      <c r="E25" s="3" t="s">
        <v>871</v>
      </c>
      <c r="G25" s="45"/>
      <c r="H25" s="45"/>
      <c r="I25" s="45"/>
      <c r="J25" s="45"/>
      <c r="K25" s="45"/>
      <c r="L25" s="45"/>
      <c r="M25" s="45"/>
      <c r="N25" s="45"/>
      <c r="O25" s="45"/>
      <c r="P25" s="45"/>
      <c r="Q25" s="45"/>
    </row>
    <row r="26" spans="1:17">
      <c r="E26" s="2" t="s">
        <v>1063</v>
      </c>
    </row>
    <row r="28" spans="1:17" ht="15.6">
      <c r="D28" s="3">
        <v>5</v>
      </c>
      <c r="E28" s="3" t="s">
        <v>921</v>
      </c>
    </row>
    <row r="29" spans="1:17">
      <c r="E29" s="2" t="s">
        <v>1064</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700D1-1804-498E-BC60-E374D246529D}">
  <sheetPr codeName="Sheet28"/>
  <dimension ref="A2:O17"/>
  <sheetViews>
    <sheetView showGridLines="0" zoomScaleNormal="100" workbookViewId="0">
      <selection activeCell="I14" sqref="I14"/>
    </sheetView>
  </sheetViews>
  <sheetFormatPr defaultColWidth="11.77734375" defaultRowHeight="15"/>
  <cols>
    <col min="1" max="1" width="2.6640625" style="2" customWidth="1"/>
    <col min="2" max="5" width="15.5546875" style="2" customWidth="1"/>
    <col min="6" max="7" width="17" style="2" customWidth="1"/>
    <col min="8" max="8" width="18.77734375" style="2" customWidth="1"/>
    <col min="9" max="22" width="15.5546875" style="2" customWidth="1"/>
    <col min="23" max="16384" width="11.77734375" style="2"/>
  </cols>
  <sheetData>
    <row r="2" spans="1:15">
      <c r="B2" s="2" t="s">
        <v>600</v>
      </c>
    </row>
    <row r="3" spans="1:15" ht="15.6">
      <c r="F3"/>
      <c r="G3"/>
    </row>
    <row r="4" spans="1:15" s="36" customFormat="1" ht="15.6">
      <c r="A4" s="2"/>
      <c r="B4" s="36" t="s">
        <v>604</v>
      </c>
      <c r="F4" s="198" t="s">
        <v>598</v>
      </c>
      <c r="G4" s="198" t="s">
        <v>920</v>
      </c>
      <c r="H4" s="198" t="s">
        <v>601</v>
      </c>
      <c r="I4" s="198" t="s">
        <v>603</v>
      </c>
      <c r="J4" s="198" t="s">
        <v>607</v>
      </c>
      <c r="K4" s="198" t="s">
        <v>606</v>
      </c>
      <c r="M4" s="199"/>
    </row>
    <row r="5" spans="1:15" ht="15.6">
      <c r="B5" s="2" t="s">
        <v>343</v>
      </c>
      <c r="C5" s="3" t="s">
        <v>597</v>
      </c>
      <c r="F5" s="201">
        <v>0.51</v>
      </c>
      <c r="G5" s="177">
        <f>100%-F5</f>
        <v>0.49</v>
      </c>
      <c r="H5" s="119" t="s">
        <v>602</v>
      </c>
      <c r="I5" s="200">
        <v>1152</v>
      </c>
      <c r="J5" s="119" t="s">
        <v>158</v>
      </c>
      <c r="K5" s="119">
        <f>I5*G5</f>
        <v>564.48</v>
      </c>
    </row>
    <row r="6" spans="1:15" ht="15.6">
      <c r="C6" s="3" t="s">
        <v>599</v>
      </c>
      <c r="F6" s="202">
        <v>0.97499999999999998</v>
      </c>
      <c r="G6" s="177">
        <f>100%-F6</f>
        <v>2.5000000000000022E-2</v>
      </c>
      <c r="H6" s="119" t="s">
        <v>607</v>
      </c>
      <c r="I6" s="119" t="s">
        <v>158</v>
      </c>
      <c r="J6" s="200">
        <v>565.55999999999995</v>
      </c>
      <c r="K6" s="119">
        <f>G6*J6</f>
        <v>14.139000000000012</v>
      </c>
    </row>
    <row r="7" spans="1:15">
      <c r="F7" s="119"/>
      <c r="G7" s="177"/>
      <c r="H7" s="119"/>
      <c r="I7" s="119"/>
      <c r="K7" s="183">
        <f>SUM(K5:K6)</f>
        <v>578.61900000000003</v>
      </c>
    </row>
    <row r="8" spans="1:15">
      <c r="F8" s="119"/>
      <c r="G8" s="177"/>
      <c r="H8" s="119"/>
      <c r="I8" s="119"/>
    </row>
    <row r="9" spans="1:15">
      <c r="F9" s="119"/>
      <c r="G9" s="119"/>
      <c r="H9" s="119"/>
      <c r="I9" s="119"/>
    </row>
    <row r="10" spans="1:15" ht="15.6">
      <c r="B10" s="3" t="s">
        <v>335</v>
      </c>
      <c r="C10" s="2" t="s">
        <v>605</v>
      </c>
      <c r="F10" s="119"/>
      <c r="G10" s="119"/>
      <c r="H10" s="119"/>
      <c r="I10" s="119"/>
    </row>
    <row r="11" spans="1:15">
      <c r="F11" s="119"/>
      <c r="G11" s="119"/>
      <c r="H11" s="119"/>
      <c r="I11" s="119"/>
    </row>
    <row r="12" spans="1:15">
      <c r="F12" s="119"/>
      <c r="G12" s="119"/>
      <c r="H12" s="119"/>
      <c r="I12" s="119"/>
    </row>
    <row r="13" spans="1:15" ht="15.6">
      <c r="B13" s="3"/>
      <c r="F13" s="119"/>
      <c r="G13" s="119"/>
      <c r="H13" s="119"/>
      <c r="I13" s="119"/>
    </row>
    <row r="14" spans="1:15">
      <c r="F14" s="119"/>
      <c r="G14" s="119"/>
      <c r="H14" s="119"/>
      <c r="I14" s="119"/>
    </row>
    <row r="16" spans="1:15">
      <c r="B16" s="8"/>
      <c r="C16" s="8"/>
      <c r="D16" s="8"/>
      <c r="E16" s="8"/>
      <c r="F16" s="8"/>
      <c r="G16" s="8"/>
      <c r="H16" s="8"/>
      <c r="I16" s="8"/>
      <c r="J16" s="8"/>
      <c r="K16" s="8"/>
      <c r="L16" s="8"/>
      <c r="M16" s="8"/>
      <c r="N16" s="8"/>
      <c r="O16" s="8"/>
    </row>
    <row r="17" spans="6:7">
      <c r="F17" s="119"/>
      <c r="G17" s="119"/>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1D16E-6157-405C-9698-A06DE7A1D084}">
  <sheetPr codeName="Sheet29"/>
  <dimension ref="A1:J6"/>
  <sheetViews>
    <sheetView showGridLines="0" zoomScaleNormal="100" workbookViewId="0">
      <selection activeCell="B6" sqref="B6"/>
    </sheetView>
  </sheetViews>
  <sheetFormatPr defaultRowHeight="14.4"/>
  <cols>
    <col min="1" max="1" width="2.5546875" customWidth="1"/>
    <col min="2" max="5" width="15.5546875" customWidth="1"/>
    <col min="6" max="6" width="18.109375" customWidth="1"/>
    <col min="7" max="7" width="23.44140625" customWidth="1"/>
    <col min="8" max="44" width="15.5546875" customWidth="1"/>
  </cols>
  <sheetData>
    <row r="1" spans="1:10" ht="15.6">
      <c r="A1" s="2"/>
      <c r="B1" s="2"/>
      <c r="C1" s="2"/>
      <c r="D1" s="2"/>
      <c r="E1" s="2"/>
      <c r="F1" s="2"/>
      <c r="G1" s="2"/>
      <c r="H1" s="2"/>
      <c r="I1" s="2"/>
      <c r="J1" s="2"/>
    </row>
    <row r="2" spans="1:10" ht="15.6">
      <c r="A2" s="2"/>
      <c r="B2" s="2" t="s">
        <v>910</v>
      </c>
      <c r="C2" s="2"/>
      <c r="D2" s="2"/>
      <c r="E2" s="2"/>
      <c r="F2" s="2"/>
      <c r="G2" s="2"/>
      <c r="H2" s="2"/>
      <c r="I2" s="2"/>
      <c r="J2" s="2"/>
    </row>
    <row r="3" spans="1:10" ht="15.6">
      <c r="A3" s="2"/>
      <c r="B3" s="2"/>
      <c r="C3" s="2"/>
      <c r="D3" s="2"/>
      <c r="E3" s="2"/>
      <c r="G3" s="2"/>
      <c r="H3" s="2"/>
      <c r="I3" s="2"/>
      <c r="J3" s="2"/>
    </row>
    <row r="4" spans="1:10" ht="15.6">
      <c r="A4" s="2"/>
      <c r="B4" s="36" t="s">
        <v>911</v>
      </c>
      <c r="C4" s="36"/>
      <c r="D4" s="36"/>
      <c r="E4" s="36"/>
      <c r="F4" s="198" t="s">
        <v>598</v>
      </c>
      <c r="G4" s="198" t="s">
        <v>601</v>
      </c>
      <c r="H4" s="198" t="s">
        <v>603</v>
      </c>
      <c r="I4" s="198" t="s">
        <v>607</v>
      </c>
      <c r="J4" s="198" t="s">
        <v>606</v>
      </c>
    </row>
    <row r="5" spans="1:10" ht="15.6">
      <c r="A5" s="2"/>
      <c r="B5" s="2"/>
      <c r="C5" s="3"/>
      <c r="D5" s="2"/>
      <c r="E5" s="2"/>
      <c r="F5" s="201"/>
      <c r="G5" s="119"/>
      <c r="H5" s="200"/>
      <c r="I5" s="119"/>
      <c r="J5" s="119"/>
    </row>
    <row r="6" spans="1:10" ht="15.6">
      <c r="B6" s="363" t="s">
        <v>912</v>
      </c>
      <c r="F6" s="414">
        <v>0.2</v>
      </c>
      <c r="G6" s="415" t="s">
        <v>913</v>
      </c>
      <c r="H6" s="415" t="s">
        <v>158</v>
      </c>
      <c r="I6" s="415">
        <v>39.29</v>
      </c>
      <c r="J6" s="416">
        <f>I6*F6</f>
        <v>7.8580000000000005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3A744-D0A7-4A3E-BF81-BA4738F810FA}">
  <sheetPr codeName="Sheet30"/>
  <dimension ref="B1:T75"/>
  <sheetViews>
    <sheetView showGridLines="0" topLeftCell="D1" zoomScaleNormal="100" workbookViewId="0">
      <selection activeCell="G19" sqref="G19"/>
    </sheetView>
  </sheetViews>
  <sheetFormatPr defaultColWidth="11.77734375" defaultRowHeight="15"/>
  <cols>
    <col min="1" max="1" width="2.6640625" style="2" customWidth="1"/>
    <col min="2" max="3" width="15.5546875" style="2" customWidth="1"/>
    <col min="4" max="4" width="18.21875" style="2" customWidth="1"/>
    <col min="5" max="14" width="15.5546875" style="2" customWidth="1"/>
    <col min="15" max="15" width="85.77734375" style="2" customWidth="1"/>
    <col min="16" max="30" width="15.5546875" style="2" customWidth="1"/>
    <col min="31" max="16384" width="11.77734375" style="2"/>
  </cols>
  <sheetData>
    <row r="1" spans="2:20" ht="23.4">
      <c r="B1" s="358"/>
      <c r="C1" s="456" t="s">
        <v>1017</v>
      </c>
      <c r="L1" s="157"/>
    </row>
    <row r="2" spans="2:20" ht="15.6">
      <c r="E2" s="3" t="s">
        <v>82</v>
      </c>
      <c r="G2" s="119" t="s">
        <v>350</v>
      </c>
      <c r="H2" s="119" t="s">
        <v>350</v>
      </c>
      <c r="I2" s="119" t="s">
        <v>350</v>
      </c>
      <c r="J2" s="119" t="s">
        <v>350</v>
      </c>
      <c r="K2" s="119" t="s">
        <v>350</v>
      </c>
      <c r="L2" s="155" t="s">
        <v>350</v>
      </c>
      <c r="M2" s="119" t="s">
        <v>351</v>
      </c>
      <c r="N2" s="119" t="s">
        <v>351</v>
      </c>
      <c r="O2" s="64"/>
      <c r="P2" s="64"/>
      <c r="Q2" s="64"/>
      <c r="R2" s="119"/>
      <c r="S2" s="119"/>
      <c r="T2" s="119"/>
    </row>
    <row r="3" spans="2:20">
      <c r="C3" s="121" t="s">
        <v>840</v>
      </c>
      <c r="D3" s="120"/>
      <c r="E3" s="120"/>
      <c r="F3" s="120"/>
      <c r="G3" s="127" t="s">
        <v>41</v>
      </c>
      <c r="H3" s="127" t="s">
        <v>42</v>
      </c>
      <c r="I3" s="127" t="s">
        <v>43</v>
      </c>
      <c r="J3" s="127" t="s">
        <v>44</v>
      </c>
      <c r="K3" s="127" t="s">
        <v>45</v>
      </c>
      <c r="L3" s="156" t="s">
        <v>46</v>
      </c>
      <c r="M3" s="127" t="s">
        <v>349</v>
      </c>
      <c r="N3" s="127" t="s">
        <v>352</v>
      </c>
      <c r="O3" s="237" t="s">
        <v>437</v>
      </c>
      <c r="P3" s="368"/>
      <c r="Q3" s="368"/>
      <c r="R3" s="368"/>
      <c r="S3" s="368"/>
      <c r="T3" s="368"/>
    </row>
    <row r="4" spans="2:20" ht="15.6">
      <c r="L4" s="210"/>
      <c r="O4" s="59"/>
      <c r="P4" s="59"/>
      <c r="Q4" s="59"/>
    </row>
    <row r="5" spans="2:20" ht="15.6">
      <c r="E5" s="3" t="s">
        <v>832</v>
      </c>
      <c r="G5" s="154">
        <f>'P&amp;L(OUTPUT)'!G52</f>
        <v>7.6777331598891507</v>
      </c>
      <c r="H5" s="154">
        <f>'P&amp;L(OUTPUT)'!H52</f>
        <v>8.1535033284440956</v>
      </c>
      <c r="I5" s="154">
        <f>'P&amp;L(OUTPUT)'!I52</f>
        <v>8.1693184382757806</v>
      </c>
      <c r="J5" s="154">
        <f>'P&amp;L(OUTPUT)'!J52</f>
        <v>9.5698002482789768</v>
      </c>
      <c r="K5" s="154">
        <f>'P&amp;L(OUTPUT)'!K52</f>
        <v>9.8392192259957145</v>
      </c>
      <c r="L5" s="163">
        <f>'P&amp;L(OUTPUT)'!L52</f>
        <v>9.5876590474045695</v>
      </c>
      <c r="M5" s="154">
        <f>'P&amp;L(OUTPUT)'!M52</f>
        <v>10.258569828402901</v>
      </c>
      <c r="N5" s="154">
        <f>'P&amp;L(OUTPUT)'!N52</f>
        <v>11.712633866727071</v>
      </c>
      <c r="O5" s="301"/>
      <c r="P5" s="301"/>
      <c r="Q5" s="301"/>
    </row>
    <row r="6" spans="2:20">
      <c r="G6" s="45"/>
      <c r="H6" s="45"/>
      <c r="I6" s="45"/>
      <c r="J6" s="45"/>
      <c r="K6" s="45"/>
      <c r="L6" s="369"/>
      <c r="M6" s="45"/>
      <c r="N6" s="45"/>
      <c r="O6" s="45"/>
      <c r="P6" s="45"/>
      <c r="Q6" s="45"/>
    </row>
    <row r="7" spans="2:20" ht="15.6">
      <c r="D7" s="3" t="s">
        <v>833</v>
      </c>
      <c r="E7" s="373">
        <v>560</v>
      </c>
      <c r="G7" s="45"/>
      <c r="H7" s="45"/>
      <c r="I7" s="45"/>
      <c r="J7" s="45"/>
      <c r="K7" s="45"/>
      <c r="L7" s="369"/>
      <c r="M7" s="45"/>
      <c r="N7" s="45"/>
      <c r="O7" s="45" t="s">
        <v>834</v>
      </c>
      <c r="P7" s="45"/>
      <c r="Q7" s="45"/>
    </row>
    <row r="8" spans="2:20" ht="15.6">
      <c r="D8" s="3"/>
      <c r="E8" s="200"/>
      <c r="G8" s="45"/>
      <c r="H8" s="45"/>
      <c r="I8" s="45"/>
      <c r="J8" s="45"/>
      <c r="K8" s="45"/>
      <c r="L8" s="378"/>
      <c r="M8" s="45"/>
      <c r="N8" s="45"/>
      <c r="O8" s="45"/>
      <c r="P8" s="45"/>
      <c r="Q8" s="45"/>
    </row>
    <row r="9" spans="2:20" ht="15.6">
      <c r="D9" s="3"/>
      <c r="E9" s="3" t="s">
        <v>838</v>
      </c>
      <c r="G9" s="154" t="s">
        <v>158</v>
      </c>
      <c r="H9" s="154" t="s">
        <v>158</v>
      </c>
      <c r="I9" s="154" t="s">
        <v>158</v>
      </c>
      <c r="J9" s="154" t="s">
        <v>158</v>
      </c>
      <c r="K9" s="154" t="s">
        <v>158</v>
      </c>
      <c r="L9" s="374" t="s">
        <v>158</v>
      </c>
      <c r="M9" s="154">
        <f>$E$7/M5</f>
        <v>54.588505938666813</v>
      </c>
      <c r="N9" s="154">
        <f>$E$7/N5</f>
        <v>47.811620031155641</v>
      </c>
      <c r="O9" s="45"/>
      <c r="P9" s="45"/>
      <c r="Q9" s="45"/>
    </row>
    <row r="10" spans="2:20" ht="16.2" thickBot="1">
      <c r="D10" s="3"/>
      <c r="L10" s="241"/>
      <c r="O10" s="45"/>
      <c r="P10" s="45"/>
      <c r="Q10" s="45"/>
    </row>
    <row r="11" spans="2:20" ht="16.2" thickBot="1">
      <c r="D11" s="3" t="s">
        <v>645</v>
      </c>
      <c r="E11" s="236">
        <f>Forecasting!$L$15</f>
        <v>3</v>
      </c>
      <c r="H11" s="119"/>
      <c r="I11" s="119"/>
      <c r="J11" s="119"/>
      <c r="K11" s="45"/>
      <c r="L11" s="378"/>
      <c r="M11" s="45"/>
      <c r="N11" s="45"/>
      <c r="O11" s="45"/>
      <c r="P11" s="45"/>
      <c r="Q11" s="45"/>
    </row>
    <row r="12" spans="2:20" ht="15.6">
      <c r="E12" s="114" t="s">
        <v>686</v>
      </c>
      <c r="H12" s="119"/>
      <c r="I12" s="119"/>
      <c r="J12" s="119"/>
      <c r="K12" s="45"/>
      <c r="L12" s="378"/>
      <c r="M12" s="45"/>
      <c r="N12" s="45"/>
      <c r="O12" s="45"/>
      <c r="P12" s="45"/>
      <c r="Q12" s="45"/>
    </row>
    <row r="13" spans="2:20">
      <c r="G13" s="45"/>
      <c r="H13" s="45"/>
      <c r="I13" s="45"/>
      <c r="J13" s="45"/>
      <c r="K13" s="45"/>
      <c r="L13" s="378"/>
      <c r="M13" s="45"/>
      <c r="N13" s="45"/>
      <c r="O13" s="45"/>
      <c r="P13" s="45"/>
      <c r="Q13" s="45"/>
    </row>
    <row r="14" spans="2:20" ht="15.6">
      <c r="E14" s="3" t="s">
        <v>461</v>
      </c>
      <c r="L14" s="241"/>
      <c r="M14" s="379"/>
      <c r="N14" s="154">
        <f>N5*CHOOSE(E11,N24,N29,N34)</f>
        <v>493.163827602928</v>
      </c>
      <c r="O14" s="45"/>
      <c r="P14" s="45"/>
      <c r="Q14" s="45"/>
    </row>
    <row r="15" spans="2:20" ht="15.6">
      <c r="E15" s="3" t="s">
        <v>1053</v>
      </c>
      <c r="L15" s="241"/>
      <c r="M15" s="301"/>
      <c r="N15" s="413">
        <f>('NCI value'!K7/'P&amp;L(OUTPUT)'!M50)*-1</f>
        <v>-3.2576230154261907</v>
      </c>
      <c r="O15" s="45" t="s">
        <v>915</v>
      </c>
      <c r="P15" s="45"/>
      <c r="Q15" s="45"/>
    </row>
    <row r="16" spans="2:20" ht="15.6">
      <c r="E16" s="3" t="s">
        <v>914</v>
      </c>
      <c r="L16" s="241"/>
      <c r="M16" s="301"/>
      <c r="N16" s="154">
        <f>'JV Valuation'!J6/'P&amp;L(OUTPUT)'!M50</f>
        <v>4.4240513455691931E-2</v>
      </c>
      <c r="O16" s="45" t="s">
        <v>916</v>
      </c>
      <c r="P16" s="45"/>
      <c r="Q16" s="45"/>
    </row>
    <row r="17" spans="5:17" ht="15.6">
      <c r="E17" s="3"/>
      <c r="L17" s="241"/>
      <c r="M17" s="301"/>
      <c r="N17" s="154"/>
      <c r="O17" s="45"/>
      <c r="P17" s="45"/>
      <c r="Q17" s="45"/>
    </row>
    <row r="18" spans="5:17" ht="15.6">
      <c r="E18" s="3" t="s">
        <v>917</v>
      </c>
      <c r="L18" s="241"/>
      <c r="M18" s="301"/>
      <c r="N18" s="417">
        <f>N14+N15+N16</f>
        <v>489.9504451009575</v>
      </c>
      <c r="O18" s="45"/>
      <c r="P18" s="45"/>
      <c r="Q18" s="45"/>
    </row>
    <row r="19" spans="5:17" ht="15.6">
      <c r="E19" s="3"/>
      <c r="L19" s="241"/>
      <c r="M19" s="301"/>
      <c r="N19" s="154"/>
      <c r="O19" s="45"/>
      <c r="P19" s="45"/>
      <c r="Q19" s="45"/>
    </row>
    <row r="20" spans="5:17" ht="15.6">
      <c r="E20" s="85" t="s">
        <v>841</v>
      </c>
      <c r="F20" s="8"/>
      <c r="G20" s="8"/>
      <c r="H20" s="8"/>
      <c r="I20" s="8"/>
      <c r="J20" s="8"/>
      <c r="K20" s="8"/>
      <c r="L20" s="380"/>
      <c r="M20" s="235"/>
      <c r="N20" s="381">
        <f>(N18-E7)/E7</f>
        <v>-0.12508849089114732</v>
      </c>
      <c r="O20" s="45"/>
      <c r="P20" s="45"/>
      <c r="Q20" s="45"/>
    </row>
    <row r="21" spans="5:17">
      <c r="G21" s="45"/>
      <c r="H21" s="45"/>
      <c r="I21" s="45"/>
      <c r="J21" s="45"/>
      <c r="K21" s="45"/>
      <c r="L21" s="369"/>
      <c r="M21" s="45"/>
      <c r="N21" s="45"/>
      <c r="O21" s="45"/>
      <c r="P21" s="45"/>
      <c r="Q21" s="45"/>
    </row>
    <row r="22" spans="5:17" ht="15.6">
      <c r="E22" s="220" t="s">
        <v>687</v>
      </c>
      <c r="F22" s="216"/>
      <c r="G22" s="217"/>
      <c r="H22" s="217"/>
      <c r="I22" s="217"/>
      <c r="J22" s="217"/>
      <c r="K22" s="217"/>
      <c r="L22" s="218"/>
      <c r="M22" s="217"/>
      <c r="N22" s="217"/>
      <c r="O22" s="217"/>
      <c r="P22" s="217"/>
      <c r="Q22" s="217"/>
    </row>
    <row r="23" spans="5:17">
      <c r="E23" s="216"/>
      <c r="F23" s="216"/>
      <c r="G23" s="217"/>
      <c r="H23" s="217"/>
      <c r="I23" s="217"/>
      <c r="J23" s="217"/>
      <c r="K23" s="217"/>
      <c r="L23" s="218"/>
      <c r="M23" s="217"/>
      <c r="N23" s="217"/>
      <c r="O23" s="217"/>
      <c r="P23" s="217"/>
      <c r="Q23" s="217"/>
    </row>
    <row r="24" spans="5:17" ht="15.6">
      <c r="E24" s="220" t="s">
        <v>839</v>
      </c>
      <c r="F24" s="222"/>
      <c r="G24" s="223" t="s">
        <v>158</v>
      </c>
      <c r="H24" s="223" t="s">
        <v>158</v>
      </c>
      <c r="I24" s="223" t="s">
        <v>158</v>
      </c>
      <c r="J24" s="223" t="s">
        <v>158</v>
      </c>
      <c r="K24" s="223" t="s">
        <v>158</v>
      </c>
      <c r="L24" s="376" t="s">
        <v>158</v>
      </c>
      <c r="M24" s="377">
        <f>M29+10%*M29</f>
        <v>61.168965517241375</v>
      </c>
      <c r="N24" s="377">
        <f>N29+10%*N29</f>
        <v>51.462019230769229</v>
      </c>
      <c r="O24" s="224"/>
      <c r="P24" s="224"/>
      <c r="Q24" s="224"/>
    </row>
    <row r="25" spans="5:17" ht="15.6">
      <c r="E25" s="375"/>
      <c r="F25" s="216"/>
      <c r="G25" s="219"/>
      <c r="H25" s="217"/>
      <c r="I25" s="217"/>
      <c r="J25" s="217"/>
      <c r="K25" s="217"/>
      <c r="L25" s="218"/>
      <c r="M25" s="217"/>
      <c r="N25" s="217"/>
      <c r="O25" s="217"/>
      <c r="P25" s="217"/>
      <c r="Q25" s="217"/>
    </row>
    <row r="26" spans="5:17">
      <c r="G26" s="119"/>
      <c r="H26" s="119"/>
      <c r="I26" s="119"/>
      <c r="J26" s="119"/>
      <c r="K26" s="119"/>
      <c r="L26" s="155"/>
      <c r="M26" s="119"/>
      <c r="N26" s="119"/>
      <c r="O26" s="119"/>
      <c r="P26" s="119"/>
      <c r="Q26" s="119"/>
    </row>
    <row r="27" spans="5:17" ht="15.6">
      <c r="E27" s="220" t="s">
        <v>688</v>
      </c>
      <c r="F27" s="216"/>
      <c r="G27" s="217"/>
      <c r="H27" s="217"/>
      <c r="I27" s="217"/>
      <c r="J27" s="217"/>
      <c r="K27" s="217"/>
      <c r="L27" s="218"/>
      <c r="M27" s="217"/>
      <c r="N27" s="217"/>
      <c r="O27" s="217"/>
      <c r="P27" s="217"/>
      <c r="Q27" s="217"/>
    </row>
    <row r="28" spans="5:17">
      <c r="E28" s="216"/>
      <c r="F28" s="216"/>
      <c r="G28" s="217"/>
      <c r="H28" s="225"/>
      <c r="I28" s="225"/>
      <c r="J28" s="225"/>
      <c r="K28" s="225"/>
      <c r="L28" s="227"/>
      <c r="M28" s="225"/>
      <c r="N28" s="225"/>
      <c r="O28" s="225"/>
      <c r="P28" s="225"/>
      <c r="Q28" s="225"/>
    </row>
    <row r="29" spans="5:17" ht="15.6">
      <c r="E29" s="220" t="s">
        <v>839</v>
      </c>
      <c r="F29" s="222"/>
      <c r="G29" s="223" t="s">
        <v>158</v>
      </c>
      <c r="H29" s="223" t="s">
        <v>158</v>
      </c>
      <c r="I29" s="223" t="s">
        <v>158</v>
      </c>
      <c r="J29" s="223" t="s">
        <v>158</v>
      </c>
      <c r="K29" s="223" t="s">
        <v>158</v>
      </c>
      <c r="L29" s="376" t="s">
        <v>158</v>
      </c>
      <c r="M29" s="377">
        <f>'Street estimates-FY24'!J28</f>
        <v>55.608150470219435</v>
      </c>
      <c r="N29" s="377">
        <f>'Street estimates-FY25'!J28</f>
        <v>46.783653846153847</v>
      </c>
      <c r="O29" s="224"/>
      <c r="P29" s="224"/>
      <c r="Q29" s="224"/>
    </row>
    <row r="30" spans="5:17" ht="15.6">
      <c r="E30" s="216"/>
      <c r="F30" s="216"/>
      <c r="G30" s="219"/>
      <c r="H30" s="217"/>
      <c r="I30" s="217"/>
      <c r="J30" s="217"/>
      <c r="K30" s="217"/>
      <c r="L30" s="218"/>
      <c r="M30" s="217"/>
      <c r="N30" s="217"/>
      <c r="O30" s="217"/>
      <c r="P30" s="217"/>
      <c r="Q30" s="217"/>
    </row>
    <row r="31" spans="5:17" ht="15.6">
      <c r="G31" s="211"/>
      <c r="H31" s="119"/>
      <c r="I31" s="119"/>
      <c r="J31" s="119"/>
      <c r="K31" s="119"/>
      <c r="L31" s="155"/>
      <c r="M31" s="119"/>
      <c r="N31" s="119"/>
      <c r="O31" s="119"/>
      <c r="P31" s="119"/>
      <c r="Q31" s="119"/>
    </row>
    <row r="32" spans="5:17" ht="15.6">
      <c r="E32" s="220" t="s">
        <v>689</v>
      </c>
      <c r="F32" s="216"/>
      <c r="G32" s="217"/>
      <c r="H32" s="217"/>
      <c r="I32" s="217"/>
      <c r="J32" s="217"/>
      <c r="K32" s="217"/>
      <c r="L32" s="218"/>
      <c r="M32" s="217"/>
      <c r="N32" s="217"/>
      <c r="O32" s="217"/>
      <c r="P32" s="217"/>
      <c r="Q32" s="217"/>
    </row>
    <row r="33" spans="4:17">
      <c r="E33" s="216"/>
      <c r="F33" s="216"/>
      <c r="G33" s="217"/>
      <c r="H33" s="217"/>
      <c r="I33" s="217"/>
      <c r="J33" s="217"/>
      <c r="K33" s="217"/>
      <c r="L33" s="218"/>
      <c r="M33" s="217"/>
      <c r="N33" s="217"/>
      <c r="O33" s="217"/>
      <c r="P33" s="217"/>
      <c r="Q33" s="217"/>
    </row>
    <row r="34" spans="4:17" ht="15.6">
      <c r="E34" s="220" t="s">
        <v>839</v>
      </c>
      <c r="F34" s="222"/>
      <c r="G34" s="223" t="s">
        <v>158</v>
      </c>
      <c r="H34" s="223" t="s">
        <v>158</v>
      </c>
      <c r="I34" s="223" t="s">
        <v>158</v>
      </c>
      <c r="J34" s="223" t="s">
        <v>158</v>
      </c>
      <c r="K34" s="223" t="s">
        <v>158</v>
      </c>
      <c r="L34" s="376" t="s">
        <v>158</v>
      </c>
      <c r="M34" s="377">
        <f>M29-10%*M29</f>
        <v>50.047335423197495</v>
      </c>
      <c r="N34" s="377">
        <f>N29-10%*N29</f>
        <v>42.105288461538464</v>
      </c>
      <c r="O34" s="224"/>
      <c r="P34" s="224"/>
      <c r="Q34" s="224"/>
    </row>
    <row r="35" spans="4:17" ht="15.6">
      <c r="E35" s="216"/>
      <c r="F35" s="216"/>
      <c r="G35" s="219"/>
      <c r="H35" s="217"/>
      <c r="I35" s="217"/>
      <c r="J35" s="217"/>
      <c r="K35" s="217"/>
      <c r="L35" s="218"/>
      <c r="M35" s="217"/>
      <c r="N35" s="217"/>
      <c r="O35" s="217"/>
      <c r="P35" s="217"/>
      <c r="Q35" s="217"/>
    </row>
    <row r="36" spans="4:17">
      <c r="G36" s="45"/>
      <c r="H36" s="45"/>
      <c r="I36" s="45"/>
      <c r="J36" s="45"/>
      <c r="K36" s="45"/>
      <c r="L36" s="45"/>
      <c r="M36" s="45"/>
      <c r="N36" s="45"/>
      <c r="O36" s="45"/>
      <c r="P36" s="45"/>
      <c r="Q36" s="45"/>
    </row>
    <row r="38" spans="4:17" ht="17.399999999999999">
      <c r="D38" s="3" t="s">
        <v>835</v>
      </c>
      <c r="E38" s="457" t="s">
        <v>836</v>
      </c>
      <c r="F38" s="457"/>
      <c r="G38" s="457"/>
      <c r="H38" s="457"/>
      <c r="I38" s="457"/>
      <c r="J38" s="457"/>
      <c r="K38" s="457"/>
      <c r="L38" s="457"/>
      <c r="M38" s="457"/>
      <c r="N38" s="457"/>
    </row>
    <row r="41" spans="4:17" ht="15.6">
      <c r="D41" s="3" t="s">
        <v>343</v>
      </c>
      <c r="E41" s="3" t="s">
        <v>649</v>
      </c>
      <c r="F41" s="119"/>
    </row>
    <row r="42" spans="4:17">
      <c r="E42" s="2" t="s">
        <v>647</v>
      </c>
      <c r="F42" s="8" t="str">
        <f>"Steet estimates+10%"</f>
        <v>Steet estimates+10%</v>
      </c>
    </row>
    <row r="43" spans="4:17">
      <c r="E43" s="2" t="s">
        <v>646</v>
      </c>
      <c r="F43" s="2" t="s">
        <v>837</v>
      </c>
    </row>
    <row r="44" spans="4:17">
      <c r="E44" s="2" t="s">
        <v>648</v>
      </c>
      <c r="F44" s="8" t="str">
        <f>"Steet estimates-10%"</f>
        <v>Steet estimates-10%</v>
      </c>
    </row>
    <row r="47" spans="4:17" ht="15.6">
      <c r="E47" s="3" t="s">
        <v>844</v>
      </c>
    </row>
    <row r="49" spans="3:16" ht="15.6">
      <c r="E49" s="221" t="s">
        <v>842</v>
      </c>
      <c r="F49" s="221" t="s">
        <v>606</v>
      </c>
      <c r="G49" s="221" t="s">
        <v>843</v>
      </c>
    </row>
    <row r="50" spans="3:16">
      <c r="C50" s="119"/>
      <c r="D50" s="119"/>
      <c r="E50" s="119">
        <v>40</v>
      </c>
      <c r="F50" s="154">
        <f>E50*$N$5</f>
        <v>468.50535466908286</v>
      </c>
      <c r="G50" s="177">
        <f>(F50-$E$7)/$E$7</f>
        <v>-0.16338329523378059</v>
      </c>
      <c r="H50" s="119"/>
      <c r="I50" s="119"/>
      <c r="J50" s="119"/>
      <c r="K50" s="119"/>
      <c r="L50" s="119"/>
      <c r="M50" s="119"/>
      <c r="N50" s="119"/>
      <c r="O50" s="119"/>
      <c r="P50" s="119"/>
    </row>
    <row r="51" spans="3:16">
      <c r="E51" s="119">
        <v>41</v>
      </c>
      <c r="F51" s="154">
        <f t="shared" ref="F51:F70" si="0">E51*$N$5</f>
        <v>480.21798853580992</v>
      </c>
      <c r="G51" s="177">
        <f t="shared" ref="G51:G70" si="1">(F51-$E$7)/$E$7</f>
        <v>-0.14246787761462515</v>
      </c>
    </row>
    <row r="52" spans="3:16">
      <c r="E52" s="119">
        <v>42</v>
      </c>
      <c r="F52" s="154">
        <f t="shared" si="0"/>
        <v>491.93062240253698</v>
      </c>
      <c r="G52" s="177">
        <f t="shared" si="1"/>
        <v>-0.12155245999546967</v>
      </c>
    </row>
    <row r="53" spans="3:16">
      <c r="E53" s="119">
        <v>43</v>
      </c>
      <c r="F53" s="154">
        <f t="shared" si="0"/>
        <v>503.64325626926404</v>
      </c>
      <c r="G53" s="177">
        <f t="shared" si="1"/>
        <v>-0.10063704237631421</v>
      </c>
    </row>
    <row r="54" spans="3:16">
      <c r="E54" s="119">
        <v>44</v>
      </c>
      <c r="F54" s="154">
        <f t="shared" si="0"/>
        <v>515.3558901359911</v>
      </c>
      <c r="G54" s="177">
        <f t="shared" si="1"/>
        <v>-7.9721624757158743E-2</v>
      </c>
    </row>
    <row r="55" spans="3:16">
      <c r="E55" s="119">
        <v>45</v>
      </c>
      <c r="F55" s="154">
        <f t="shared" si="0"/>
        <v>527.06852400271816</v>
      </c>
      <c r="G55" s="177">
        <f t="shared" si="1"/>
        <v>-5.8806207138003282E-2</v>
      </c>
    </row>
    <row r="56" spans="3:16">
      <c r="E56" s="119">
        <v>46</v>
      </c>
      <c r="F56" s="154">
        <f t="shared" si="0"/>
        <v>538.78115786944522</v>
      </c>
      <c r="G56" s="177">
        <f t="shared" si="1"/>
        <v>-3.7890789518847813E-2</v>
      </c>
    </row>
    <row r="57" spans="3:16">
      <c r="E57" s="119">
        <v>47</v>
      </c>
      <c r="F57" s="154">
        <f t="shared" si="0"/>
        <v>550.49379173617228</v>
      </c>
      <c r="G57" s="177">
        <f t="shared" si="1"/>
        <v>-1.6975371899692351E-2</v>
      </c>
    </row>
    <row r="58" spans="3:16">
      <c r="E58" s="119">
        <v>48</v>
      </c>
      <c r="F58" s="154">
        <f t="shared" si="0"/>
        <v>562.20642560289934</v>
      </c>
      <c r="G58" s="177">
        <f t="shared" si="1"/>
        <v>3.9400457194631146E-3</v>
      </c>
    </row>
    <row r="59" spans="3:16">
      <c r="E59" s="119">
        <v>49</v>
      </c>
      <c r="F59" s="154">
        <f t="shared" si="0"/>
        <v>573.91905946962652</v>
      </c>
      <c r="G59" s="177">
        <f t="shared" si="1"/>
        <v>2.4855463338618784E-2</v>
      </c>
    </row>
    <row r="60" spans="3:16">
      <c r="E60" s="119">
        <v>50</v>
      </c>
      <c r="F60" s="154">
        <f t="shared" si="0"/>
        <v>585.63169333635358</v>
      </c>
      <c r="G60" s="177">
        <f t="shared" si="1"/>
        <v>4.5770880957774249E-2</v>
      </c>
    </row>
    <row r="61" spans="3:16">
      <c r="E61" s="119">
        <v>51</v>
      </c>
      <c r="F61" s="154">
        <f t="shared" si="0"/>
        <v>597.34432720308064</v>
      </c>
      <c r="G61" s="177">
        <f t="shared" si="1"/>
        <v>6.6686298576929717E-2</v>
      </c>
    </row>
    <row r="62" spans="3:16">
      <c r="E62" s="119">
        <v>52</v>
      </c>
      <c r="F62" s="154">
        <f t="shared" si="0"/>
        <v>609.0569610698077</v>
      </c>
      <c r="G62" s="177">
        <f t="shared" si="1"/>
        <v>8.7601716196085172E-2</v>
      </c>
    </row>
    <row r="63" spans="3:16">
      <c r="E63" s="119">
        <v>53</v>
      </c>
      <c r="F63" s="154">
        <f>E63*$N$5</f>
        <v>620.76959493653476</v>
      </c>
      <c r="G63" s="177">
        <f t="shared" si="1"/>
        <v>0.10851713381524064</v>
      </c>
    </row>
    <row r="64" spans="3:16">
      <c r="E64" s="119">
        <v>54</v>
      </c>
      <c r="F64" s="154">
        <f t="shared" si="0"/>
        <v>632.48222880326182</v>
      </c>
      <c r="G64" s="177">
        <f t="shared" si="1"/>
        <v>0.12943255143439611</v>
      </c>
    </row>
    <row r="65" spans="4:7">
      <c r="E65" s="119">
        <v>55</v>
      </c>
      <c r="F65" s="154">
        <f t="shared" si="0"/>
        <v>644.19486266998888</v>
      </c>
      <c r="G65" s="177">
        <f t="shared" si="1"/>
        <v>0.15034796905355158</v>
      </c>
    </row>
    <row r="66" spans="4:7">
      <c r="E66" s="119">
        <v>56</v>
      </c>
      <c r="F66" s="154">
        <f t="shared" si="0"/>
        <v>655.90749653671594</v>
      </c>
      <c r="G66" s="177">
        <f t="shared" si="1"/>
        <v>0.17126338667270705</v>
      </c>
    </row>
    <row r="67" spans="4:7">
      <c r="E67" s="119">
        <v>57</v>
      </c>
      <c r="F67" s="154">
        <f t="shared" si="0"/>
        <v>667.620130403443</v>
      </c>
      <c r="G67" s="177">
        <f t="shared" si="1"/>
        <v>0.19217880429186249</v>
      </c>
    </row>
    <row r="68" spans="4:7">
      <c r="E68" s="119">
        <v>58</v>
      </c>
      <c r="F68" s="154">
        <f t="shared" si="0"/>
        <v>679.33276427017006</v>
      </c>
      <c r="G68" s="177">
        <f t="shared" si="1"/>
        <v>0.21309422191101796</v>
      </c>
    </row>
    <row r="69" spans="4:7">
      <c r="E69" s="119">
        <v>59</v>
      </c>
      <c r="F69" s="154">
        <f t="shared" si="0"/>
        <v>691.04539813689723</v>
      </c>
      <c r="G69" s="177">
        <f t="shared" si="1"/>
        <v>0.23400963953017362</v>
      </c>
    </row>
    <row r="70" spans="4:7">
      <c r="E70" s="119">
        <v>60</v>
      </c>
      <c r="F70" s="154">
        <f t="shared" si="0"/>
        <v>702.75803200362429</v>
      </c>
      <c r="G70" s="177">
        <f t="shared" si="1"/>
        <v>0.25492505714932912</v>
      </c>
    </row>
    <row r="74" spans="4:7">
      <c r="D74" s="2" t="s">
        <v>918</v>
      </c>
    </row>
    <row r="75" spans="4:7">
      <c r="D75" s="2" t="s">
        <v>919</v>
      </c>
    </row>
  </sheetData>
  <phoneticPr fontId="11" type="noConversion"/>
  <conditionalFormatting sqref="F50:F70">
    <cfRule type="cellIs" dxfId="7" priority="2" operator="lessThan">
      <formula>$E$7</formula>
    </cfRule>
  </conditionalFormatting>
  <hyperlinks>
    <hyperlink ref="C1" location="Forecasting!L15" display="Forecasting sheet Link" xr:uid="{C555544B-8033-4F39-80B1-D6541BB46974}"/>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1" operator="lessThan" id="{87B7E074-033B-4B58-B609-6B9746E74C2D}">
            <xm:f>WACC!$C$10</xm:f>
            <x14:dxf>
              <font>
                <color rgb="FF9C0006"/>
              </font>
              <fill>
                <patternFill>
                  <bgColor rgb="FFFFC7CE"/>
                </patternFill>
              </fill>
            </x14:dxf>
          </x14:cfRule>
          <xm:sqref>G50:G70</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F4051-3687-4D4B-9011-EA9DA4BD8B5A}">
  <sheetPr codeName="Sheet31"/>
  <dimension ref="B1:H26"/>
  <sheetViews>
    <sheetView showGridLines="0" topLeftCell="A6" zoomScaleNormal="100" workbookViewId="0">
      <selection activeCell="D6" sqref="D6"/>
    </sheetView>
  </sheetViews>
  <sheetFormatPr defaultRowHeight="14.4"/>
  <cols>
    <col min="1" max="1" width="2.5546875" customWidth="1"/>
    <col min="2" max="2" width="23.5546875" customWidth="1"/>
    <col min="3" max="5" width="15.5546875" customWidth="1"/>
    <col min="6" max="6" width="18.6640625" customWidth="1"/>
    <col min="7" max="7" width="15.5546875" customWidth="1"/>
    <col min="8" max="8" width="17.5546875" customWidth="1"/>
    <col min="9" max="44" width="15.5546875" customWidth="1"/>
  </cols>
  <sheetData>
    <row r="1" spans="2:8" ht="43.8">
      <c r="B1" s="395" t="s">
        <v>871</v>
      </c>
    </row>
    <row r="2" spans="2:8">
      <c r="B2" s="396" t="s">
        <v>872</v>
      </c>
      <c r="C2" s="396"/>
    </row>
    <row r="4" spans="2:8">
      <c r="B4" s="412" t="s">
        <v>878</v>
      </c>
      <c r="C4" s="408" t="s">
        <v>879</v>
      </c>
      <c r="D4" s="408" t="s">
        <v>792</v>
      </c>
      <c r="E4" s="409"/>
      <c r="F4" s="409"/>
      <c r="G4" s="401"/>
      <c r="H4" s="401"/>
    </row>
    <row r="5" spans="2:8">
      <c r="B5" s="396" t="s">
        <v>875</v>
      </c>
      <c r="C5" s="410">
        <v>0.13</v>
      </c>
      <c r="D5" t="s">
        <v>1067</v>
      </c>
      <c r="F5" s="398"/>
    </row>
    <row r="6" spans="2:8">
      <c r="B6" s="396" t="s">
        <v>873</v>
      </c>
      <c r="C6" s="410">
        <v>7.0199999999999999E-2</v>
      </c>
      <c r="D6" t="s">
        <v>874</v>
      </c>
      <c r="F6" s="398"/>
    </row>
    <row r="7" spans="2:8">
      <c r="B7" s="402" t="s">
        <v>876</v>
      </c>
      <c r="C7" s="403">
        <f>C5-C6</f>
        <v>5.9800000000000006E-2</v>
      </c>
      <c r="D7" s="394" t="s">
        <v>877</v>
      </c>
      <c r="E7" s="394"/>
      <c r="F7" s="398"/>
    </row>
    <row r="8" spans="2:8">
      <c r="B8" t="s">
        <v>880</v>
      </c>
      <c r="C8" s="398">
        <v>0.61</v>
      </c>
      <c r="D8" t="s">
        <v>881</v>
      </c>
      <c r="E8" s="397"/>
      <c r="F8" s="397"/>
      <c r="G8" s="399"/>
    </row>
    <row r="9" spans="2:8">
      <c r="C9" s="397"/>
      <c r="E9" s="397"/>
      <c r="F9" s="397"/>
      <c r="G9" s="399"/>
    </row>
    <row r="10" spans="2:8">
      <c r="B10" s="404" t="s">
        <v>882</v>
      </c>
      <c r="C10" s="405">
        <f>C6+C7*C8</f>
        <v>0.106678</v>
      </c>
      <c r="D10" s="406" t="s">
        <v>883</v>
      </c>
      <c r="E10" s="407"/>
      <c r="F10" s="407"/>
      <c r="G10" s="399"/>
    </row>
    <row r="11" spans="2:8">
      <c r="C11" s="397"/>
      <c r="G11" s="400"/>
    </row>
    <row r="12" spans="2:8">
      <c r="B12" s="394" t="s">
        <v>884</v>
      </c>
      <c r="C12" s="410">
        <v>6.8599999999999994E-2</v>
      </c>
      <c r="D12" t="s">
        <v>889</v>
      </c>
      <c r="G12" s="400"/>
    </row>
    <row r="13" spans="2:8">
      <c r="B13" s="394" t="s">
        <v>887</v>
      </c>
      <c r="C13" s="399">
        <f>'P&amp;L(OUTPUT)'!L44</f>
        <v>0.23300800338691449</v>
      </c>
      <c r="D13" t="s">
        <v>896</v>
      </c>
      <c r="G13" s="400"/>
    </row>
    <row r="14" spans="2:8">
      <c r="C14" s="397"/>
      <c r="G14" s="400"/>
    </row>
    <row r="15" spans="2:8">
      <c r="B15" s="404" t="s">
        <v>888</v>
      </c>
      <c r="C15" s="405">
        <f>C12*(1-C13)</f>
        <v>5.2615650967657662E-2</v>
      </c>
      <c r="D15" s="406" t="s">
        <v>895</v>
      </c>
      <c r="E15" s="407"/>
      <c r="F15" s="407"/>
    </row>
    <row r="17" spans="2:6">
      <c r="B17" s="394" t="s">
        <v>890</v>
      </c>
      <c r="C17" s="411">
        <f>'BS(OUTPUT)'!L83</f>
        <v>99467.199999999997</v>
      </c>
      <c r="D17" t="s">
        <v>891</v>
      </c>
    </row>
    <row r="18" spans="2:6">
      <c r="B18" s="394" t="s">
        <v>892</v>
      </c>
      <c r="C18" s="411">
        <f>'BS(OUTPUT)'!L84</f>
        <v>999.02</v>
      </c>
      <c r="D18" t="s">
        <v>906</v>
      </c>
    </row>
    <row r="19" spans="2:6">
      <c r="C19" s="411"/>
    </row>
    <row r="20" spans="2:6">
      <c r="B20" s="394" t="s">
        <v>893</v>
      </c>
      <c r="C20" s="399">
        <f>C17/(C17+C18)</f>
        <v>0.99005616017005516</v>
      </c>
    </row>
    <row r="21" spans="2:6">
      <c r="B21" s="394" t="s">
        <v>894</v>
      </c>
      <c r="C21" s="399">
        <f>C18/(C18+C17)</f>
        <v>9.9438398299448311E-3</v>
      </c>
    </row>
    <row r="22" spans="2:6">
      <c r="C22" s="411"/>
    </row>
    <row r="23" spans="2:6">
      <c r="B23" s="404" t="s">
        <v>871</v>
      </c>
      <c r="C23" s="425">
        <f>ROUND((C10*C20+C15*C21),4)</f>
        <v>0.1061</v>
      </c>
      <c r="D23" s="406" t="s">
        <v>897</v>
      </c>
      <c r="E23" s="406"/>
      <c r="F23" s="406"/>
    </row>
    <row r="24" spans="2:6">
      <c r="C24" s="411"/>
    </row>
    <row r="25" spans="2:6">
      <c r="C25" s="399"/>
    </row>
    <row r="26" spans="2:6">
      <c r="B26" t="s">
        <v>952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1A8EA-E6BA-48D8-9C80-4259A745491B}">
  <sheetPr codeName="Sheet32"/>
  <dimension ref="B1:Z753"/>
  <sheetViews>
    <sheetView showGridLines="0" tabSelected="1" zoomScale="73" zoomScaleNormal="100" workbookViewId="0">
      <pane xSplit="3" ySplit="6" topLeftCell="D84" activePane="bottomRight" state="frozen"/>
      <selection pane="topRight" activeCell="D1" sqref="D1"/>
      <selection pane="bottomLeft" activeCell="A7" sqref="A7"/>
      <selection pane="bottomRight" activeCell="L78" sqref="L78"/>
    </sheetView>
  </sheetViews>
  <sheetFormatPr defaultRowHeight="14.4"/>
  <cols>
    <col min="1" max="1" width="2.5546875" customWidth="1"/>
    <col min="2" max="2" width="15.5546875" customWidth="1"/>
    <col min="3" max="3" width="29.5546875" customWidth="1"/>
    <col min="4" max="4" width="15.5546875" customWidth="1"/>
    <col min="5" max="5" width="17.88671875" customWidth="1"/>
    <col min="6" max="7" width="15.5546875" customWidth="1"/>
    <col min="8" max="8" width="18.6640625" customWidth="1"/>
    <col min="9" max="43" width="15.5546875" customWidth="1"/>
  </cols>
  <sheetData>
    <row r="1" spans="2:21">
      <c r="K1" s="210"/>
    </row>
    <row r="2" spans="2:21" ht="43.8">
      <c r="B2" s="395" t="s">
        <v>921</v>
      </c>
      <c r="D2" s="422" t="s">
        <v>925</v>
      </c>
      <c r="F2" s="424">
        <v>0.05</v>
      </c>
      <c r="G2" s="422" t="s">
        <v>953</v>
      </c>
      <c r="I2" s="441">
        <v>38</v>
      </c>
      <c r="K2" s="210"/>
      <c r="L2" s="456" t="s">
        <v>1017</v>
      </c>
    </row>
    <row r="3" spans="2:21" ht="21">
      <c r="B3" s="420" t="s">
        <v>922</v>
      </c>
      <c r="C3" s="421"/>
      <c r="D3" s="422" t="s">
        <v>1019</v>
      </c>
      <c r="F3" s="458">
        <f>WACC!C23</f>
        <v>0.1061</v>
      </c>
      <c r="K3" s="210"/>
    </row>
    <row r="4" spans="2:21" ht="19.8">
      <c r="B4" s="421"/>
      <c r="C4" s="421"/>
      <c r="K4" s="210"/>
    </row>
    <row r="5" spans="2:21" ht="15.6">
      <c r="C5" s="2"/>
      <c r="D5" s="2"/>
      <c r="E5" s="3"/>
      <c r="F5" s="119" t="s">
        <v>350</v>
      </c>
      <c r="G5" s="119" t="s">
        <v>350</v>
      </c>
      <c r="H5" s="119" t="s">
        <v>350</v>
      </c>
      <c r="I5" s="119" t="s">
        <v>350</v>
      </c>
      <c r="J5" s="119" t="s">
        <v>350</v>
      </c>
      <c r="K5" s="155" t="s">
        <v>350</v>
      </c>
      <c r="L5" s="119" t="s">
        <v>351</v>
      </c>
      <c r="M5" s="119" t="s">
        <v>351</v>
      </c>
      <c r="N5" s="119" t="s">
        <v>351</v>
      </c>
      <c r="O5" s="119" t="s">
        <v>351</v>
      </c>
      <c r="P5" s="119" t="s">
        <v>351</v>
      </c>
      <c r="Q5" s="2"/>
    </row>
    <row r="6" spans="2:21" ht="15.6">
      <c r="C6" s="121" t="s">
        <v>921</v>
      </c>
      <c r="D6" s="120"/>
      <c r="E6" s="120"/>
      <c r="F6" s="127" t="s">
        <v>41</v>
      </c>
      <c r="G6" s="127" t="s">
        <v>42</v>
      </c>
      <c r="H6" s="127" t="s">
        <v>43</v>
      </c>
      <c r="I6" s="127" t="s">
        <v>44</v>
      </c>
      <c r="J6" s="127" t="s">
        <v>45</v>
      </c>
      <c r="K6" s="156" t="s">
        <v>46</v>
      </c>
      <c r="L6" s="127" t="s">
        <v>349</v>
      </c>
      <c r="M6" s="127" t="s">
        <v>352</v>
      </c>
      <c r="N6" s="127" t="s">
        <v>353</v>
      </c>
      <c r="O6" s="127" t="s">
        <v>354</v>
      </c>
      <c r="P6" s="127" t="s">
        <v>355</v>
      </c>
      <c r="Q6" s="515" t="s">
        <v>365</v>
      </c>
      <c r="R6" s="515"/>
      <c r="S6" s="515"/>
      <c r="T6" s="515"/>
      <c r="U6" s="515"/>
    </row>
    <row r="7" spans="2:21">
      <c r="K7" s="210"/>
    </row>
    <row r="8" spans="2:21" ht="15.6">
      <c r="C8" s="101" t="s">
        <v>313</v>
      </c>
      <c r="D8" s="367"/>
      <c r="E8" s="367"/>
      <c r="F8" s="128">
        <f>'CASH FLOW(OUTPUT)'!G25</f>
        <v>1091.2600000000009</v>
      </c>
      <c r="G8" s="128">
        <f>'CASH FLOW(OUTPUT)'!H25</f>
        <v>1498.1699999999998</v>
      </c>
      <c r="H8" s="128">
        <f>'CASH FLOW(OUTPUT)'!I25</f>
        <v>1613.6299999999967</v>
      </c>
      <c r="I8" s="128">
        <f>'CASH FLOW(OUTPUT)'!J25</f>
        <v>2115.6799999999989</v>
      </c>
      <c r="J8" s="128">
        <f>'CASH FLOW(OUTPUT)'!K25</f>
        <v>1804.1300000000006</v>
      </c>
      <c r="K8" s="166">
        <f>'CASH FLOW(OUTPUT)'!L25</f>
        <v>1490.0599999999995</v>
      </c>
      <c r="L8" s="128">
        <f>'CASH FLOW(OUTPUT)'!M25</f>
        <v>1638.0579688995981</v>
      </c>
      <c r="M8" s="128">
        <f>'CASH FLOW(OUTPUT)'!N25</f>
        <v>1901.1072309195938</v>
      </c>
      <c r="N8" s="128">
        <f>'CASH FLOW(OUTPUT)'!O25</f>
        <v>2055.0178934154019</v>
      </c>
      <c r="O8" s="128">
        <f>'CASH FLOW(OUTPUT)'!P25</f>
        <v>2209.6485589945314</v>
      </c>
      <c r="P8" s="128">
        <f>'CASH FLOW(OUTPUT)'!Q25</f>
        <v>2414.5241300367661</v>
      </c>
      <c r="Q8" s="101" t="s">
        <v>926</v>
      </c>
    </row>
    <row r="9" spans="2:21" ht="15.6">
      <c r="C9" s="101"/>
      <c r="D9" s="367"/>
      <c r="E9" s="367"/>
      <c r="F9" s="128"/>
      <c r="G9" s="128"/>
      <c r="H9" s="128"/>
      <c r="I9" s="128"/>
      <c r="J9" s="128"/>
      <c r="K9" s="166"/>
      <c r="L9" s="128"/>
      <c r="M9" s="128"/>
      <c r="N9" s="128"/>
      <c r="O9" s="128"/>
      <c r="P9" s="128"/>
    </row>
    <row r="10" spans="2:21" ht="15.6">
      <c r="B10" s="101"/>
      <c r="C10" s="101" t="s">
        <v>420</v>
      </c>
      <c r="D10" s="367"/>
      <c r="E10" s="367"/>
      <c r="F10" s="128">
        <f>'CASH FLOW(OUTPUT)'!G31</f>
        <v>-230.88000000000005</v>
      </c>
      <c r="G10" s="128">
        <f>'CASH FLOW(OUTPUT)'!H31</f>
        <v>-193.32000000000056</v>
      </c>
      <c r="H10" s="128">
        <f>'CASH FLOW(OUTPUT)'!I31</f>
        <v>-504.16999999999996</v>
      </c>
      <c r="I10" s="128">
        <f>'CASH FLOW(OUTPUT)'!J31</f>
        <v>-230.32999999999981</v>
      </c>
      <c r="J10" s="128">
        <f>'CASH FLOW(OUTPUT)'!K31</f>
        <v>-402.73</v>
      </c>
      <c r="K10" s="166">
        <f>'CASH FLOW(OUTPUT)'!L31</f>
        <v>-1427.6099999999994</v>
      </c>
      <c r="L10" s="128">
        <f>'CASH FLOW(OUTPUT)'!M31</f>
        <v>-460.18960677164853</v>
      </c>
      <c r="M10" s="128">
        <f>'CASH FLOW(OUTPUT)'!N31</f>
        <v>-503.94955521585484</v>
      </c>
      <c r="N10" s="128">
        <f>'CASH FLOW(OUTPUT)'!O31</f>
        <v>-541.74577185704345</v>
      </c>
      <c r="O10" s="128">
        <f>'CASH FLOW(OUTPUT)'!P31</f>
        <v>-579.66797588703639</v>
      </c>
      <c r="P10" s="128">
        <f>'CASH FLOW(OUTPUT)'!Q31</f>
        <v>-617.3463943196939</v>
      </c>
    </row>
    <row r="11" spans="2:21" ht="15.6">
      <c r="C11" s="185"/>
      <c r="D11" s="367"/>
      <c r="E11" s="367"/>
      <c r="F11" s="128"/>
      <c r="G11" s="128"/>
      <c r="H11" s="128"/>
      <c r="I11" s="128"/>
      <c r="J11" s="128"/>
      <c r="K11" s="166"/>
      <c r="L11" s="128"/>
      <c r="M11" s="128"/>
      <c r="N11" s="128"/>
      <c r="O11" s="128"/>
      <c r="P11" s="128"/>
    </row>
    <row r="12" spans="2:21" ht="15.6">
      <c r="C12" s="101" t="s">
        <v>927</v>
      </c>
      <c r="D12" s="367"/>
      <c r="E12" s="367"/>
      <c r="F12" s="128">
        <f>'P&amp;L(OUTPUT)'!G33</f>
        <v>-53.050000000000004</v>
      </c>
      <c r="G12" s="128">
        <f>'P&amp;L(OUTPUT)'!H33</f>
        <v>-59.580000000000005</v>
      </c>
      <c r="H12" s="128">
        <f>'P&amp;L(OUTPUT)'!I33</f>
        <v>-49.54</v>
      </c>
      <c r="I12" s="128">
        <f>'P&amp;L(OUTPUT)'!J33</f>
        <v>-30.810000000000002</v>
      </c>
      <c r="J12" s="128">
        <f>'P&amp;L(OUTPUT)'!K33</f>
        <v>-38.599999999999994</v>
      </c>
      <c r="K12" s="166">
        <f>'P&amp;L(OUTPUT)'!L33</f>
        <v>-78.239999999999995</v>
      </c>
      <c r="L12" s="128">
        <f>'P&amp;L(OUTPUT)'!M33</f>
        <v>-53.680421272647756</v>
      </c>
      <c r="M12" s="128">
        <f>'P&amp;L(OUTPUT)'!N33</f>
        <v>-58.784953041267116</v>
      </c>
      <c r="N12" s="128">
        <f>'P&amp;L(OUTPUT)'!O33</f>
        <v>-63.193824519362153</v>
      </c>
      <c r="O12" s="128">
        <f>'P&amp;L(OUTPUT)'!P33</f>
        <v>-67.617392235717503</v>
      </c>
      <c r="P12" s="128">
        <f>'P&amp;L(OUTPUT)'!Q33</f>
        <v>-72.012522731039141</v>
      </c>
      <c r="Q12" s="101" t="s">
        <v>928</v>
      </c>
    </row>
    <row r="13" spans="2:21" ht="15.6">
      <c r="C13" s="185"/>
      <c r="D13" s="367"/>
      <c r="E13" s="367"/>
      <c r="F13" s="128"/>
      <c r="G13" s="128"/>
      <c r="H13" s="128"/>
      <c r="I13" s="128"/>
      <c r="J13" s="128"/>
      <c r="K13" s="166"/>
      <c r="L13" s="128"/>
      <c r="M13" s="128"/>
      <c r="N13" s="128"/>
      <c r="O13" s="128"/>
      <c r="P13" s="128"/>
    </row>
    <row r="14" spans="2:21" ht="15.6">
      <c r="C14" s="101" t="s">
        <v>929</v>
      </c>
      <c r="D14" s="367"/>
      <c r="E14" s="367"/>
      <c r="F14" s="177">
        <f>'P&amp;L(OUTPUT)'!G44</f>
        <v>0.19809788226954536</v>
      </c>
      <c r="G14" s="177">
        <f>'P&amp;L(OUTPUT)'!H44</f>
        <v>0.16162096629174372</v>
      </c>
      <c r="H14" s="177">
        <f>'P&amp;L(OUTPUT)'!I44</f>
        <v>0.16190779382398063</v>
      </c>
      <c r="I14" s="177">
        <f>'P&amp;L(OUTPUT)'!J44</f>
        <v>0.17552976864702993</v>
      </c>
      <c r="J14" s="177">
        <f>'P&amp;L(OUTPUT)'!K44</f>
        <v>0.23183643987174513</v>
      </c>
      <c r="K14" s="178">
        <f>'P&amp;L(OUTPUT)'!L44</f>
        <v>0.23300800338691449</v>
      </c>
      <c r="L14" s="177">
        <f>'P&amp;L(OUTPUT)'!M44</f>
        <v>0.23300000000000004</v>
      </c>
      <c r="M14" s="177">
        <f>'P&amp;L(OUTPUT)'!N44</f>
        <v>0.23300000000000001</v>
      </c>
      <c r="N14" s="177">
        <f>'P&amp;L(OUTPUT)'!O44</f>
        <v>0.23300000000000001</v>
      </c>
      <c r="O14" s="177">
        <f>'P&amp;L(OUTPUT)'!P44</f>
        <v>0.23300000000000004</v>
      </c>
      <c r="P14" s="177">
        <f>'P&amp;L(OUTPUT)'!Q44</f>
        <v>0.23300000000000001</v>
      </c>
    </row>
    <row r="15" spans="2:21" ht="15.6">
      <c r="C15" s="101"/>
      <c r="D15" s="367"/>
      <c r="E15" s="367"/>
      <c r="F15" s="128"/>
      <c r="G15" s="128"/>
      <c r="H15" s="128"/>
      <c r="I15" s="128"/>
      <c r="J15" s="128"/>
      <c r="K15" s="166"/>
      <c r="L15" s="128"/>
      <c r="M15" s="128"/>
      <c r="N15" s="128"/>
      <c r="O15" s="128"/>
      <c r="P15" s="128"/>
    </row>
    <row r="16" spans="2:21" ht="15.6">
      <c r="C16" s="191" t="s">
        <v>930</v>
      </c>
      <c r="D16" s="423"/>
      <c r="E16" s="423"/>
      <c r="F16" s="134">
        <f>F8+F10+(F12*(1-F14))</f>
        <v>817.83909265440013</v>
      </c>
      <c r="G16" s="134">
        <f t="shared" ref="G16:O16" si="0">G8+G10+(G12*(1-G14))</f>
        <v>1254.8993771716614</v>
      </c>
      <c r="H16" s="134">
        <f t="shared" si="0"/>
        <v>1067.9409121060369</v>
      </c>
      <c r="I16" s="134">
        <f t="shared" si="0"/>
        <v>1859.948072172014</v>
      </c>
      <c r="J16" s="134">
        <f t="shared" si="0"/>
        <v>1371.7488865790499</v>
      </c>
      <c r="K16" s="170">
        <f t="shared" si="0"/>
        <v>2.4405461849922432</v>
      </c>
      <c r="L16" s="134">
        <f t="shared" si="0"/>
        <v>1136.6954790118289</v>
      </c>
      <c r="M16" s="134">
        <f t="shared" si="0"/>
        <v>1352.0696167210872</v>
      </c>
      <c r="N16" s="134">
        <f t="shared" si="0"/>
        <v>1464.8024581520076</v>
      </c>
      <c r="O16" s="134">
        <f t="shared" si="0"/>
        <v>1578.1180432626998</v>
      </c>
      <c r="P16" s="134">
        <f>P8+P10+(P12*(1-P14))</f>
        <v>1741.9441307823652</v>
      </c>
      <c r="Q16" s="101" t="s">
        <v>933</v>
      </c>
    </row>
    <row r="17" spans="2:17" ht="15.6">
      <c r="C17" s="101"/>
      <c r="D17" s="367"/>
      <c r="E17" s="367"/>
      <c r="F17" s="128"/>
      <c r="G17" s="128"/>
      <c r="H17" s="128"/>
      <c r="I17" s="128"/>
      <c r="J17" s="128"/>
      <c r="K17" s="166"/>
      <c r="L17" s="128"/>
      <c r="M17" s="128"/>
      <c r="N17" s="128"/>
      <c r="O17" s="128"/>
      <c r="P17" s="128"/>
      <c r="Q17" s="101"/>
    </row>
    <row r="18" spans="2:17" ht="15.6">
      <c r="C18" s="101" t="s">
        <v>935</v>
      </c>
      <c r="D18" s="367"/>
      <c r="E18" s="367"/>
      <c r="F18" s="128"/>
      <c r="G18" s="128"/>
      <c r="H18" s="128"/>
      <c r="I18" s="128"/>
      <c r="J18" s="128"/>
      <c r="K18" s="166"/>
      <c r="L18" s="128"/>
      <c r="M18" s="128"/>
      <c r="N18" s="128"/>
      <c r="O18" s="128"/>
      <c r="P18" s="128">
        <f>(P16+F2*P16)/(P24-F2)</f>
        <v>32603.232394322345</v>
      </c>
      <c r="Q18" s="101" t="s">
        <v>938</v>
      </c>
    </row>
    <row r="19" spans="2:17" ht="15.6">
      <c r="C19" s="101"/>
      <c r="D19" s="367"/>
      <c r="E19" s="367"/>
      <c r="F19" s="128"/>
      <c r="G19" s="128"/>
      <c r="H19" s="128"/>
      <c r="I19" s="128"/>
      <c r="J19" s="128"/>
      <c r="K19" s="166"/>
      <c r="L19" s="128"/>
      <c r="M19" s="128"/>
      <c r="N19" s="128"/>
      <c r="O19" s="128"/>
      <c r="P19" s="128"/>
      <c r="Q19" s="101"/>
    </row>
    <row r="20" spans="2:17" ht="15.6">
      <c r="C20" s="101" t="s">
        <v>936</v>
      </c>
      <c r="D20" s="367"/>
      <c r="E20" s="367"/>
      <c r="F20" s="128"/>
      <c r="G20" s="128"/>
      <c r="H20" s="128"/>
      <c r="I20" s="128"/>
      <c r="J20" s="128"/>
      <c r="K20" s="166"/>
      <c r="L20" s="128"/>
      <c r="M20" s="128"/>
      <c r="N20" s="128"/>
      <c r="O20" s="128"/>
      <c r="P20" s="128">
        <f>I2*'P&amp;L(OUTPUT)'!Q22</f>
        <v>124134.3608234565</v>
      </c>
      <c r="Q20" s="101" t="s">
        <v>937</v>
      </c>
    </row>
    <row r="21" spans="2:17" ht="15.6">
      <c r="B21" s="101"/>
      <c r="C21" s="101"/>
      <c r="D21" s="367"/>
      <c r="E21" s="367"/>
      <c r="F21" s="128"/>
      <c r="G21" s="128"/>
      <c r="H21" s="128"/>
      <c r="I21" s="128"/>
      <c r="J21" s="128"/>
      <c r="K21" s="166"/>
      <c r="L21" s="128"/>
      <c r="M21" s="128"/>
      <c r="N21" s="128"/>
      <c r="O21" s="128"/>
      <c r="P21" s="128"/>
    </row>
    <row r="22" spans="2:17" ht="15.6">
      <c r="C22" s="101" t="s">
        <v>931</v>
      </c>
      <c r="D22" s="367"/>
      <c r="E22" s="367"/>
      <c r="F22" s="128"/>
      <c r="G22" s="128"/>
      <c r="H22" s="128"/>
      <c r="I22" s="128"/>
      <c r="J22" s="128"/>
      <c r="K22" s="166"/>
      <c r="L22" s="136">
        <v>0.25</v>
      </c>
      <c r="M22" s="388">
        <f>L22+1</f>
        <v>1.25</v>
      </c>
      <c r="N22" s="388">
        <f t="shared" ref="N22:P22" si="1">M22+1</f>
        <v>2.25</v>
      </c>
      <c r="O22" s="388">
        <f t="shared" si="1"/>
        <v>3.25</v>
      </c>
      <c r="P22" s="388">
        <f t="shared" si="1"/>
        <v>4.25</v>
      </c>
      <c r="Q22" s="440"/>
    </row>
    <row r="23" spans="2:17" ht="15.6">
      <c r="C23" s="185"/>
      <c r="D23" s="367"/>
      <c r="E23" s="367"/>
      <c r="F23" s="128"/>
      <c r="G23" s="128"/>
      <c r="H23" s="128"/>
      <c r="I23" s="128"/>
      <c r="J23" s="128"/>
      <c r="K23" s="166"/>
      <c r="L23" s="128"/>
      <c r="M23" s="128"/>
      <c r="N23" s="128"/>
      <c r="O23" s="128"/>
      <c r="P23" s="128"/>
      <c r="Q23" s="400"/>
    </row>
    <row r="24" spans="2:17" ht="15.6">
      <c r="C24" s="101" t="s">
        <v>932</v>
      </c>
      <c r="D24" s="367"/>
      <c r="E24" s="367"/>
      <c r="F24" s="128"/>
      <c r="G24" s="128"/>
      <c r="H24" s="128"/>
      <c r="I24" s="128"/>
      <c r="J24" s="128"/>
      <c r="K24" s="166"/>
      <c r="L24" s="177">
        <f>$F$3</f>
        <v>0.1061</v>
      </c>
      <c r="M24" s="177">
        <f t="shared" ref="M24:P24" si="2">$F$3</f>
        <v>0.1061</v>
      </c>
      <c r="N24" s="177">
        <f t="shared" si="2"/>
        <v>0.1061</v>
      </c>
      <c r="O24" s="177">
        <f t="shared" si="2"/>
        <v>0.1061</v>
      </c>
      <c r="P24" s="177">
        <f t="shared" si="2"/>
        <v>0.1061</v>
      </c>
    </row>
    <row r="25" spans="2:17" ht="15.6">
      <c r="C25" s="185"/>
      <c r="D25" s="367"/>
      <c r="E25" s="367"/>
      <c r="F25" s="128"/>
      <c r="G25" s="128"/>
      <c r="H25" s="128"/>
      <c r="I25" s="128"/>
      <c r="J25" s="128"/>
      <c r="K25" s="166"/>
      <c r="L25" s="128"/>
      <c r="M25" s="128"/>
      <c r="N25" s="128"/>
      <c r="O25" s="128"/>
      <c r="P25" s="128"/>
    </row>
    <row r="26" spans="2:17" ht="15.6">
      <c r="C26" s="101" t="s">
        <v>934</v>
      </c>
      <c r="D26" s="367"/>
      <c r="E26" s="367"/>
      <c r="F26" s="128"/>
      <c r="G26" s="128"/>
      <c r="H26" s="128"/>
      <c r="I26" s="128"/>
      <c r="J26" s="128"/>
      <c r="K26" s="166"/>
      <c r="L26" s="388">
        <f>1/(1+L24)^L22</f>
        <v>0.97510504167938183</v>
      </c>
      <c r="M26" s="388">
        <f t="shared" ref="M26:P26" si="3">1/(1+M24)^M22</f>
        <v>0.88157042010612219</v>
      </c>
      <c r="N26" s="388">
        <f t="shared" si="3"/>
        <v>0.79700788365077491</v>
      </c>
      <c r="O26" s="388">
        <f t="shared" si="3"/>
        <v>0.72055680648293541</v>
      </c>
      <c r="P26" s="388">
        <f t="shared" si="3"/>
        <v>0.65143911624892448</v>
      </c>
      <c r="Q26" s="388"/>
    </row>
    <row r="27" spans="2:17" ht="15.6">
      <c r="C27" s="185"/>
      <c r="D27" s="367"/>
      <c r="E27" s="367"/>
      <c r="F27" s="128"/>
      <c r="G27" s="128"/>
      <c r="H27" s="128"/>
      <c r="I27" s="128"/>
      <c r="J27" s="128"/>
      <c r="K27" s="166"/>
      <c r="L27" s="128"/>
      <c r="M27" s="128"/>
      <c r="N27" s="128"/>
      <c r="O27" s="128"/>
      <c r="P27" s="128"/>
    </row>
    <row r="28" spans="2:17" ht="15.6">
      <c r="C28" s="101" t="s">
        <v>939</v>
      </c>
      <c r="D28" s="367"/>
      <c r="E28" s="367"/>
      <c r="F28" s="128"/>
      <c r="G28" s="128"/>
      <c r="H28" s="128"/>
      <c r="I28" s="128"/>
      <c r="J28" s="128"/>
      <c r="K28" s="166"/>
      <c r="L28" s="128">
        <f>L26*L16</f>
        <v>1108.3974924385943</v>
      </c>
      <c r="M28" s="128">
        <f t="shared" ref="M28:P28" si="4">M26*M16</f>
        <v>1191.9445800255323</v>
      </c>
      <c r="N28" s="128">
        <f t="shared" si="4"/>
        <v>1167.4591071381844</v>
      </c>
      <c r="O28" s="128">
        <f t="shared" si="4"/>
        <v>1137.1236975064699</v>
      </c>
      <c r="P28" s="128">
        <f t="shared" si="4"/>
        <v>1134.770545111865</v>
      </c>
    </row>
    <row r="29" spans="2:17" ht="15.6">
      <c r="C29" s="101" t="s">
        <v>940</v>
      </c>
      <c r="D29" s="367"/>
      <c r="E29" s="367"/>
      <c r="F29" s="128"/>
      <c r="G29" s="128"/>
      <c r="H29" s="128"/>
      <c r="I29" s="128"/>
      <c r="J29" s="128"/>
      <c r="K29" s="166"/>
      <c r="L29" s="128"/>
      <c r="M29" s="128"/>
      <c r="N29" s="128"/>
      <c r="O29" s="128"/>
      <c r="P29" s="128">
        <f>P18*P26</f>
        <v>21239.020897815655</v>
      </c>
    </row>
    <row r="30" spans="2:17" ht="15.6">
      <c r="C30" s="101" t="s">
        <v>941</v>
      </c>
      <c r="D30" s="367"/>
      <c r="E30" s="367"/>
      <c r="F30" s="128"/>
      <c r="G30" s="128"/>
      <c r="H30" s="128"/>
      <c r="I30" s="128"/>
      <c r="J30" s="128"/>
      <c r="K30" s="166"/>
      <c r="L30" s="128"/>
      <c r="M30" s="128"/>
      <c r="N30" s="128"/>
      <c r="O30" s="128"/>
      <c r="P30" s="128">
        <f>P20*P26</f>
        <v>80865.978310957624</v>
      </c>
    </row>
    <row r="31" spans="2:17" ht="15.6">
      <c r="C31" s="101"/>
      <c r="D31" s="367"/>
      <c r="E31" s="3" t="s">
        <v>954</v>
      </c>
      <c r="F31" s="373">
        <v>530</v>
      </c>
      <c r="G31" s="128"/>
      <c r="H31" s="128"/>
      <c r="I31" s="128"/>
      <c r="J31" s="128"/>
      <c r="K31" s="128"/>
      <c r="L31" s="128"/>
      <c r="M31" s="128"/>
      <c r="N31" s="128"/>
      <c r="O31" s="128"/>
      <c r="P31" s="128"/>
    </row>
    <row r="32" spans="2:17" ht="16.2" thickBot="1">
      <c r="C32" s="101"/>
      <c r="D32" s="367"/>
      <c r="G32" s="128"/>
      <c r="H32" s="128"/>
      <c r="I32" s="128"/>
      <c r="J32" s="128"/>
      <c r="K32" s="128"/>
      <c r="L32" s="128"/>
      <c r="M32" s="128"/>
      <c r="N32" s="128"/>
      <c r="O32" s="128"/>
      <c r="P32" s="128"/>
    </row>
    <row r="33" spans="3:16" ht="16.2" thickBot="1">
      <c r="C33" s="101"/>
      <c r="D33" s="367"/>
      <c r="E33" s="3" t="s">
        <v>645</v>
      </c>
      <c r="F33" s="236">
        <f>Forecasting!$L$15</f>
        <v>3</v>
      </c>
      <c r="G33" s="128"/>
      <c r="H33" s="128"/>
      <c r="I33" s="128"/>
      <c r="J33" s="128"/>
      <c r="K33" s="128"/>
      <c r="L33" s="128"/>
      <c r="M33" s="128"/>
      <c r="N33" s="128"/>
      <c r="O33" s="128"/>
      <c r="P33" s="128"/>
    </row>
    <row r="34" spans="3:16" ht="15.6">
      <c r="C34" s="101"/>
      <c r="D34" s="367"/>
      <c r="E34" s="367"/>
      <c r="F34" s="128"/>
      <c r="G34" s="128"/>
      <c r="H34" s="128"/>
      <c r="I34" s="128"/>
      <c r="J34" s="128"/>
      <c r="K34" s="128"/>
      <c r="L34" s="128"/>
      <c r="M34" s="128"/>
      <c r="N34" s="128"/>
      <c r="O34" s="128"/>
      <c r="P34" s="128"/>
    </row>
    <row r="35" spans="3:16" ht="15.6">
      <c r="C35" s="101"/>
      <c r="D35" s="367"/>
      <c r="E35" s="367"/>
      <c r="F35" s="128"/>
      <c r="G35" s="128"/>
      <c r="H35" s="128"/>
      <c r="I35" s="128"/>
      <c r="J35" s="128"/>
      <c r="K35" s="128"/>
      <c r="L35" s="128"/>
      <c r="M35" s="128"/>
      <c r="N35" s="128"/>
      <c r="O35" s="128"/>
      <c r="P35" s="128"/>
    </row>
    <row r="36" spans="3:16" ht="15.6">
      <c r="C36" s="101"/>
      <c r="D36" s="367"/>
      <c r="E36" s="101" t="s">
        <v>955</v>
      </c>
      <c r="F36" s="128"/>
      <c r="G36" s="128"/>
      <c r="H36" s="128"/>
      <c r="I36" s="128"/>
      <c r="J36" s="101" t="s">
        <v>956</v>
      </c>
      <c r="K36" s="128"/>
      <c r="L36" s="128"/>
      <c r="M36" s="128"/>
      <c r="N36" s="128"/>
      <c r="O36" s="128"/>
      <c r="P36" s="128"/>
    </row>
    <row r="37" spans="3:16" ht="15.6">
      <c r="C37" s="101"/>
      <c r="D37" s="367"/>
      <c r="E37" s="101"/>
      <c r="F37" s="128"/>
      <c r="G37" s="128"/>
      <c r="H37" s="128"/>
      <c r="I37" s="128"/>
      <c r="J37" s="101"/>
      <c r="K37" s="128"/>
      <c r="L37" s="128"/>
      <c r="M37" s="128"/>
      <c r="N37" s="128"/>
      <c r="O37" s="128"/>
      <c r="P37" s="128"/>
    </row>
    <row r="38" spans="3:16" ht="15.6">
      <c r="C38" s="101"/>
      <c r="D38" s="367"/>
      <c r="E38" s="185" t="s">
        <v>943</v>
      </c>
      <c r="F38" s="128"/>
      <c r="G38" s="128">
        <f>SUM($L$28:$P$28)</f>
        <v>5739.6954222206459</v>
      </c>
      <c r="H38" s="128"/>
      <c r="I38" s="128"/>
      <c r="J38" s="185" t="s">
        <v>943</v>
      </c>
      <c r="K38" s="128"/>
      <c r="L38" s="128">
        <f>SUM($L$28:$P$28)</f>
        <v>5739.6954222206459</v>
      </c>
      <c r="M38" s="128"/>
      <c r="N38" s="128"/>
      <c r="O38" s="128"/>
      <c r="P38" s="128"/>
    </row>
    <row r="39" spans="3:16" ht="15.6">
      <c r="C39" s="101"/>
      <c r="D39" s="367"/>
      <c r="E39" s="185" t="s">
        <v>944</v>
      </c>
      <c r="F39" s="128"/>
      <c r="G39" s="128">
        <f>P29</f>
        <v>21239.020897815655</v>
      </c>
      <c r="H39" s="128"/>
      <c r="I39" s="128"/>
      <c r="J39" s="185" t="s">
        <v>944</v>
      </c>
      <c r="K39" s="128"/>
      <c r="L39" s="128">
        <f>P30</f>
        <v>80865.978310957624</v>
      </c>
      <c r="M39" s="128"/>
      <c r="N39" s="128"/>
      <c r="O39" s="128"/>
      <c r="P39" s="128"/>
    </row>
    <row r="40" spans="3:16" ht="15.6">
      <c r="C40" s="101"/>
      <c r="D40" s="367"/>
      <c r="E40" s="191" t="s">
        <v>942</v>
      </c>
      <c r="F40" s="134"/>
      <c r="G40" s="134">
        <f>SUM(G38:G39)</f>
        <v>26978.716320036299</v>
      </c>
      <c r="H40" s="128"/>
      <c r="I40" s="128"/>
      <c r="J40" s="191" t="s">
        <v>942</v>
      </c>
      <c r="K40" s="134"/>
      <c r="L40" s="134">
        <f>SUM(L38:L39)</f>
        <v>86605.673733178264</v>
      </c>
      <c r="M40" s="128"/>
      <c r="N40" s="128"/>
      <c r="O40" s="128"/>
      <c r="P40" s="128"/>
    </row>
    <row r="41" spans="3:16" ht="15.6">
      <c r="C41" s="101"/>
      <c r="D41" s="367"/>
      <c r="E41" s="185" t="s">
        <v>945</v>
      </c>
      <c r="F41" s="128"/>
      <c r="G41" s="128">
        <f>'BS(OUTPUT)'!$L$51+'BS(OUTPUT)'!$L$62</f>
        <v>999.02</v>
      </c>
      <c r="H41" s="128" t="s">
        <v>947</v>
      </c>
      <c r="I41" s="128"/>
      <c r="J41" s="185" t="s">
        <v>945</v>
      </c>
      <c r="K41" s="128"/>
      <c r="L41" s="128">
        <f>'BS(OUTPUT)'!$L$51+'BS(OUTPUT)'!$L$62</f>
        <v>999.02</v>
      </c>
      <c r="M41" s="128" t="s">
        <v>947</v>
      </c>
      <c r="N41" s="128"/>
      <c r="O41" s="128"/>
      <c r="P41" s="128"/>
    </row>
    <row r="42" spans="3:16" ht="15.6">
      <c r="C42" s="101"/>
      <c r="D42" s="367"/>
      <c r="E42" s="185" t="s">
        <v>946</v>
      </c>
      <c r="F42" s="128"/>
      <c r="G42" s="128">
        <f>'BS(OUTPUT)'!$L$26</f>
        <v>1062.3899999999999</v>
      </c>
      <c r="H42" s="128" t="s">
        <v>947</v>
      </c>
      <c r="I42" s="128"/>
      <c r="J42" s="185" t="s">
        <v>946</v>
      </c>
      <c r="K42" s="128"/>
      <c r="L42" s="128">
        <f>'BS(OUTPUT)'!$L$26</f>
        <v>1062.3899999999999</v>
      </c>
      <c r="M42" s="128" t="s">
        <v>947</v>
      </c>
      <c r="N42" s="128"/>
      <c r="O42" s="128"/>
      <c r="P42" s="128"/>
    </row>
    <row r="43" spans="3:16" ht="15.6">
      <c r="C43" s="101"/>
      <c r="D43" s="367"/>
      <c r="E43" s="191" t="s">
        <v>948</v>
      </c>
      <c r="F43" s="134"/>
      <c r="G43" s="134">
        <f>G40+G42-G41</f>
        <v>27042.086320036298</v>
      </c>
      <c r="H43" s="128"/>
      <c r="I43" s="128"/>
      <c r="J43" s="191" t="s">
        <v>948</v>
      </c>
      <c r="K43" s="134"/>
      <c r="L43" s="134">
        <f>L40+L42-L41</f>
        <v>86669.04373317826</v>
      </c>
      <c r="M43" s="128"/>
      <c r="N43" s="128"/>
      <c r="O43" s="128"/>
      <c r="P43" s="128"/>
    </row>
    <row r="44" spans="3:16" ht="15.6">
      <c r="C44" s="101"/>
      <c r="D44" s="367"/>
      <c r="E44" s="185" t="s">
        <v>949</v>
      </c>
      <c r="F44" s="128"/>
      <c r="G44" s="128">
        <f>'P&amp;L(OUTPUT)'!$L$50</f>
        <v>177.62</v>
      </c>
      <c r="H44" s="128" t="s">
        <v>947</v>
      </c>
      <c r="I44" s="128"/>
      <c r="J44" s="185" t="s">
        <v>949</v>
      </c>
      <c r="K44" s="128"/>
      <c r="L44" s="128">
        <f>'P&amp;L(OUTPUT)'!$L$50</f>
        <v>177.62</v>
      </c>
      <c r="M44" s="128" t="s">
        <v>947</v>
      </c>
      <c r="N44" s="128"/>
      <c r="O44" s="128"/>
      <c r="P44" s="128"/>
    </row>
    <row r="45" spans="3:16" ht="15.6">
      <c r="C45" s="101"/>
      <c r="D45" s="367"/>
      <c r="E45" s="191" t="s">
        <v>950</v>
      </c>
      <c r="F45" s="134"/>
      <c r="G45" s="134">
        <f>G43/G44</f>
        <v>152.24685463369158</v>
      </c>
      <c r="H45" s="128"/>
      <c r="I45" s="128"/>
      <c r="J45" s="191" t="s">
        <v>950</v>
      </c>
      <c r="K45" s="134"/>
      <c r="L45" s="134">
        <f>L43/L44</f>
        <v>487.94642344993952</v>
      </c>
      <c r="M45" s="128"/>
      <c r="N45" s="128"/>
      <c r="O45" s="128"/>
      <c r="P45" s="128"/>
    </row>
    <row r="46" spans="3:16" ht="15.6">
      <c r="C46" s="101"/>
      <c r="D46" s="367"/>
      <c r="E46" s="101" t="s">
        <v>1057</v>
      </c>
      <c r="F46" s="128"/>
      <c r="G46" s="128">
        <f>'Forward PE valuation'!$N$15</f>
        <v>-3.2576230154261907</v>
      </c>
      <c r="H46" s="128"/>
      <c r="I46" s="128"/>
      <c r="J46" s="101" t="s">
        <v>1057</v>
      </c>
      <c r="K46" s="128"/>
      <c r="L46" s="128">
        <f>'Forward PE valuation'!$N$15</f>
        <v>-3.2576230154261907</v>
      </c>
      <c r="M46" s="128"/>
      <c r="N46" s="131" t="s">
        <v>1060</v>
      </c>
      <c r="O46" s="128"/>
      <c r="P46" s="128"/>
    </row>
    <row r="47" spans="3:16" ht="15.6">
      <c r="C47" s="101"/>
      <c r="D47" s="367"/>
      <c r="E47" s="101" t="s">
        <v>1058</v>
      </c>
      <c r="F47" s="128"/>
      <c r="G47" s="128">
        <f>'Forward PE valuation'!$N$16</f>
        <v>4.4240513455691931E-2</v>
      </c>
      <c r="H47" s="128"/>
      <c r="I47" s="128"/>
      <c r="J47" s="101" t="s">
        <v>1058</v>
      </c>
      <c r="K47" s="128"/>
      <c r="L47" s="128">
        <f>'Forward PE valuation'!$N$16</f>
        <v>4.4240513455691931E-2</v>
      </c>
      <c r="M47" s="128"/>
      <c r="N47" s="131" t="s">
        <v>1060</v>
      </c>
      <c r="O47" s="128"/>
      <c r="P47" s="128"/>
    </row>
    <row r="48" spans="3:16" ht="15.6">
      <c r="C48" s="101"/>
      <c r="D48" s="367"/>
      <c r="E48" s="191" t="s">
        <v>1059</v>
      </c>
      <c r="F48" s="134"/>
      <c r="G48" s="134">
        <f>G45+G46+G47</f>
        <v>149.03347213172108</v>
      </c>
      <c r="H48" s="128"/>
      <c r="I48" s="128"/>
      <c r="J48" s="191" t="s">
        <v>1059</v>
      </c>
      <c r="K48" s="134"/>
      <c r="L48" s="134">
        <f>L45+L46+L47</f>
        <v>484.73304094796902</v>
      </c>
      <c r="M48" s="128"/>
      <c r="N48" s="128"/>
      <c r="O48" s="128"/>
      <c r="P48" s="128"/>
    </row>
    <row r="49" spans="3:26" ht="15.6">
      <c r="C49" s="101"/>
      <c r="D49" s="367"/>
      <c r="E49" s="101"/>
      <c r="F49" s="128"/>
      <c r="G49" s="128"/>
      <c r="H49" s="128"/>
      <c r="I49" s="128"/>
      <c r="J49" s="101"/>
      <c r="K49" s="128"/>
      <c r="L49" s="128"/>
      <c r="M49" s="128"/>
      <c r="N49" s="128"/>
      <c r="O49" s="128"/>
      <c r="P49" s="128"/>
    </row>
    <row r="50" spans="3:26" ht="15.6">
      <c r="D50" s="367"/>
      <c r="E50" s="101" t="s">
        <v>957</v>
      </c>
      <c r="F50" s="128"/>
      <c r="G50" s="442">
        <f>(G48-$F$31)/$F$31</f>
        <v>-0.71880476956279049</v>
      </c>
      <c r="H50" s="128"/>
      <c r="I50" s="128"/>
      <c r="J50" s="101" t="s">
        <v>957</v>
      </c>
      <c r="K50" s="128"/>
      <c r="L50" s="442">
        <f>(L48-$F$31)/$F$31</f>
        <v>-8.5409356701945258E-2</v>
      </c>
      <c r="M50" s="128"/>
      <c r="N50" s="128"/>
      <c r="O50" s="128"/>
      <c r="P50" s="128"/>
    </row>
    <row r="51" spans="3:26" ht="15.6">
      <c r="D51" s="367"/>
      <c r="E51" s="101"/>
      <c r="F51" s="128"/>
      <c r="G51" s="128"/>
      <c r="H51" s="128"/>
      <c r="I51" s="128"/>
      <c r="J51" s="128"/>
      <c r="K51" s="128"/>
      <c r="L51" s="128"/>
      <c r="M51" s="128"/>
      <c r="N51" s="128"/>
      <c r="O51" s="128"/>
      <c r="P51" s="128"/>
    </row>
    <row r="52" spans="3:26" ht="16.2" thickBot="1">
      <c r="D52" s="449"/>
      <c r="E52" s="450"/>
      <c r="F52" s="334"/>
      <c r="G52" s="334"/>
      <c r="H52" s="334"/>
      <c r="I52" s="334"/>
      <c r="J52" s="334"/>
      <c r="K52" s="334"/>
      <c r="L52" s="334"/>
      <c r="M52" s="334"/>
      <c r="N52" s="334"/>
      <c r="O52" s="334"/>
      <c r="P52" s="334"/>
      <c r="Q52" s="451"/>
      <c r="R52" s="451"/>
      <c r="S52" s="451"/>
      <c r="T52" s="451"/>
      <c r="U52" s="451"/>
    </row>
    <row r="53" spans="3:26" ht="16.2" thickTop="1">
      <c r="D53" s="367"/>
      <c r="E53" s="367"/>
      <c r="F53" s="128"/>
      <c r="G53" s="128"/>
      <c r="H53" s="128"/>
      <c r="I53" s="128"/>
      <c r="J53" s="128"/>
      <c r="K53" s="128"/>
      <c r="L53" s="128"/>
      <c r="M53" s="128"/>
      <c r="N53" s="128"/>
      <c r="O53" s="128"/>
      <c r="P53" s="128"/>
    </row>
    <row r="54" spans="3:26" ht="21">
      <c r="D54" s="367"/>
      <c r="E54" s="443" t="s">
        <v>958</v>
      </c>
      <c r="F54" s="444"/>
      <c r="G54" s="444"/>
      <c r="H54" s="128"/>
      <c r="I54" s="128"/>
      <c r="J54" s="128"/>
      <c r="K54" s="128"/>
      <c r="L54" s="128"/>
      <c r="M54" s="128"/>
      <c r="N54" s="128"/>
      <c r="O54" s="128"/>
      <c r="P54" s="128"/>
    </row>
    <row r="55" spans="3:26" ht="15.6">
      <c r="D55" s="128"/>
      <c r="E55" s="128"/>
      <c r="F55" s="128"/>
      <c r="G55" s="128"/>
      <c r="H55" s="128"/>
      <c r="I55" s="128"/>
      <c r="J55" s="128"/>
      <c r="K55" s="128"/>
      <c r="L55" s="179" t="s">
        <v>962</v>
      </c>
      <c r="M55" s="128"/>
      <c r="N55" s="128"/>
      <c r="O55" s="128"/>
      <c r="P55" s="128"/>
      <c r="Q55" s="128"/>
      <c r="R55" s="128"/>
      <c r="S55" s="128"/>
      <c r="T55" s="128"/>
    </row>
    <row r="56" spans="3:26" ht="21">
      <c r="D56" s="128"/>
      <c r="E56" s="422" t="s">
        <v>966</v>
      </c>
      <c r="F56" s="128"/>
      <c r="G56" s="128"/>
      <c r="H56" s="128"/>
      <c r="I56" s="128"/>
      <c r="J56" s="128"/>
      <c r="K56" s="128"/>
      <c r="L56" s="128"/>
      <c r="M56" s="128"/>
      <c r="N56" s="128"/>
      <c r="O56" s="128"/>
      <c r="P56" s="128"/>
      <c r="Q56" s="128"/>
      <c r="R56" s="128"/>
      <c r="S56" s="128"/>
      <c r="T56" s="128"/>
    </row>
    <row r="57" spans="3:26" ht="18">
      <c r="D57" s="128"/>
      <c r="F57" s="448">
        <f>G48</f>
        <v>149.03347213172108</v>
      </c>
      <c r="G57" s="381">
        <v>0.04</v>
      </c>
      <c r="H57" s="381">
        <v>0.05</v>
      </c>
      <c r="I57" s="381">
        <v>0.06</v>
      </c>
      <c r="J57" s="381">
        <v>7.0000000000000007E-2</v>
      </c>
      <c r="K57" s="381">
        <v>0.08</v>
      </c>
      <c r="L57" s="381">
        <v>0.09</v>
      </c>
      <c r="M57" s="381">
        <v>0.1</v>
      </c>
      <c r="N57" s="381">
        <v>0.11</v>
      </c>
      <c r="O57" s="381">
        <v>0.12</v>
      </c>
      <c r="P57" s="381">
        <v>0.13</v>
      </c>
      <c r="Q57" s="381">
        <v>0.14000000000000001</v>
      </c>
      <c r="R57" s="381">
        <v>0.15</v>
      </c>
      <c r="S57" s="381">
        <v>0.16</v>
      </c>
      <c r="T57" s="381">
        <v>0.17</v>
      </c>
      <c r="U57" s="381">
        <v>0.18</v>
      </c>
      <c r="V57" s="177"/>
      <c r="W57" s="177"/>
    </row>
    <row r="58" spans="3:26" ht="15.6">
      <c r="D58" s="128"/>
      <c r="E58" s="128"/>
      <c r="F58" s="381">
        <v>0.02</v>
      </c>
      <c r="G58" s="154">
        <f t="dataTable" ref="G58:U66" dt2D="1" dtr="1" r1="F3" r2="F2"/>
        <v>457.77237312739067</v>
      </c>
      <c r="H58" s="154">
        <v>304.56753910016653</v>
      </c>
      <c r="I58" s="154">
        <v>227.9928912303894</v>
      </c>
      <c r="J58" s="154">
        <v>182.06926606209151</v>
      </c>
      <c r="K58" s="154">
        <v>151.47032377820761</v>
      </c>
      <c r="L58" s="154">
        <v>129.6276715600878</v>
      </c>
      <c r="M58" s="154">
        <v>113.25714459241787</v>
      </c>
      <c r="N58" s="154">
        <v>100.53423319972335</v>
      </c>
      <c r="O58" s="154">
        <v>90.364253812642005</v>
      </c>
      <c r="P58" s="154">
        <v>82.050608591520543</v>
      </c>
      <c r="Q58" s="154">
        <v>75.128915317165962</v>
      </c>
      <c r="R58" s="154">
        <v>69.277692783840607</v>
      </c>
      <c r="S58" s="154">
        <v>64.26732393856156</v>
      </c>
      <c r="T58" s="154">
        <v>59.92943381431872</v>
      </c>
      <c r="U58" s="154">
        <v>56.137750781340628</v>
      </c>
      <c r="V58" s="128"/>
      <c r="W58" s="128"/>
      <c r="X58" s="128"/>
      <c r="Y58" s="128"/>
      <c r="Z58" s="128"/>
    </row>
    <row r="59" spans="3:26" ht="15.6">
      <c r="D59" s="128"/>
      <c r="E59" s="128"/>
      <c r="F59" s="381">
        <v>0.03</v>
      </c>
      <c r="G59" s="154">
        <v>889.44450058489758</v>
      </c>
      <c r="H59" s="154">
        <v>444.0520178174292</v>
      </c>
      <c r="I59" s="154">
        <v>295.61941252710943</v>
      </c>
      <c r="J59" s="154">
        <v>221.42564042117135</v>
      </c>
      <c r="K59" s="154">
        <v>176.92654263009089</v>
      </c>
      <c r="L59" s="154">
        <v>147.2741052036485</v>
      </c>
      <c r="M59" s="154">
        <v>126.10492491753089</v>
      </c>
      <c r="N59" s="154">
        <v>110.23732585713354</v>
      </c>
      <c r="O59" s="154">
        <v>97.90373172022484</v>
      </c>
      <c r="P59" s="154">
        <v>88.043614827552275</v>
      </c>
      <c r="Q59" s="154">
        <v>79.982109384479912</v>
      </c>
      <c r="R59" s="154">
        <v>73.269318175197498</v>
      </c>
      <c r="S59" s="154">
        <v>67.593785452055215</v>
      </c>
      <c r="T59" s="154">
        <v>62.733052918622846</v>
      </c>
      <c r="U59" s="154">
        <v>58.523993359452263</v>
      </c>
      <c r="V59" s="128"/>
      <c r="W59" s="128"/>
      <c r="X59" s="128"/>
      <c r="Y59" s="128"/>
      <c r="Z59" s="128"/>
    </row>
    <row r="60" spans="3:26" ht="15.6" customHeight="1">
      <c r="D60" s="128"/>
      <c r="E60" s="179" t="s">
        <v>959</v>
      </c>
      <c r="F60" s="381">
        <v>0.04</v>
      </c>
      <c r="G60" s="379" t="e">
        <v>#DIV/0!</v>
      </c>
      <c r="H60" s="154">
        <v>862.50545396921768</v>
      </c>
      <c r="I60" s="154">
        <v>430.87245512054955</v>
      </c>
      <c r="J60" s="154">
        <v>287.01959768630445</v>
      </c>
      <c r="K60" s="154">
        <v>215.1108709079158</v>
      </c>
      <c r="L60" s="154">
        <v>171.97911230463345</v>
      </c>
      <c r="M60" s="154">
        <v>143.23529868434829</v>
      </c>
      <c r="N60" s="154">
        <v>122.71273070237518</v>
      </c>
      <c r="O60" s="154">
        <v>107.32807910470336</v>
      </c>
      <c r="P60" s="154">
        <v>95.368400227146608</v>
      </c>
      <c r="Q60" s="154">
        <v>85.805942265256661</v>
      </c>
      <c r="R60" s="154">
        <v>77.986693637710218</v>
      </c>
      <c r="S60" s="154">
        <v>71.474657217797812</v>
      </c>
      <c r="T60" s="154">
        <v>65.967998038973761</v>
      </c>
      <c r="U60" s="154">
        <v>61.251127734436992</v>
      </c>
      <c r="V60" s="128"/>
      <c r="W60" s="128"/>
      <c r="X60" s="128"/>
      <c r="Y60" s="128"/>
      <c r="Z60" s="128"/>
    </row>
    <row r="61" spans="3:26" ht="15.6">
      <c r="D61" s="128"/>
      <c r="E61" s="179" t="s">
        <v>960</v>
      </c>
      <c r="F61" s="381">
        <v>0.05</v>
      </c>
      <c r="G61" s="379">
        <v>-837.2440092451294</v>
      </c>
      <c r="H61" s="379" t="e">
        <v>#DIV/0!</v>
      </c>
      <c r="I61" s="154">
        <v>836.63158290087028</v>
      </c>
      <c r="J61" s="154">
        <v>418.20751221657071</v>
      </c>
      <c r="K61" s="154">
        <v>278.75141803762398</v>
      </c>
      <c r="L61" s="154">
        <v>209.0366229561109</v>
      </c>
      <c r="M61" s="154">
        <v>167.21782195789265</v>
      </c>
      <c r="N61" s="154">
        <v>139.34660382936414</v>
      </c>
      <c r="O61" s="154">
        <v>119.44509717046149</v>
      </c>
      <c r="P61" s="154">
        <v>104.52438197663953</v>
      </c>
      <c r="Q61" s="154">
        <v>92.923960230650451</v>
      </c>
      <c r="R61" s="154">
        <v>83.647544192725476</v>
      </c>
      <c r="S61" s="154">
        <v>76.061142031857244</v>
      </c>
      <c r="T61" s="154">
        <v>69.742100679383157</v>
      </c>
      <c r="U61" s="154">
        <v>64.397821244034759</v>
      </c>
      <c r="V61" s="128"/>
      <c r="W61" s="128"/>
      <c r="X61" s="128"/>
      <c r="Y61" s="128"/>
      <c r="Z61" s="128"/>
    </row>
    <row r="62" spans="3:26" ht="15.6">
      <c r="D62" s="128"/>
      <c r="E62" s="179" t="s">
        <v>961</v>
      </c>
      <c r="F62" s="381">
        <v>0.06</v>
      </c>
      <c r="G62" s="379">
        <v>-405.57188178762283</v>
      </c>
      <c r="H62" s="379">
        <v>-811.30829063793601</v>
      </c>
      <c r="I62" s="379" t="e">
        <v>#DIV/0!</v>
      </c>
      <c r="J62" s="154">
        <v>811.7712558073689</v>
      </c>
      <c r="K62" s="154">
        <v>406.03251229704006</v>
      </c>
      <c r="L62" s="154">
        <v>270.79914070857319</v>
      </c>
      <c r="M62" s="154">
        <v>203.19160686820913</v>
      </c>
      <c r="N62" s="154">
        <v>162.63402620714854</v>
      </c>
      <c r="O62" s="154">
        <v>135.60112125813902</v>
      </c>
      <c r="P62" s="154">
        <v>116.29635851170185</v>
      </c>
      <c r="Q62" s="154">
        <v>101.82148268739269</v>
      </c>
      <c r="R62" s="154">
        <v>90.5663615377441</v>
      </c>
      <c r="S62" s="154">
        <v>81.564923808728565</v>
      </c>
      <c r="T62" s="154">
        <v>74.202403799866971</v>
      </c>
      <c r="U62" s="154">
        <v>68.0689636718988</v>
      </c>
      <c r="V62" s="128"/>
      <c r="W62" s="128"/>
      <c r="X62" s="128"/>
      <c r="Y62" s="128"/>
      <c r="Z62" s="128"/>
    </row>
    <row r="63" spans="3:26" ht="15.6">
      <c r="D63" s="128"/>
      <c r="E63" s="128"/>
      <c r="F63" s="381">
        <v>7.0000000000000007E-2</v>
      </c>
      <c r="G63" s="379">
        <v>-261.68117263512045</v>
      </c>
      <c r="H63" s="379">
        <v>-392.85485448614742</v>
      </c>
      <c r="I63" s="379">
        <v>-786.40492822041062</v>
      </c>
      <c r="J63" s="379" t="e">
        <v>#DIV/0!</v>
      </c>
      <c r="K63" s="154">
        <v>787.87579507528983</v>
      </c>
      <c r="L63" s="154">
        <v>394.32417621349805</v>
      </c>
      <c r="M63" s="154">
        <v>263.14791505207006</v>
      </c>
      <c r="N63" s="154">
        <v>197.56515977382531</v>
      </c>
      <c r="O63" s="154">
        <v>158.21955498088752</v>
      </c>
      <c r="P63" s="154">
        <v>131.99232722511829</v>
      </c>
      <c r="Q63" s="154">
        <v>113.26115441748988</v>
      </c>
      <c r="R63" s="154">
        <v>99.214883219017395</v>
      </c>
      <c r="S63" s="154">
        <v>88.291768202682405</v>
      </c>
      <c r="T63" s="154">
        <v>79.554767544447571</v>
      </c>
      <c r="U63" s="154">
        <v>72.4075865411927</v>
      </c>
      <c r="V63" s="128"/>
      <c r="W63" s="128"/>
      <c r="X63" s="128"/>
      <c r="Y63" s="128"/>
      <c r="Z63" s="128"/>
    </row>
    <row r="64" spans="3:26" ht="15.6">
      <c r="D64" s="128"/>
      <c r="E64" s="128"/>
      <c r="F64" s="381">
        <v>0.08</v>
      </c>
      <c r="G64" s="379">
        <v>-189.7358180588694</v>
      </c>
      <c r="H64" s="379">
        <v>-253.37037576888463</v>
      </c>
      <c r="I64" s="379">
        <v>-380.64580044009108</v>
      </c>
      <c r="J64" s="379">
        <v>-762.4837185558257</v>
      </c>
      <c r="K64" s="379" t="e">
        <v>#DIV/0!</v>
      </c>
      <c r="L64" s="154">
        <v>764.89928272827262</v>
      </c>
      <c r="M64" s="154">
        <v>383.06053141979163</v>
      </c>
      <c r="N64" s="154">
        <v>255.78371571828649</v>
      </c>
      <c r="O64" s="154">
        <v>192.1472055650103</v>
      </c>
      <c r="P64" s="154">
        <v>153.96668342390129</v>
      </c>
      <c r="Q64" s="154">
        <v>128.51405005761944</v>
      </c>
      <c r="R64" s="154">
        <v>110.33441109494019</v>
      </c>
      <c r="S64" s="154">
        <v>96.700323695124681</v>
      </c>
      <c r="T64" s="154">
        <v>86.096545454490524</v>
      </c>
      <c r="U64" s="154">
        <v>77.613933984345366</v>
      </c>
      <c r="V64" s="128"/>
      <c r="W64" s="128"/>
      <c r="X64" s="128"/>
      <c r="Y64" s="128"/>
      <c r="Z64" s="128"/>
    </row>
    <row r="65" spans="4:26" ht="15.6">
      <c r="D65" s="128"/>
      <c r="E65" s="128"/>
      <c r="F65" s="381">
        <v>0.09</v>
      </c>
      <c r="G65" s="379">
        <v>-146.56860531311872</v>
      </c>
      <c r="H65" s="379">
        <v>-183.62813641025323</v>
      </c>
      <c r="I65" s="379">
        <v>-245.39275784665102</v>
      </c>
      <c r="J65" s="379">
        <v>-368.91997496502682</v>
      </c>
      <c r="K65" s="379">
        <v>-739.49733603770676</v>
      </c>
      <c r="L65" s="379" t="e">
        <v>#DIV/0!</v>
      </c>
      <c r="M65" s="154">
        <v>742.79838052295634</v>
      </c>
      <c r="N65" s="154">
        <v>372.22082760720866</v>
      </c>
      <c r="O65" s="154">
        <v>248.69328987188155</v>
      </c>
      <c r="P65" s="154">
        <v>186.92821772207577</v>
      </c>
      <c r="Q65" s="154">
        <v>149.86810395380078</v>
      </c>
      <c r="R65" s="154">
        <v>125.16044826283726</v>
      </c>
      <c r="S65" s="154">
        <v>107.51132361397906</v>
      </c>
      <c r="T65" s="154">
        <v>94.273767842044194</v>
      </c>
      <c r="U65" s="154">
        <v>83.977247525976395</v>
      </c>
      <c r="V65" s="128"/>
      <c r="W65" s="128"/>
      <c r="X65" s="128"/>
      <c r="Y65" s="128"/>
      <c r="Z65" s="128"/>
    </row>
    <row r="66" spans="4:26" ht="15.6">
      <c r="D66" s="128"/>
      <c r="E66" s="128"/>
      <c r="F66" s="381">
        <v>0.1</v>
      </c>
      <c r="G66" s="379">
        <v>-117.79046348261825</v>
      </c>
      <c r="H66" s="379">
        <v>-141.78279279507436</v>
      </c>
      <c r="I66" s="379">
        <v>-177.76623654993091</v>
      </c>
      <c r="J66" s="379">
        <v>-237.73206043476046</v>
      </c>
      <c r="K66" s="379">
        <v>-357.6540532594575</v>
      </c>
      <c r="L66" s="379">
        <v>-717.40114333082363</v>
      </c>
      <c r="M66" s="379" t="e">
        <v>#DIV/0!</v>
      </c>
      <c r="N66" s="154">
        <v>721.53216327397593</v>
      </c>
      <c r="O66" s="154">
        <v>361.78545848562425</v>
      </c>
      <c r="P66" s="154">
        <v>241.86410821903334</v>
      </c>
      <c r="Q66" s="154">
        <v>181.89918479807292</v>
      </c>
      <c r="R66" s="154">
        <v>145.91690029789319</v>
      </c>
      <c r="S66" s="154">
        <v>121.92599017245156</v>
      </c>
      <c r="T66" s="154">
        <v>104.78733948318464</v>
      </c>
      <c r="U66" s="154">
        <v>91.931389453015186</v>
      </c>
      <c r="V66" s="128"/>
      <c r="W66" s="128"/>
      <c r="X66" s="128"/>
      <c r="Y66" s="128"/>
      <c r="Z66" s="128"/>
    </row>
    <row r="67" spans="4:26" ht="15.6">
      <c r="D67" s="128"/>
      <c r="E67" s="128"/>
      <c r="F67" s="381"/>
      <c r="G67" s="128"/>
      <c r="H67" s="128"/>
      <c r="I67" s="128"/>
      <c r="J67" s="128"/>
      <c r="K67" s="128"/>
      <c r="L67" s="128"/>
      <c r="M67" s="128"/>
      <c r="N67" s="128"/>
      <c r="O67" s="128"/>
      <c r="P67" s="128"/>
      <c r="Q67" s="128"/>
      <c r="R67" s="128"/>
      <c r="S67" s="128"/>
      <c r="T67" s="128"/>
      <c r="U67" s="128"/>
      <c r="V67" s="128"/>
      <c r="W67" s="128"/>
      <c r="X67" s="128"/>
      <c r="Y67" s="128"/>
      <c r="Z67" s="128"/>
    </row>
    <row r="68" spans="4:26" ht="15.6">
      <c r="D68" s="128"/>
      <c r="E68" s="128"/>
      <c r="F68" s="381"/>
      <c r="G68" s="128"/>
      <c r="H68" s="445"/>
      <c r="I68" s="131" t="s">
        <v>963</v>
      </c>
      <c r="J68" s="128"/>
      <c r="K68" s="128"/>
      <c r="L68" s="128"/>
      <c r="M68" s="128"/>
      <c r="N68" s="128"/>
      <c r="O68" s="128"/>
      <c r="P68" s="128"/>
      <c r="Q68" s="128"/>
      <c r="R68" s="128"/>
      <c r="S68" s="128"/>
      <c r="T68" s="128"/>
      <c r="U68" s="128"/>
      <c r="V68" s="128"/>
      <c r="W68" s="128"/>
      <c r="X68" s="128"/>
      <c r="Y68" s="128"/>
      <c r="Z68" s="128"/>
    </row>
    <row r="69" spans="4:26" ht="15.6">
      <c r="D69" s="128"/>
      <c r="E69" s="128"/>
      <c r="F69" s="177"/>
      <c r="G69" s="128"/>
      <c r="H69" s="128"/>
      <c r="I69" s="128"/>
      <c r="J69" s="128"/>
      <c r="K69" s="128"/>
      <c r="L69" s="128"/>
      <c r="M69" s="128"/>
      <c r="N69" s="128"/>
      <c r="O69" s="128"/>
      <c r="P69" s="128"/>
      <c r="Q69" s="128"/>
      <c r="R69" s="128"/>
      <c r="S69" s="128"/>
      <c r="T69" s="128"/>
    </row>
    <row r="70" spans="4:26" ht="21">
      <c r="D70" s="128"/>
      <c r="E70" s="422" t="s">
        <v>965</v>
      </c>
      <c r="F70" s="177"/>
      <c r="G70" s="128"/>
      <c r="H70" s="281"/>
      <c r="I70" s="131" t="s">
        <v>964</v>
      </c>
      <c r="J70" s="128"/>
      <c r="K70" s="128"/>
      <c r="L70" s="179" t="s">
        <v>962</v>
      </c>
      <c r="M70" s="128"/>
      <c r="N70" s="128"/>
      <c r="O70" s="128"/>
      <c r="P70" s="128"/>
      <c r="Q70" s="128"/>
      <c r="R70" s="128"/>
      <c r="S70" s="128"/>
      <c r="T70" s="128"/>
    </row>
    <row r="71" spans="4:26" ht="15.6">
      <c r="D71" s="128"/>
      <c r="E71" s="128"/>
      <c r="F71" s="128"/>
      <c r="G71" s="128"/>
      <c r="H71" s="128"/>
      <c r="I71" s="128"/>
      <c r="J71" s="128"/>
      <c r="K71" s="128"/>
      <c r="L71" s="128"/>
      <c r="M71" s="128"/>
      <c r="N71" s="128"/>
      <c r="O71" s="128"/>
      <c r="P71" s="128"/>
      <c r="Q71" s="128"/>
      <c r="R71" s="128"/>
      <c r="S71" s="128"/>
      <c r="T71" s="128"/>
    </row>
    <row r="72" spans="4:26" ht="18">
      <c r="D72" s="128"/>
      <c r="E72" s="128"/>
      <c r="F72" s="446">
        <f>G50</f>
        <v>-0.71880476956279049</v>
      </c>
      <c r="G72" s="381">
        <v>0.04</v>
      </c>
      <c r="H72" s="381">
        <v>0.05</v>
      </c>
      <c r="I72" s="381">
        <v>0.06</v>
      </c>
      <c r="J72" s="381">
        <v>7.0000000000000007E-2</v>
      </c>
      <c r="K72" s="381">
        <v>0.08</v>
      </c>
      <c r="L72" s="381">
        <v>0.09</v>
      </c>
      <c r="M72" s="381">
        <v>0.1</v>
      </c>
      <c r="N72" s="381">
        <v>0.11</v>
      </c>
      <c r="O72" s="381">
        <v>0.12</v>
      </c>
      <c r="P72" s="381">
        <v>0.13</v>
      </c>
      <c r="Q72" s="381">
        <v>0.14000000000000001</v>
      </c>
      <c r="R72" s="381">
        <v>0.15</v>
      </c>
      <c r="S72" s="381">
        <v>0.16</v>
      </c>
      <c r="T72" s="381">
        <v>0.17</v>
      </c>
      <c r="U72" s="381">
        <v>0.18</v>
      </c>
    </row>
    <row r="73" spans="4:26" ht="15.6">
      <c r="D73" s="128"/>
      <c r="E73" s="128"/>
      <c r="F73" s="381">
        <v>0.02</v>
      </c>
      <c r="G73" s="177">
        <f t="dataTable" ref="G73:U81" dt2D="1" dtr="1" r1="F3" r2="F2" ca="1"/>
        <v>-0.13627854126907421</v>
      </c>
      <c r="H73" s="177">
        <v>-0.42534426584874241</v>
      </c>
      <c r="I73" s="177">
        <v>-0.56982473352756713</v>
      </c>
      <c r="J73" s="177">
        <v>-0.65647308290171413</v>
      </c>
      <c r="K73" s="177">
        <v>-0.71420693626753284</v>
      </c>
      <c r="L73" s="177">
        <v>-0.75541948762247579</v>
      </c>
      <c r="M73" s="177">
        <v>-0.78630727435392855</v>
      </c>
      <c r="N73" s="177">
        <v>-0.81031276754769177</v>
      </c>
      <c r="O73" s="177">
        <v>-0.8295014079006755</v>
      </c>
      <c r="P73" s="177">
        <v>-0.84518753095939525</v>
      </c>
      <c r="Q73" s="177">
        <v>-0.85824732959025296</v>
      </c>
      <c r="R73" s="177">
        <v>-0.86928737210596108</v>
      </c>
      <c r="S73" s="177">
        <v>-0.87874089822912915</v>
      </c>
      <c r="T73" s="177">
        <v>-0.88692559657675718</v>
      </c>
      <c r="U73" s="177">
        <v>-0.89407971550690446</v>
      </c>
    </row>
    <row r="74" spans="4:26" ht="15.6">
      <c r="D74" s="128"/>
      <c r="E74" s="128"/>
      <c r="F74" s="381">
        <v>0.03</v>
      </c>
      <c r="G74" s="177">
        <v>0.67819717091490106</v>
      </c>
      <c r="H74" s="177">
        <v>-0.16216600411805812</v>
      </c>
      <c r="I74" s="177">
        <v>-0.44222752353375577</v>
      </c>
      <c r="J74" s="177">
        <v>-0.58221577279024272</v>
      </c>
      <c r="K74" s="177">
        <v>-0.66617633466020576</v>
      </c>
      <c r="L74" s="177">
        <v>-0.72212432980443675</v>
      </c>
      <c r="M74" s="177">
        <v>-0.76206617940088517</v>
      </c>
      <c r="N74" s="177">
        <v>-0.79200504555257822</v>
      </c>
      <c r="O74" s="177">
        <v>-0.81527597788636819</v>
      </c>
      <c r="P74" s="177">
        <v>-0.83387997202348629</v>
      </c>
      <c r="Q74" s="177">
        <v>-0.84909035965192459</v>
      </c>
      <c r="R74" s="177">
        <v>-0.86175600344302361</v>
      </c>
      <c r="S74" s="177">
        <v>-0.87246455575083925</v>
      </c>
      <c r="T74" s="177">
        <v>-0.88163574921014565</v>
      </c>
      <c r="U74" s="177">
        <v>-0.88957737101990142</v>
      </c>
    </row>
    <row r="75" spans="4:26" ht="15.6">
      <c r="D75" s="128"/>
      <c r="E75" s="179" t="s">
        <v>959</v>
      </c>
      <c r="F75" s="381">
        <v>0.04</v>
      </c>
      <c r="G75" s="447" t="e">
        <v>#DIV/0!</v>
      </c>
      <c r="H75" s="177">
        <v>0.62736878107399563</v>
      </c>
      <c r="I75" s="177">
        <v>-0.18703310354613292</v>
      </c>
      <c r="J75" s="177">
        <v>-0.45845358927112367</v>
      </c>
      <c r="K75" s="177">
        <v>-0.59413043224921547</v>
      </c>
      <c r="L75" s="177">
        <v>-0.6755111088591822</v>
      </c>
      <c r="M75" s="177">
        <v>-0.72974471946349373</v>
      </c>
      <c r="N75" s="177">
        <v>-0.76846654584457508</v>
      </c>
      <c r="O75" s="177">
        <v>-0.79749419036848423</v>
      </c>
      <c r="P75" s="177">
        <v>-0.82005962221293094</v>
      </c>
      <c r="Q75" s="177">
        <v>-0.8381019957259308</v>
      </c>
      <c r="R75" s="177">
        <v>-0.85285529502318824</v>
      </c>
      <c r="S75" s="177">
        <v>-0.8651421561928343</v>
      </c>
      <c r="T75" s="177">
        <v>-0.87553207917174769</v>
      </c>
      <c r="U75" s="177">
        <v>-0.88443183446332641</v>
      </c>
    </row>
    <row r="76" spans="4:26" ht="15.6">
      <c r="D76" s="128"/>
      <c r="E76" s="179" t="s">
        <v>960</v>
      </c>
      <c r="F76" s="381">
        <v>0.05</v>
      </c>
      <c r="G76" s="447">
        <v>-2.5797056778209986</v>
      </c>
      <c r="H76" s="447" t="e">
        <v>#DIV/0!</v>
      </c>
      <c r="I76" s="177">
        <v>0.57855015641673635</v>
      </c>
      <c r="J76" s="177">
        <v>-0.21092922223288546</v>
      </c>
      <c r="K76" s="177">
        <v>-0.47405392823089815</v>
      </c>
      <c r="L76" s="177">
        <v>-0.60559127744130015</v>
      </c>
      <c r="M76" s="177">
        <v>-0.68449467555114596</v>
      </c>
      <c r="N76" s="177">
        <v>-0.73708187956723747</v>
      </c>
      <c r="O76" s="177">
        <v>-0.77463189213120465</v>
      </c>
      <c r="P76" s="177">
        <v>-0.8027841849497368</v>
      </c>
      <c r="Q76" s="177">
        <v>-0.82467177314971618</v>
      </c>
      <c r="R76" s="177">
        <v>-0.84217444491938587</v>
      </c>
      <c r="S76" s="177">
        <v>-0.85648841126064679</v>
      </c>
      <c r="T76" s="177">
        <v>-0.86841113079361665</v>
      </c>
      <c r="U76" s="177">
        <v>-0.87849467689804772</v>
      </c>
    </row>
    <row r="77" spans="4:26" ht="15.6">
      <c r="D77" s="128"/>
      <c r="E77" s="179" t="s">
        <v>961</v>
      </c>
      <c r="F77" s="381">
        <v>0.06</v>
      </c>
      <c r="G77" s="447">
        <v>-1.7652299656370243</v>
      </c>
      <c r="H77" s="447">
        <v>-2.5307703596942188</v>
      </c>
      <c r="I77" s="447" t="e">
        <v>#DIV/0!</v>
      </c>
      <c r="J77" s="177">
        <v>0.53164387888182807</v>
      </c>
      <c r="K77" s="177">
        <v>-0.23390092019426403</v>
      </c>
      <c r="L77" s="177">
        <v>-0.48905822507816377</v>
      </c>
      <c r="M77" s="177">
        <v>-0.6166196096826243</v>
      </c>
      <c r="N77" s="177">
        <v>-0.69314334677896505</v>
      </c>
      <c r="O77" s="177">
        <v>-0.74414882781483205</v>
      </c>
      <c r="P77" s="177">
        <v>-0.78057290846848715</v>
      </c>
      <c r="Q77" s="177">
        <v>-0.80788399492944774</v>
      </c>
      <c r="R77" s="177">
        <v>-0.82912007257029408</v>
      </c>
      <c r="S77" s="177">
        <v>-0.84610391734202162</v>
      </c>
      <c r="T77" s="177">
        <v>-0.85999546452855291</v>
      </c>
      <c r="U77" s="177">
        <v>-0.87156799307188904</v>
      </c>
    </row>
    <row r="78" spans="4:26" ht="15.6">
      <c r="D78" s="128"/>
      <c r="E78" s="128"/>
      <c r="F78" s="381">
        <v>7.0000000000000007E-2</v>
      </c>
      <c r="G78" s="447">
        <v>-1.493738061575699</v>
      </c>
      <c r="H78" s="447">
        <v>-1.7412355745021648</v>
      </c>
      <c r="I78" s="447">
        <v>-2.4837828834347366</v>
      </c>
      <c r="J78" s="447" t="e">
        <v>#DIV/0!</v>
      </c>
      <c r="K78" s="177">
        <v>0.48655810391564119</v>
      </c>
      <c r="L78" s="177">
        <v>-0.25599212035189045</v>
      </c>
      <c r="M78" s="177">
        <v>-0.50349449990175466</v>
      </c>
      <c r="N78" s="177">
        <v>-0.62723554759655598</v>
      </c>
      <c r="O78" s="177">
        <v>-0.70147253777191032</v>
      </c>
      <c r="P78" s="177">
        <v>-0.75095787316015417</v>
      </c>
      <c r="Q78" s="177">
        <v>-0.78629970864624554</v>
      </c>
      <c r="R78" s="177">
        <v>-0.81280210713392942</v>
      </c>
      <c r="S78" s="177">
        <v>-0.83341175810814638</v>
      </c>
      <c r="T78" s="177">
        <v>-0.84989666501047623</v>
      </c>
      <c r="U78" s="177">
        <v>-0.8633819121864289</v>
      </c>
    </row>
    <row r="79" spans="4:26" ht="15.6">
      <c r="D79" s="128"/>
      <c r="E79" s="128"/>
      <c r="F79" s="381">
        <v>0.08</v>
      </c>
      <c r="G79" s="447">
        <v>-1.3579921095450367</v>
      </c>
      <c r="H79" s="447">
        <v>-1.4780573127714804</v>
      </c>
      <c r="I79" s="447">
        <v>-1.7181996234718699</v>
      </c>
      <c r="J79" s="447">
        <v>-2.43864852557703</v>
      </c>
      <c r="K79" s="447" t="e">
        <v>#DIV/0!</v>
      </c>
      <c r="L79" s="177">
        <v>0.4432061938269295</v>
      </c>
      <c r="M79" s="177">
        <v>-0.2772442803400158</v>
      </c>
      <c r="N79" s="177">
        <v>-0.51738921562587459</v>
      </c>
      <c r="O79" s="177">
        <v>-0.63745810270752779</v>
      </c>
      <c r="P79" s="177">
        <v>-0.70949682372848821</v>
      </c>
      <c r="Q79" s="177">
        <v>-0.75752066026864251</v>
      </c>
      <c r="R79" s="177">
        <v>-0.79182186585860337</v>
      </c>
      <c r="S79" s="177">
        <v>-0.81754655906580254</v>
      </c>
      <c r="T79" s="177">
        <v>-0.83755368782171602</v>
      </c>
      <c r="U79" s="177">
        <v>-0.85355861512387665</v>
      </c>
    </row>
    <row r="80" spans="4:26" ht="15.6">
      <c r="D80" s="128"/>
      <c r="E80" s="128"/>
      <c r="F80" s="381">
        <v>0.09</v>
      </c>
      <c r="G80" s="447">
        <v>-1.2765445383266392</v>
      </c>
      <c r="H80" s="447">
        <v>-1.3464681819061382</v>
      </c>
      <c r="I80" s="447">
        <v>-1.4630052034842471</v>
      </c>
      <c r="J80" s="447">
        <v>-1.6960754244623146</v>
      </c>
      <c r="K80" s="447">
        <v>-2.3952779925239747</v>
      </c>
      <c r="L80" s="447" t="e">
        <v>#DIV/0!</v>
      </c>
      <c r="M80" s="177">
        <v>0.40150637834520064</v>
      </c>
      <c r="N80" s="177">
        <v>-0.29769655168451198</v>
      </c>
      <c r="O80" s="177">
        <v>-0.53076737760022341</v>
      </c>
      <c r="P80" s="177">
        <v>-0.64730524958098912</v>
      </c>
      <c r="Q80" s="177">
        <v>-0.71722999253999853</v>
      </c>
      <c r="R80" s="177">
        <v>-0.76384821082483545</v>
      </c>
      <c r="S80" s="177">
        <v>-0.79714844601136026</v>
      </c>
      <c r="T80" s="177">
        <v>-0.82212496633576559</v>
      </c>
      <c r="U80" s="177">
        <v>-0.8415523631585351</v>
      </c>
    </row>
    <row r="81" spans="4:21" ht="15.6">
      <c r="D81" s="128"/>
      <c r="E81" s="128"/>
      <c r="F81" s="381">
        <v>0.1</v>
      </c>
      <c r="G81" s="447">
        <v>-1.2222461575143742</v>
      </c>
      <c r="H81" s="447">
        <v>-1.2675147033869327</v>
      </c>
      <c r="I81" s="447">
        <v>-1.3354079934904357</v>
      </c>
      <c r="J81" s="447">
        <v>-1.4485510574240763</v>
      </c>
      <c r="K81" s="447">
        <v>-1.6748189684140706</v>
      </c>
      <c r="L81" s="447">
        <v>-2.3535870628883466</v>
      </c>
      <c r="M81" s="447" t="e">
        <v>#DIV/0!</v>
      </c>
      <c r="N81" s="177">
        <v>0.36138144013957724</v>
      </c>
      <c r="O81" s="177">
        <v>-0.31738592738561461</v>
      </c>
      <c r="P81" s="177">
        <v>-0.54365262600182385</v>
      </c>
      <c r="Q81" s="177">
        <v>-0.65679399094703217</v>
      </c>
      <c r="R81" s="177">
        <v>-0.72468509377755996</v>
      </c>
      <c r="S81" s="177">
        <v>-0.76995096193877066</v>
      </c>
      <c r="T81" s="177">
        <v>-0.80228803871097243</v>
      </c>
      <c r="U81" s="177">
        <v>-0.82654454820185819</v>
      </c>
    </row>
    <row r="82" spans="4:21" ht="15.6">
      <c r="D82" s="128"/>
      <c r="E82" s="128"/>
      <c r="F82" s="128"/>
      <c r="G82" s="128"/>
      <c r="H82" s="128"/>
      <c r="I82" s="128"/>
      <c r="J82" s="128"/>
      <c r="K82" s="128"/>
      <c r="L82" s="128"/>
      <c r="M82" s="128"/>
      <c r="N82" s="128"/>
      <c r="O82" s="128"/>
      <c r="P82" s="128"/>
      <c r="Q82" s="128"/>
      <c r="R82" s="128"/>
      <c r="S82" s="128"/>
      <c r="T82" s="128"/>
    </row>
    <row r="83" spans="4:21" ht="16.2" thickBot="1">
      <c r="D83" s="334"/>
      <c r="E83" s="334"/>
      <c r="F83" s="334"/>
      <c r="G83" s="334"/>
      <c r="H83" s="334"/>
      <c r="I83" s="334"/>
      <c r="J83" s="334"/>
      <c r="K83" s="334"/>
      <c r="L83" s="334"/>
      <c r="M83" s="334"/>
      <c r="N83" s="334"/>
      <c r="O83" s="334"/>
      <c r="P83" s="334"/>
      <c r="Q83" s="334"/>
      <c r="R83" s="334"/>
      <c r="S83" s="334"/>
      <c r="T83" s="334"/>
      <c r="U83" s="451"/>
    </row>
    <row r="84" spans="4:21" ht="16.2" thickTop="1">
      <c r="D84" s="128"/>
      <c r="E84" s="128"/>
      <c r="F84" s="128"/>
      <c r="G84" s="128"/>
      <c r="H84" s="128"/>
      <c r="I84" s="128"/>
      <c r="J84" s="128"/>
      <c r="K84" s="128"/>
      <c r="L84" s="128"/>
      <c r="M84" s="128"/>
      <c r="N84" s="128"/>
      <c r="O84" s="128"/>
      <c r="P84" s="128"/>
      <c r="Q84" s="128"/>
      <c r="R84" s="128"/>
      <c r="S84" s="128"/>
      <c r="T84" s="128"/>
    </row>
    <row r="85" spans="4:21" ht="21">
      <c r="D85" s="128"/>
      <c r="E85" s="443" t="s">
        <v>967</v>
      </c>
      <c r="F85" s="444"/>
      <c r="G85" s="444"/>
      <c r="H85" s="128"/>
      <c r="I85" s="128"/>
      <c r="J85" s="128"/>
      <c r="K85" s="128"/>
      <c r="L85" s="128"/>
      <c r="M85" s="128"/>
      <c r="N85" s="128"/>
      <c r="O85" s="128"/>
      <c r="P85" s="128"/>
      <c r="Q85" s="128"/>
      <c r="R85" s="128"/>
      <c r="S85" s="128"/>
      <c r="T85" s="128"/>
    </row>
    <row r="86" spans="4:21" ht="15.6">
      <c r="D86" s="128"/>
      <c r="E86" s="128"/>
      <c r="F86" s="128"/>
      <c r="G86" s="128"/>
      <c r="H86" s="128"/>
      <c r="I86" s="128"/>
      <c r="J86" s="128"/>
      <c r="K86" s="128"/>
      <c r="L86" s="128"/>
      <c r="M86" s="128"/>
      <c r="N86" s="128"/>
      <c r="O86" s="128"/>
      <c r="P86" s="128"/>
      <c r="Q86" s="128"/>
      <c r="R86" s="128"/>
      <c r="S86" s="128"/>
      <c r="T86" s="128"/>
    </row>
    <row r="87" spans="4:21" ht="21">
      <c r="D87" s="128"/>
      <c r="E87" s="422" t="s">
        <v>966</v>
      </c>
      <c r="F87" s="128"/>
      <c r="G87" s="128"/>
      <c r="H87" s="128"/>
      <c r="I87" s="128"/>
      <c r="J87" s="128"/>
      <c r="K87" s="128"/>
      <c r="L87" s="179" t="s">
        <v>962</v>
      </c>
      <c r="M87" s="128"/>
      <c r="N87" s="128"/>
      <c r="O87" s="128"/>
      <c r="P87" s="128"/>
      <c r="Q87" s="128"/>
      <c r="R87" s="128"/>
      <c r="S87" s="128"/>
      <c r="T87" s="128"/>
    </row>
    <row r="88" spans="4:21" ht="15.6">
      <c r="D88" s="128"/>
      <c r="E88" s="128"/>
      <c r="F88" s="179">
        <f>L48</f>
        <v>484.73304094796902</v>
      </c>
      <c r="G88" s="381">
        <v>0.04</v>
      </c>
      <c r="H88" s="381">
        <v>0.05</v>
      </c>
      <c r="I88" s="381">
        <v>0.06</v>
      </c>
      <c r="J88" s="381">
        <v>7.0000000000000007E-2</v>
      </c>
      <c r="K88" s="381">
        <v>0.08</v>
      </c>
      <c r="L88" s="381">
        <v>0.09</v>
      </c>
      <c r="M88" s="381">
        <v>0.1</v>
      </c>
      <c r="N88" s="381">
        <v>0.11</v>
      </c>
      <c r="O88" s="381">
        <v>0.12</v>
      </c>
      <c r="P88" s="381">
        <v>0.13</v>
      </c>
      <c r="Q88" s="381">
        <v>0.14000000000000001</v>
      </c>
      <c r="R88" s="381">
        <v>0.15</v>
      </c>
      <c r="S88" s="381">
        <v>0.16</v>
      </c>
      <c r="T88" s="381">
        <v>0.17</v>
      </c>
      <c r="U88" s="381">
        <v>0.18</v>
      </c>
    </row>
    <row r="89" spans="4:21" ht="15.6">
      <c r="D89" s="128"/>
      <c r="E89" s="128"/>
      <c r="F89" s="179">
        <v>30</v>
      </c>
      <c r="G89" s="128">
        <f t="dataTable" ref="G89:U104" dt2D="1" dtr="1" r1="F3" r2="I2" ca="1"/>
        <v>501.4330673439041</v>
      </c>
      <c r="H89" s="128">
        <v>481.98737767464962</v>
      </c>
      <c r="I89" s="128">
        <v>463.48205809547397</v>
      </c>
      <c r="J89" s="128">
        <v>445.86324136726518</v>
      </c>
      <c r="K89" s="128">
        <v>429.08061290046408</v>
      </c>
      <c r="L89" s="128">
        <v>413.08714632465853</v>
      </c>
      <c r="M89" s="128">
        <v>397.83886093845933</v>
      </c>
      <c r="N89" s="128">
        <v>383.29459905068995</v>
      </c>
      <c r="O89" s="128">
        <v>369.41582142065374</v>
      </c>
      <c r="P89" s="128">
        <v>356.16641918096622</v>
      </c>
      <c r="Q89" s="128">
        <v>343.51254078356385</v>
      </c>
      <c r="R89" s="128">
        <v>331.42243265013855</v>
      </c>
      <c r="S89" s="128">
        <v>319.86629233423645</v>
      </c>
      <c r="T89" s="128">
        <v>308.81613311528065</v>
      </c>
      <c r="U89" s="128">
        <v>298.24565904619345</v>
      </c>
    </row>
    <row r="90" spans="4:21" ht="15.6">
      <c r="D90" s="128"/>
      <c r="E90" s="128"/>
      <c r="F90" s="179">
        <v>32</v>
      </c>
      <c r="G90" s="128">
        <v>532.56849631773946</v>
      </c>
      <c r="H90" s="128">
        <v>511.88192796585099</v>
      </c>
      <c r="I90" s="128">
        <v>492.19625130584836</v>
      </c>
      <c r="J90" s="128">
        <v>473.45411743963791</v>
      </c>
      <c r="K90" s="128">
        <v>455.60196033235547</v>
      </c>
      <c r="L90" s="128">
        <v>438.58971521713391</v>
      </c>
      <c r="M90" s="128">
        <v>422.37056030221402</v>
      </c>
      <c r="N90" s="128">
        <v>406.90067966204367</v>
      </c>
      <c r="O90" s="128">
        <v>392.13904540354559</v>
      </c>
      <c r="P90" s="128">
        <v>378.04721738589819</v>
      </c>
      <c r="Q90" s="128">
        <v>364.58915893952616</v>
      </c>
      <c r="R90" s="128">
        <v>351.73106717978783</v>
      </c>
      <c r="S90" s="128">
        <v>339.44121664503581</v>
      </c>
      <c r="T90" s="128">
        <v>327.68981510910334</v>
      </c>
      <c r="U90" s="128">
        <v>316.44887052628582</v>
      </c>
    </row>
    <row r="91" spans="4:21" ht="15.6">
      <c r="D91" s="128"/>
      <c r="E91" s="128"/>
      <c r="F91" s="179">
        <v>34</v>
      </c>
      <c r="G91" s="128">
        <v>563.70392529157482</v>
      </c>
      <c r="H91" s="128">
        <v>541.77647825705264</v>
      </c>
      <c r="I91" s="128">
        <v>520.91044451622281</v>
      </c>
      <c r="J91" s="128">
        <v>501.04499351201059</v>
      </c>
      <c r="K91" s="128">
        <v>482.12330776424693</v>
      </c>
      <c r="L91" s="128">
        <v>464.09228410960941</v>
      </c>
      <c r="M91" s="128">
        <v>446.90225966596881</v>
      </c>
      <c r="N91" s="128">
        <v>430.50676027339739</v>
      </c>
      <c r="O91" s="128">
        <v>414.8622693864375</v>
      </c>
      <c r="P91" s="128">
        <v>399.92801559083011</v>
      </c>
      <c r="Q91" s="128">
        <v>385.66577709548847</v>
      </c>
      <c r="R91" s="128">
        <v>372.03970170943711</v>
      </c>
      <c r="S91" s="128">
        <v>359.01614095583511</v>
      </c>
      <c r="T91" s="128">
        <v>346.56349710292602</v>
      </c>
      <c r="U91" s="128">
        <v>334.65208200637812</v>
      </c>
    </row>
    <row r="92" spans="4:21" ht="15.6">
      <c r="D92" s="128"/>
      <c r="E92" s="128"/>
      <c r="F92" s="179">
        <v>36</v>
      </c>
      <c r="G92" s="128">
        <v>594.83935426540995</v>
      </c>
      <c r="H92" s="128">
        <v>571.67102854825396</v>
      </c>
      <c r="I92" s="128">
        <v>549.62463772659714</v>
      </c>
      <c r="J92" s="128">
        <v>528.63586958438316</v>
      </c>
      <c r="K92" s="128">
        <v>508.64465519613839</v>
      </c>
      <c r="L92" s="128">
        <v>489.59485300208479</v>
      </c>
      <c r="M92" s="128">
        <v>471.4339590297235</v>
      </c>
      <c r="N92" s="128">
        <v>454.11284088475117</v>
      </c>
      <c r="O92" s="128">
        <v>437.58549336932936</v>
      </c>
      <c r="P92" s="128">
        <v>421.80881379576203</v>
      </c>
      <c r="Q92" s="128">
        <v>406.74239525145089</v>
      </c>
      <c r="R92" s="128">
        <v>392.34833623908645</v>
      </c>
      <c r="S92" s="128">
        <v>378.59106526663447</v>
      </c>
      <c r="T92" s="128">
        <v>365.43717909674876</v>
      </c>
      <c r="U92" s="128">
        <v>352.85529348647049</v>
      </c>
    </row>
    <row r="93" spans="4:21" ht="15.6">
      <c r="D93" s="128"/>
      <c r="E93" s="128"/>
      <c r="F93" s="179">
        <v>38</v>
      </c>
      <c r="G93" s="128">
        <v>625.97478323924554</v>
      </c>
      <c r="H93" s="128">
        <v>601.5655788394555</v>
      </c>
      <c r="I93" s="128">
        <v>578.3388309369717</v>
      </c>
      <c r="J93" s="128">
        <v>556.22674565675595</v>
      </c>
      <c r="K93" s="128">
        <v>535.16600262803001</v>
      </c>
      <c r="L93" s="128">
        <v>515.0974218945604</v>
      </c>
      <c r="M93" s="128">
        <v>495.96565839347829</v>
      </c>
      <c r="N93" s="128">
        <v>477.718921496105</v>
      </c>
      <c r="O93" s="128">
        <v>460.30871735222121</v>
      </c>
      <c r="P93" s="128">
        <v>443.68961200069413</v>
      </c>
      <c r="Q93" s="128">
        <v>427.81901340741319</v>
      </c>
      <c r="R93" s="128">
        <v>412.6569707687359</v>
      </c>
      <c r="S93" s="128">
        <v>398.16598957743383</v>
      </c>
      <c r="T93" s="128">
        <v>384.31086109057134</v>
      </c>
      <c r="U93" s="128">
        <v>371.05850496656274</v>
      </c>
    </row>
    <row r="94" spans="4:21" ht="15.6">
      <c r="D94" s="128"/>
      <c r="E94" s="128"/>
      <c r="F94" s="179">
        <v>40</v>
      </c>
      <c r="G94" s="128">
        <v>657.11021221308067</v>
      </c>
      <c r="H94" s="128">
        <v>631.46012913065681</v>
      </c>
      <c r="I94" s="128">
        <v>607.05302414734604</v>
      </c>
      <c r="J94" s="128">
        <v>583.81762172912875</v>
      </c>
      <c r="K94" s="128">
        <v>561.68735005992141</v>
      </c>
      <c r="L94" s="128">
        <v>540.59999078703584</v>
      </c>
      <c r="M94" s="128">
        <v>520.49735775723309</v>
      </c>
      <c r="N94" s="128">
        <v>501.32500210745872</v>
      </c>
      <c r="O94" s="128">
        <v>483.03194133511312</v>
      </c>
      <c r="P94" s="128">
        <v>465.57041020562616</v>
      </c>
      <c r="Q94" s="128">
        <v>448.89563156337562</v>
      </c>
      <c r="R94" s="128">
        <v>432.96560529838519</v>
      </c>
      <c r="S94" s="128">
        <v>417.74091388823314</v>
      </c>
      <c r="T94" s="128">
        <v>403.18454308439397</v>
      </c>
      <c r="U94" s="128">
        <v>389.2617164466551</v>
      </c>
    </row>
    <row r="95" spans="4:21" ht="15.6">
      <c r="D95" s="128"/>
      <c r="E95" s="179" t="s">
        <v>968</v>
      </c>
      <c r="F95" s="179">
        <v>42</v>
      </c>
      <c r="G95" s="128">
        <v>688.24564118691603</v>
      </c>
      <c r="H95" s="128">
        <v>661.35467942185835</v>
      </c>
      <c r="I95" s="128">
        <v>635.7672173577206</v>
      </c>
      <c r="J95" s="128">
        <v>611.40849780150154</v>
      </c>
      <c r="K95" s="128">
        <v>588.20869749181281</v>
      </c>
      <c r="L95" s="128">
        <v>566.10255967951127</v>
      </c>
      <c r="M95" s="128">
        <v>545.02905712098766</v>
      </c>
      <c r="N95" s="128">
        <v>524.93108271881249</v>
      </c>
      <c r="O95" s="128">
        <v>505.75516531800497</v>
      </c>
      <c r="P95" s="128">
        <v>487.45120841055808</v>
      </c>
      <c r="Q95" s="128">
        <v>469.97224971933792</v>
      </c>
      <c r="R95" s="128">
        <v>453.27423982803452</v>
      </c>
      <c r="S95" s="128">
        <v>437.31583819903256</v>
      </c>
      <c r="T95" s="128">
        <v>422.05822507821671</v>
      </c>
      <c r="U95" s="128">
        <v>407.46492792674746</v>
      </c>
    </row>
    <row r="96" spans="4:21" ht="15.6">
      <c r="D96" s="128"/>
      <c r="E96" s="179" t="s">
        <v>969</v>
      </c>
      <c r="F96" s="179">
        <v>44</v>
      </c>
      <c r="G96" s="128">
        <v>719.38107016075139</v>
      </c>
      <c r="H96" s="128">
        <v>691.24922971305989</v>
      </c>
      <c r="I96" s="128">
        <v>664.48141056809493</v>
      </c>
      <c r="J96" s="128">
        <v>638.99937387387411</v>
      </c>
      <c r="K96" s="128">
        <v>614.73004492370444</v>
      </c>
      <c r="L96" s="128">
        <v>591.60512857198671</v>
      </c>
      <c r="M96" s="128">
        <v>569.56075648474246</v>
      </c>
      <c r="N96" s="128">
        <v>548.53716333016644</v>
      </c>
      <c r="O96" s="128">
        <v>528.47838930089699</v>
      </c>
      <c r="P96" s="128">
        <v>509.33200661549017</v>
      </c>
      <c r="Q96" s="128">
        <v>491.04886787530023</v>
      </c>
      <c r="R96" s="128">
        <v>473.58287435768386</v>
      </c>
      <c r="S96" s="128">
        <v>456.89076250983186</v>
      </c>
      <c r="T96" s="128">
        <v>440.93190707203945</v>
      </c>
      <c r="U96" s="128">
        <v>425.66813940683977</v>
      </c>
    </row>
    <row r="97" spans="4:21" ht="15.6">
      <c r="D97" s="128"/>
      <c r="E97" s="128"/>
      <c r="F97" s="179">
        <v>46</v>
      </c>
      <c r="G97" s="128">
        <v>750.51649913458698</v>
      </c>
      <c r="H97" s="128">
        <v>721.14378000426143</v>
      </c>
      <c r="I97" s="128">
        <v>693.19560377846926</v>
      </c>
      <c r="J97" s="128">
        <v>666.5902499462469</v>
      </c>
      <c r="K97" s="128">
        <v>641.25139235559584</v>
      </c>
      <c r="L97" s="128">
        <v>617.10769746446215</v>
      </c>
      <c r="M97" s="128">
        <v>594.09245584849725</v>
      </c>
      <c r="N97" s="128">
        <v>572.14324394152015</v>
      </c>
      <c r="O97" s="128">
        <v>551.20161328378879</v>
      </c>
      <c r="P97" s="128">
        <v>531.21280482042209</v>
      </c>
      <c r="Q97" s="128">
        <v>512.12548603126277</v>
      </c>
      <c r="R97" s="128">
        <v>493.8915088873332</v>
      </c>
      <c r="S97" s="128">
        <v>476.46568682063116</v>
      </c>
      <c r="T97" s="128">
        <v>459.80558906586214</v>
      </c>
      <c r="U97" s="128">
        <v>443.87135088693208</v>
      </c>
    </row>
    <row r="98" spans="4:21" ht="15.6">
      <c r="D98" s="128"/>
      <c r="E98" s="128"/>
      <c r="F98" s="179">
        <v>48</v>
      </c>
      <c r="G98" s="128">
        <v>781.65192810842211</v>
      </c>
      <c r="H98" s="128">
        <v>751.0383302954632</v>
      </c>
      <c r="I98" s="128">
        <v>721.9097969888436</v>
      </c>
      <c r="J98" s="128">
        <v>694.18112601861947</v>
      </c>
      <c r="K98" s="128">
        <v>667.77273978748724</v>
      </c>
      <c r="L98" s="128">
        <v>642.61026635693759</v>
      </c>
      <c r="M98" s="128">
        <v>618.62415521225182</v>
      </c>
      <c r="N98" s="128">
        <v>595.74932455287387</v>
      </c>
      <c r="O98" s="128">
        <v>573.92483726668058</v>
      </c>
      <c r="P98" s="128">
        <v>553.09360302535413</v>
      </c>
      <c r="Q98" s="128">
        <v>533.20210418722502</v>
      </c>
      <c r="R98" s="128">
        <v>514.20014341698254</v>
      </c>
      <c r="S98" s="128">
        <v>496.04061113143058</v>
      </c>
      <c r="T98" s="128">
        <v>478.67927105968477</v>
      </c>
      <c r="U98" s="128">
        <v>462.07456236702438</v>
      </c>
    </row>
    <row r="99" spans="4:21" ht="15.6">
      <c r="D99" s="128"/>
      <c r="E99" s="128"/>
      <c r="F99" s="179">
        <v>50</v>
      </c>
      <c r="G99" s="128">
        <v>812.78735708225724</v>
      </c>
      <c r="H99" s="128">
        <v>780.93288058666474</v>
      </c>
      <c r="I99" s="128">
        <v>750.62399019921816</v>
      </c>
      <c r="J99" s="128">
        <v>721.77200209099203</v>
      </c>
      <c r="K99" s="128">
        <v>694.29408721937864</v>
      </c>
      <c r="L99" s="128">
        <v>668.1128352494128</v>
      </c>
      <c r="M99" s="128">
        <v>643.15585457600662</v>
      </c>
      <c r="N99" s="128">
        <v>619.35540516422759</v>
      </c>
      <c r="O99" s="128">
        <v>596.64806124957261</v>
      </c>
      <c r="P99" s="128">
        <v>574.97440123028616</v>
      </c>
      <c r="Q99" s="128">
        <v>554.27872234318727</v>
      </c>
      <c r="R99" s="128">
        <v>534.50877794663199</v>
      </c>
      <c r="S99" s="128">
        <v>515.61553544223</v>
      </c>
      <c r="T99" s="128">
        <v>497.55295305350751</v>
      </c>
      <c r="U99" s="128">
        <v>480.2777738471168</v>
      </c>
    </row>
    <row r="100" spans="4:21" ht="15.6">
      <c r="D100" s="128"/>
      <c r="E100" s="128"/>
      <c r="F100" s="179">
        <v>52</v>
      </c>
      <c r="G100" s="128">
        <v>843.9227860560926</v>
      </c>
      <c r="H100" s="128">
        <v>810.82743087786605</v>
      </c>
      <c r="I100" s="128">
        <v>779.33818340959249</v>
      </c>
      <c r="J100" s="128">
        <v>749.36287816336505</v>
      </c>
      <c r="K100" s="128">
        <v>720.81543465127004</v>
      </c>
      <c r="L100" s="128">
        <v>693.61540414188846</v>
      </c>
      <c r="M100" s="128">
        <v>667.68755393976119</v>
      </c>
      <c r="N100" s="128">
        <v>642.96148577558131</v>
      </c>
      <c r="O100" s="128">
        <v>619.3712852324644</v>
      </c>
      <c r="P100" s="128">
        <v>596.85519943521797</v>
      </c>
      <c r="Q100" s="128">
        <v>575.35534049914975</v>
      </c>
      <c r="R100" s="128">
        <v>554.81741247628122</v>
      </c>
      <c r="S100" s="128">
        <v>535.19045975302913</v>
      </c>
      <c r="T100" s="128">
        <v>516.42663504733025</v>
      </c>
      <c r="U100" s="128">
        <v>498.48098532720911</v>
      </c>
    </row>
    <row r="101" spans="4:21" ht="15.6">
      <c r="D101" s="128"/>
      <c r="E101" s="128"/>
      <c r="F101" s="179">
        <v>54</v>
      </c>
      <c r="G101" s="128">
        <v>875.05821502992796</v>
      </c>
      <c r="H101" s="128">
        <v>840.72198116906759</v>
      </c>
      <c r="I101" s="128">
        <v>808.05237661996682</v>
      </c>
      <c r="J101" s="128">
        <v>776.95375423573762</v>
      </c>
      <c r="K101" s="128">
        <v>747.33678208316167</v>
      </c>
      <c r="L101" s="128">
        <v>719.11797303436367</v>
      </c>
      <c r="M101" s="128">
        <v>692.21925330351598</v>
      </c>
      <c r="N101" s="128">
        <v>666.56756638693503</v>
      </c>
      <c r="O101" s="128">
        <v>642.0945092153562</v>
      </c>
      <c r="P101" s="128">
        <v>618.73599764015023</v>
      </c>
      <c r="Q101" s="128">
        <v>596.431958655112</v>
      </c>
      <c r="R101" s="128">
        <v>575.12604700593067</v>
      </c>
      <c r="S101" s="128">
        <v>554.76538406382872</v>
      </c>
      <c r="T101" s="128">
        <v>535.30031704115288</v>
      </c>
      <c r="U101" s="128">
        <v>516.68419680730142</v>
      </c>
    </row>
    <row r="102" spans="4:21" ht="15.6">
      <c r="D102" s="128"/>
      <c r="E102" s="128"/>
      <c r="F102" s="179">
        <v>56</v>
      </c>
      <c r="G102" s="128">
        <v>906.19364400376355</v>
      </c>
      <c r="H102" s="128">
        <v>870.61653146026913</v>
      </c>
      <c r="I102" s="128">
        <v>836.76656983034138</v>
      </c>
      <c r="J102" s="128">
        <v>804.54463030811041</v>
      </c>
      <c r="K102" s="128">
        <v>773.85812951505329</v>
      </c>
      <c r="L102" s="128">
        <v>744.62054192683956</v>
      </c>
      <c r="M102" s="128">
        <v>716.75095266727078</v>
      </c>
      <c r="N102" s="128">
        <v>690.17364699828897</v>
      </c>
      <c r="O102" s="128">
        <v>664.81773319824822</v>
      </c>
      <c r="P102" s="128">
        <v>640.61679584508227</v>
      </c>
      <c r="Q102" s="128">
        <v>617.50857681107448</v>
      </c>
      <c r="R102" s="128">
        <v>595.43468153558013</v>
      </c>
      <c r="S102" s="128">
        <v>574.34030837462808</v>
      </c>
      <c r="T102" s="128">
        <v>554.17399903497574</v>
      </c>
      <c r="U102" s="128">
        <v>534.8874082873939</v>
      </c>
    </row>
    <row r="103" spans="4:21" ht="15.6">
      <c r="D103" s="128"/>
      <c r="E103" s="128"/>
      <c r="F103" s="179">
        <v>58</v>
      </c>
      <c r="G103" s="128">
        <v>937.32907297759868</v>
      </c>
      <c r="H103" s="128">
        <v>900.51108175147044</v>
      </c>
      <c r="I103" s="128">
        <v>865.48076304071594</v>
      </c>
      <c r="J103" s="128">
        <v>832.13550638048298</v>
      </c>
      <c r="K103" s="128">
        <v>800.37947694694469</v>
      </c>
      <c r="L103" s="128">
        <v>770.123110819315</v>
      </c>
      <c r="M103" s="128">
        <v>741.28265203102558</v>
      </c>
      <c r="N103" s="128">
        <v>713.77972760964269</v>
      </c>
      <c r="O103" s="128">
        <v>687.54095718114002</v>
      </c>
      <c r="P103" s="128">
        <v>662.49759405001407</v>
      </c>
      <c r="Q103" s="128">
        <v>638.58519496703673</v>
      </c>
      <c r="R103" s="128">
        <v>615.74331606522935</v>
      </c>
      <c r="S103" s="128">
        <v>593.91523268542744</v>
      </c>
      <c r="T103" s="128">
        <v>573.04768102879837</v>
      </c>
      <c r="U103" s="128">
        <v>553.09061976748615</v>
      </c>
    </row>
    <row r="104" spans="4:21" ht="15.6">
      <c r="D104" s="128"/>
      <c r="E104" s="128"/>
      <c r="F104" s="179">
        <v>60</v>
      </c>
      <c r="G104" s="128">
        <v>968.46450195143404</v>
      </c>
      <c r="H104" s="128">
        <v>930.40563204267198</v>
      </c>
      <c r="I104" s="128">
        <v>894.19495625109028</v>
      </c>
      <c r="J104" s="128">
        <v>859.72638245285577</v>
      </c>
      <c r="K104" s="128">
        <v>826.90082437883632</v>
      </c>
      <c r="L104" s="128">
        <v>795.62567971179044</v>
      </c>
      <c r="M104" s="128">
        <v>765.81435139478015</v>
      </c>
      <c r="N104" s="128">
        <v>737.38580822099664</v>
      </c>
      <c r="O104" s="128">
        <v>710.26418116403204</v>
      </c>
      <c r="P104" s="128">
        <v>684.37839225494611</v>
      </c>
      <c r="Q104" s="128">
        <v>659.66181312299921</v>
      </c>
      <c r="R104" s="128">
        <v>636.0519505948788</v>
      </c>
      <c r="S104" s="128">
        <v>613.4901569962268</v>
      </c>
      <c r="T104" s="128">
        <v>591.92136302262099</v>
      </c>
      <c r="U104" s="128">
        <v>571.2938312475784</v>
      </c>
    </row>
    <row r="105" spans="4:21" ht="15.6">
      <c r="D105" s="128"/>
      <c r="E105" s="128"/>
      <c r="F105" s="179"/>
      <c r="G105" s="128"/>
      <c r="H105" s="128"/>
      <c r="I105" s="128"/>
      <c r="J105" s="128"/>
      <c r="K105" s="128"/>
      <c r="L105" s="128"/>
      <c r="M105" s="128"/>
      <c r="N105" s="128"/>
      <c r="O105" s="128"/>
      <c r="P105" s="128"/>
      <c r="Q105" s="128"/>
      <c r="R105" s="128"/>
      <c r="S105" s="128"/>
      <c r="T105" s="128"/>
      <c r="U105" s="128"/>
    </row>
    <row r="106" spans="4:21" ht="15.6">
      <c r="D106" s="128"/>
      <c r="E106" s="128"/>
      <c r="F106" s="179"/>
      <c r="G106" s="128"/>
      <c r="H106" s="128"/>
      <c r="I106" s="128"/>
      <c r="J106" s="128"/>
      <c r="K106" s="63"/>
      <c r="L106" s="452"/>
      <c r="M106" s="128"/>
      <c r="N106" s="128"/>
      <c r="O106" s="128"/>
      <c r="P106" s="128"/>
      <c r="Q106" s="128"/>
      <c r="R106" s="128"/>
      <c r="S106" s="128"/>
      <c r="T106" s="128"/>
      <c r="U106" s="128"/>
    </row>
    <row r="107" spans="4:21" ht="15.6">
      <c r="D107" s="128"/>
      <c r="E107" s="128"/>
      <c r="F107" s="179"/>
      <c r="G107" s="128"/>
      <c r="H107" s="128"/>
      <c r="I107" s="128"/>
      <c r="J107" s="128"/>
      <c r="K107" s="128"/>
      <c r="L107" s="128"/>
      <c r="M107" s="128"/>
      <c r="N107" s="128"/>
      <c r="O107" s="128"/>
      <c r="P107" s="128"/>
      <c r="Q107" s="128"/>
      <c r="R107" s="128"/>
      <c r="S107" s="128"/>
      <c r="T107" s="128"/>
      <c r="U107" s="128"/>
    </row>
    <row r="108" spans="4:21" ht="15.6">
      <c r="D108" s="128"/>
      <c r="E108" s="128"/>
      <c r="F108" s="128"/>
      <c r="G108" s="128"/>
      <c r="H108" s="128"/>
      <c r="I108" s="128"/>
      <c r="J108" s="128"/>
      <c r="K108" s="281"/>
      <c r="L108" s="131" t="s">
        <v>964</v>
      </c>
      <c r="M108" s="128"/>
      <c r="N108" s="128"/>
      <c r="O108" s="128"/>
      <c r="P108" s="128"/>
      <c r="Q108" s="128"/>
      <c r="R108" s="128"/>
      <c r="S108" s="128"/>
      <c r="T108" s="128"/>
    </row>
    <row r="109" spans="4:21" ht="15.6">
      <c r="D109" s="128"/>
      <c r="E109" s="128"/>
      <c r="F109" s="128"/>
      <c r="G109" s="128"/>
      <c r="H109" s="128"/>
      <c r="I109" s="128"/>
      <c r="J109" s="128"/>
      <c r="K109" s="128"/>
      <c r="L109" s="128"/>
      <c r="M109" s="128"/>
      <c r="N109" s="128"/>
      <c r="O109" s="128"/>
      <c r="P109" s="128"/>
      <c r="Q109" s="128"/>
      <c r="R109" s="128"/>
      <c r="S109" s="128"/>
      <c r="T109" s="128"/>
    </row>
    <row r="110" spans="4:21" ht="21">
      <c r="D110" s="128"/>
      <c r="E110" s="422" t="s">
        <v>965</v>
      </c>
      <c r="F110" s="128"/>
      <c r="G110" s="128"/>
      <c r="H110" s="128"/>
      <c r="I110" s="128"/>
      <c r="J110" s="128"/>
      <c r="K110" s="128"/>
      <c r="L110" s="128"/>
      <c r="M110" s="128"/>
      <c r="N110" s="128"/>
      <c r="O110" s="128"/>
      <c r="P110" s="128"/>
      <c r="Q110" s="128"/>
      <c r="R110" s="128"/>
      <c r="S110" s="128"/>
      <c r="T110" s="128"/>
    </row>
    <row r="111" spans="4:21" ht="15.6">
      <c r="D111" s="128"/>
      <c r="E111" s="128"/>
      <c r="F111" s="128"/>
      <c r="G111" s="128"/>
      <c r="H111" s="128"/>
      <c r="I111" s="128"/>
      <c r="J111" s="128"/>
      <c r="K111" s="128"/>
      <c r="L111" s="179" t="s">
        <v>962</v>
      </c>
      <c r="M111" s="128"/>
      <c r="N111" s="128"/>
      <c r="O111" s="128"/>
      <c r="P111" s="128"/>
      <c r="Q111" s="128"/>
      <c r="R111" s="128"/>
      <c r="S111" s="128"/>
      <c r="T111" s="128"/>
    </row>
    <row r="112" spans="4:21" ht="15.6">
      <c r="D112" s="128"/>
      <c r="E112" s="128"/>
      <c r="F112" s="381">
        <f>L50</f>
        <v>-8.5409356701945258E-2</v>
      </c>
      <c r="G112" s="381">
        <v>0.04</v>
      </c>
      <c r="H112" s="381">
        <v>0.05</v>
      </c>
      <c r="I112" s="381">
        <v>0.06</v>
      </c>
      <c r="J112" s="381">
        <v>7.0000000000000007E-2</v>
      </c>
      <c r="K112" s="381">
        <v>0.08</v>
      </c>
      <c r="L112" s="381">
        <v>0.09</v>
      </c>
      <c r="M112" s="381">
        <v>0.1</v>
      </c>
      <c r="N112" s="381">
        <v>0.11</v>
      </c>
      <c r="O112" s="381">
        <v>0.12</v>
      </c>
      <c r="P112" s="381">
        <v>0.13</v>
      </c>
      <c r="Q112" s="381">
        <v>0.14000000000000001</v>
      </c>
      <c r="R112" s="381">
        <v>0.15</v>
      </c>
      <c r="S112" s="381">
        <v>0.16</v>
      </c>
      <c r="T112" s="381">
        <v>0.17</v>
      </c>
      <c r="U112" s="381">
        <v>0.18</v>
      </c>
    </row>
    <row r="113" spans="4:21" ht="15.6">
      <c r="D113" s="128"/>
      <c r="E113" s="128"/>
      <c r="F113" s="179">
        <v>30</v>
      </c>
      <c r="G113" s="177">
        <f t="dataTable" ref="G113:U128" dt2D="1" dtr="1" r1="F3" r2="I2" ca="1"/>
        <v>-5.3899872936029998E-2</v>
      </c>
      <c r="H113" s="177">
        <v>-9.0589853444057317E-2</v>
      </c>
      <c r="I113" s="177">
        <v>-0.12550555076325665</v>
      </c>
      <c r="J113" s="177">
        <v>-0.15874860119383929</v>
      </c>
      <c r="K113" s="177">
        <v>-0.19041393792365269</v>
      </c>
      <c r="L113" s="177">
        <v>-0.22059028995347446</v>
      </c>
      <c r="M113" s="177">
        <v>-0.24936063973875597</v>
      </c>
      <c r="N113" s="177">
        <v>-0.27680264330058502</v>
      </c>
      <c r="O113" s="177">
        <v>-0.30298901618744578</v>
      </c>
      <c r="P113" s="177">
        <v>-0.32798788833779957</v>
      </c>
      <c r="Q113" s="177">
        <v>-0.35186313059704932</v>
      </c>
      <c r="R113" s="177">
        <v>-0.3746746553770971</v>
      </c>
      <c r="S113" s="177">
        <v>-0.39647869370898786</v>
      </c>
      <c r="T113" s="177">
        <v>-0.41732805072588558</v>
      </c>
      <c r="U113" s="177">
        <v>-0.4372723414222765</v>
      </c>
    </row>
    <row r="114" spans="4:21" ht="15.6">
      <c r="D114" s="128"/>
      <c r="E114" s="128"/>
      <c r="F114" s="179">
        <v>32</v>
      </c>
      <c r="G114" s="177">
        <v>4.8462194674329419E-3</v>
      </c>
      <c r="H114" s="177">
        <v>-3.4185041573866051E-2</v>
      </c>
      <c r="I114" s="177">
        <v>-7.1327827724814413E-2</v>
      </c>
      <c r="J114" s="177">
        <v>-0.10669034445351337</v>
      </c>
      <c r="K114" s="177">
        <v>-0.14037365975027269</v>
      </c>
      <c r="L114" s="177">
        <v>-0.17247223543936999</v>
      </c>
      <c r="M114" s="177">
        <v>-0.2030744145241245</v>
      </c>
      <c r="N114" s="177">
        <v>-0.23226286856218176</v>
      </c>
      <c r="O114" s="177">
        <v>-0.26011500867255549</v>
      </c>
      <c r="P114" s="177">
        <v>-0.28670336342283359</v>
      </c>
      <c r="Q114" s="177">
        <v>-0.31209592652919593</v>
      </c>
      <c r="R114" s="177">
        <v>-0.33635647701926824</v>
      </c>
      <c r="S114" s="177">
        <v>-0.35954487425464943</v>
      </c>
      <c r="T114" s="177">
        <v>-0.38171732998282387</v>
      </c>
      <c r="U114" s="177">
        <v>-0.40292665938436639</v>
      </c>
    </row>
    <row r="115" spans="4:21" ht="15.6">
      <c r="D115" s="128"/>
      <c r="E115" s="128"/>
      <c r="F115" s="179">
        <v>34</v>
      </c>
      <c r="G115" s="177">
        <v>6.3592311870895882E-2</v>
      </c>
      <c r="H115" s="177">
        <v>2.2219770296325745E-2</v>
      </c>
      <c r="I115" s="177">
        <v>-1.7150104686372056E-2</v>
      </c>
      <c r="J115" s="177">
        <v>-5.463208771318756E-2</v>
      </c>
      <c r="K115" s="177">
        <v>-9.033338157689258E-2</v>
      </c>
      <c r="L115" s="177">
        <v>-0.12435418092526526</v>
      </c>
      <c r="M115" s="177">
        <v>-0.15678818930949281</v>
      </c>
      <c r="N115" s="177">
        <v>-0.1877230938237785</v>
      </c>
      <c r="O115" s="177">
        <v>-0.21724100115766509</v>
      </c>
      <c r="P115" s="177">
        <v>-0.24541883850786772</v>
      </c>
      <c r="Q115" s="177">
        <v>-0.27232872246134254</v>
      </c>
      <c r="R115" s="177">
        <v>-0.29803829866143944</v>
      </c>
      <c r="S115" s="177">
        <v>-0.3226110548003111</v>
      </c>
      <c r="T115" s="177">
        <v>-0.34610660923976222</v>
      </c>
      <c r="U115" s="177">
        <v>-0.3685809773464564</v>
      </c>
    </row>
    <row r="116" spans="4:21" ht="15.6">
      <c r="D116" s="128"/>
      <c r="E116" s="128"/>
      <c r="F116" s="179">
        <v>36</v>
      </c>
      <c r="G116" s="177">
        <v>0.12233840427435839</v>
      </c>
      <c r="H116" s="177">
        <v>7.8624582166516896E-2</v>
      </c>
      <c r="I116" s="177">
        <v>3.702761835207008E-2</v>
      </c>
      <c r="J116" s="177">
        <v>-2.5738309728619655E-3</v>
      </c>
      <c r="K116" s="177">
        <v>-4.0293103403512477E-2</v>
      </c>
      <c r="L116" s="177">
        <v>-7.6236126411160773E-2</v>
      </c>
      <c r="M116" s="177">
        <v>-0.11050196409486132</v>
      </c>
      <c r="N116" s="177">
        <v>-0.14318331908537515</v>
      </c>
      <c r="O116" s="177">
        <v>-0.1743669936427748</v>
      </c>
      <c r="P116" s="177">
        <v>-0.20413431359290182</v>
      </c>
      <c r="Q116" s="177">
        <v>-0.2325615183934889</v>
      </c>
      <c r="R116" s="177">
        <v>-0.25972012030361047</v>
      </c>
      <c r="S116" s="177">
        <v>-0.28567723534597267</v>
      </c>
      <c r="T116" s="177">
        <v>-0.31049588849670046</v>
      </c>
      <c r="U116" s="177">
        <v>-0.33423529530854623</v>
      </c>
    </row>
    <row r="117" spans="4:21" ht="15.6">
      <c r="D117" s="128"/>
      <c r="E117" s="128"/>
      <c r="F117" s="179">
        <v>38</v>
      </c>
      <c r="G117" s="177">
        <v>0.18108449667782178</v>
      </c>
      <c r="H117" s="177">
        <v>0.13502939403670849</v>
      </c>
      <c r="I117" s="177">
        <v>9.1205341390512645E-2</v>
      </c>
      <c r="J117" s="177">
        <v>4.9484425767464063E-2</v>
      </c>
      <c r="K117" s="177">
        <v>9.7471747698679514E-3</v>
      </c>
      <c r="L117" s="177">
        <v>-2.8118071897055855E-2</v>
      </c>
      <c r="M117" s="177">
        <v>-6.4215738880229634E-2</v>
      </c>
      <c r="N117" s="177">
        <v>-9.8643544346971701E-2</v>
      </c>
      <c r="O117" s="177">
        <v>-0.13149298612788451</v>
      </c>
      <c r="P117" s="177">
        <v>-0.16284978867793562</v>
      </c>
      <c r="Q117" s="177">
        <v>-0.19279431432563549</v>
      </c>
      <c r="R117" s="177">
        <v>-0.22140194194578131</v>
      </c>
      <c r="S117" s="177">
        <v>-0.24874341589163429</v>
      </c>
      <c r="T117" s="177">
        <v>-0.27488516775363897</v>
      </c>
      <c r="U117" s="177">
        <v>-0.29988961327063635</v>
      </c>
    </row>
    <row r="118" spans="4:21" ht="15.6">
      <c r="D118" s="128"/>
      <c r="E118" s="128"/>
      <c r="F118" s="179">
        <v>40</v>
      </c>
      <c r="G118" s="177">
        <v>0.2398305890812843</v>
      </c>
      <c r="H118" s="177">
        <v>0.19143420590689963</v>
      </c>
      <c r="I118" s="177">
        <v>0.14538306442895479</v>
      </c>
      <c r="J118" s="177">
        <v>0.10154268250779008</v>
      </c>
      <c r="K118" s="177">
        <v>5.978745294324795E-2</v>
      </c>
      <c r="L118" s="177">
        <v>1.9999982617048745E-2</v>
      </c>
      <c r="M118" s="177">
        <v>-1.7929513665597942E-2</v>
      </c>
      <c r="N118" s="177">
        <v>-5.4103769608568462E-2</v>
      </c>
      <c r="O118" s="177">
        <v>-8.8618978612994115E-2</v>
      </c>
      <c r="P118" s="177">
        <v>-0.12156526376296951</v>
      </c>
      <c r="Q118" s="177">
        <v>-0.15302711025778185</v>
      </c>
      <c r="R118" s="177">
        <v>-0.18308376358795247</v>
      </c>
      <c r="S118" s="177">
        <v>-0.21180959643729597</v>
      </c>
      <c r="T118" s="177">
        <v>-0.23927444701057743</v>
      </c>
      <c r="U118" s="177">
        <v>-0.26554393123272624</v>
      </c>
    </row>
    <row r="119" spans="4:21" ht="15.6">
      <c r="D119" s="128"/>
      <c r="E119" s="179" t="s">
        <v>968</v>
      </c>
      <c r="F119" s="179">
        <v>42</v>
      </c>
      <c r="G119" s="177">
        <v>0.29857668148474725</v>
      </c>
      <c r="H119" s="177">
        <v>0.24783901777709122</v>
      </c>
      <c r="I119" s="177">
        <v>0.19956078746739736</v>
      </c>
      <c r="J119" s="177">
        <v>0.1536009392481161</v>
      </c>
      <c r="K119" s="177">
        <v>0.10982773111662796</v>
      </c>
      <c r="L119" s="177">
        <v>6.8118037131153344E-2</v>
      </c>
      <c r="M119" s="177">
        <v>2.8356711549033319E-2</v>
      </c>
      <c r="N119" s="177">
        <v>-9.5639948701651128E-3</v>
      </c>
      <c r="O119" s="177">
        <v>-4.5744971098103833E-2</v>
      </c>
      <c r="P119" s="177">
        <v>-8.0280738848003616E-2</v>
      </c>
      <c r="Q119" s="177">
        <v>-0.11325990618992844</v>
      </c>
      <c r="R119" s="177">
        <v>-0.14476558523012353</v>
      </c>
      <c r="S119" s="177">
        <v>-0.17487577698295745</v>
      </c>
      <c r="T119" s="177">
        <v>-0.20366372626751564</v>
      </c>
      <c r="U119" s="177">
        <v>-0.2311982491948161</v>
      </c>
    </row>
    <row r="120" spans="4:21" ht="15.6">
      <c r="D120" s="128"/>
      <c r="E120" s="179" t="s">
        <v>969</v>
      </c>
      <c r="F120" s="179">
        <v>44</v>
      </c>
      <c r="G120" s="177">
        <v>0.35732277388821015</v>
      </c>
      <c r="H120" s="177">
        <v>0.3042438296472828</v>
      </c>
      <c r="I120" s="177">
        <v>0.25373851050583951</v>
      </c>
      <c r="J120" s="177">
        <v>0.20565919598844171</v>
      </c>
      <c r="K120" s="177">
        <v>0.15986800929000838</v>
      </c>
      <c r="L120" s="177">
        <v>0.11623609164525794</v>
      </c>
      <c r="M120" s="177">
        <v>7.4642936763665013E-2</v>
      </c>
      <c r="N120" s="177">
        <v>3.4975779868238556E-2</v>
      </c>
      <c r="O120" s="177">
        <v>-2.8709635832132215E-3</v>
      </c>
      <c r="P120" s="177">
        <v>-3.8996213933037413E-2</v>
      </c>
      <c r="Q120" s="177">
        <v>-7.3492702122075038E-2</v>
      </c>
      <c r="R120" s="177">
        <v>-0.10644740687229459</v>
      </c>
      <c r="S120" s="177">
        <v>-0.13794195752861912</v>
      </c>
      <c r="T120" s="177">
        <v>-0.16805300552445387</v>
      </c>
      <c r="U120" s="177">
        <v>-0.19685256715690611</v>
      </c>
    </row>
    <row r="121" spans="4:21" ht="15.6">
      <c r="D121" s="128"/>
      <c r="E121" s="128"/>
      <c r="F121" s="179">
        <v>46</v>
      </c>
      <c r="G121" s="177">
        <v>0.41606886629167356</v>
      </c>
      <c r="H121" s="177">
        <v>0.36064864151747439</v>
      </c>
      <c r="I121" s="177">
        <v>0.3079162335442816</v>
      </c>
      <c r="J121" s="177">
        <v>0.25771745272876773</v>
      </c>
      <c r="K121" s="177">
        <v>0.20990828746338838</v>
      </c>
      <c r="L121" s="177">
        <v>0.16435414615936256</v>
      </c>
      <c r="M121" s="177">
        <v>0.1209291619782967</v>
      </c>
      <c r="N121" s="177">
        <v>7.9515554606641795E-2</v>
      </c>
      <c r="O121" s="177">
        <v>4.000304393167696E-2</v>
      </c>
      <c r="P121" s="177">
        <v>2.2883109819284778E-3</v>
      </c>
      <c r="Q121" s="177">
        <v>-3.3725498054221197E-2</v>
      </c>
      <c r="R121" s="177">
        <v>-6.8129228514465651E-2</v>
      </c>
      <c r="S121" s="177">
        <v>-0.10100813807428083</v>
      </c>
      <c r="T121" s="177">
        <v>-0.13244228478139219</v>
      </c>
      <c r="U121" s="177">
        <v>-0.16250688511899608</v>
      </c>
    </row>
    <row r="122" spans="4:21" ht="15.6">
      <c r="D122" s="128"/>
      <c r="E122" s="128"/>
      <c r="F122" s="179">
        <v>48</v>
      </c>
      <c r="G122" s="177">
        <v>0.47481495869513607</v>
      </c>
      <c r="H122" s="177">
        <v>0.41705345338766642</v>
      </c>
      <c r="I122" s="177">
        <v>0.36209395658272375</v>
      </c>
      <c r="J122" s="177">
        <v>0.30977570946909333</v>
      </c>
      <c r="K122" s="177">
        <v>0.25994856563676838</v>
      </c>
      <c r="L122" s="177">
        <v>0.21247220067346714</v>
      </c>
      <c r="M122" s="177">
        <v>0.16721538719292797</v>
      </c>
      <c r="N122" s="177">
        <v>0.12405532934504504</v>
      </c>
      <c r="O122" s="177">
        <v>8.2877051446567138E-2</v>
      </c>
      <c r="P122" s="177">
        <v>4.3572835896894584E-2</v>
      </c>
      <c r="Q122" s="177">
        <v>6.0417060136321093E-3</v>
      </c>
      <c r="R122" s="177">
        <v>-2.9811050156636713E-2</v>
      </c>
      <c r="S122" s="177">
        <v>-6.4074318619942297E-2</v>
      </c>
      <c r="T122" s="177">
        <v>-9.6831564038330625E-2</v>
      </c>
      <c r="U122" s="177">
        <v>-0.12816120308108606</v>
      </c>
    </row>
    <row r="123" spans="4:21" ht="15.6">
      <c r="D123" s="128"/>
      <c r="E123" s="128"/>
      <c r="F123" s="179">
        <v>50</v>
      </c>
      <c r="G123" s="177">
        <v>0.53356105109859853</v>
      </c>
      <c r="H123" s="177">
        <v>0.473458265257858</v>
      </c>
      <c r="I123" s="177">
        <v>0.41627167962116635</v>
      </c>
      <c r="J123" s="177">
        <v>0.36183396620941893</v>
      </c>
      <c r="K123" s="177">
        <v>0.30998884381014835</v>
      </c>
      <c r="L123" s="177">
        <v>0.26059025518757134</v>
      </c>
      <c r="M123" s="177">
        <v>0.21350161240755966</v>
      </c>
      <c r="N123" s="177">
        <v>0.16859510408344827</v>
      </c>
      <c r="O123" s="177">
        <v>0.12575105896145775</v>
      </c>
      <c r="P123" s="177">
        <v>8.4857360811860683E-2</v>
      </c>
      <c r="Q123" s="177">
        <v>4.580891008148541E-2</v>
      </c>
      <c r="R123" s="177">
        <v>8.5071282011924421E-3</v>
      </c>
      <c r="S123" s="177">
        <v>-2.7140499165603779E-2</v>
      </c>
      <c r="T123" s="177">
        <v>-6.1220843295268855E-2</v>
      </c>
      <c r="U123" s="177">
        <v>-9.3815521043175837E-2</v>
      </c>
    </row>
    <row r="124" spans="4:21" ht="15.6">
      <c r="D124" s="128"/>
      <c r="E124" s="128"/>
      <c r="F124" s="179">
        <v>52</v>
      </c>
      <c r="G124" s="177">
        <v>0.59230714350206148</v>
      </c>
      <c r="H124" s="177">
        <v>0.52986307712804914</v>
      </c>
      <c r="I124" s="177">
        <v>0.4704494026596085</v>
      </c>
      <c r="J124" s="177">
        <v>0.41389222294974537</v>
      </c>
      <c r="K124" s="177">
        <v>0.36002912198352838</v>
      </c>
      <c r="L124" s="177">
        <v>0.30870830970167634</v>
      </c>
      <c r="M124" s="177">
        <v>0.25978783762219093</v>
      </c>
      <c r="N124" s="177">
        <v>0.21313487882185153</v>
      </c>
      <c r="O124" s="177">
        <v>0.16862506647634792</v>
      </c>
      <c r="P124" s="177">
        <v>0.12614188572682636</v>
      </c>
      <c r="Q124" s="177">
        <v>8.5576114149339147E-2</v>
      </c>
      <c r="R124" s="177">
        <v>4.6825306559021167E-2</v>
      </c>
      <c r="S124" s="177">
        <v>9.7933202887342096E-3</v>
      </c>
      <c r="T124" s="177">
        <v>-2.5610122552207074E-2</v>
      </c>
      <c r="U124" s="177">
        <v>-5.9469839005265826E-2</v>
      </c>
    </row>
    <row r="125" spans="4:21" ht="15.6">
      <c r="D125" s="128"/>
      <c r="E125" s="128"/>
      <c r="F125" s="179">
        <v>54</v>
      </c>
      <c r="G125" s="177">
        <v>0.65105323590552444</v>
      </c>
      <c r="H125" s="177">
        <v>0.58626788899824078</v>
      </c>
      <c r="I125" s="177">
        <v>0.52462712569805059</v>
      </c>
      <c r="J125" s="177">
        <v>0.46595047969007097</v>
      </c>
      <c r="K125" s="177">
        <v>0.41006940015690879</v>
      </c>
      <c r="L125" s="177">
        <v>0.35682636421578051</v>
      </c>
      <c r="M125" s="177">
        <v>0.30607406283682259</v>
      </c>
      <c r="N125" s="177">
        <v>0.25767465356025476</v>
      </c>
      <c r="O125" s="177">
        <v>0.2114990739912381</v>
      </c>
      <c r="P125" s="177">
        <v>0.16742641064179289</v>
      </c>
      <c r="Q125" s="177">
        <v>0.12534331821719244</v>
      </c>
      <c r="R125" s="177">
        <v>8.5143484916850323E-2</v>
      </c>
      <c r="S125" s="177">
        <v>4.6727139743073055E-2</v>
      </c>
      <c r="T125" s="177">
        <v>1.000059819085449E-2</v>
      </c>
      <c r="U125" s="177">
        <v>-2.5124156967355815E-2</v>
      </c>
    </row>
    <row r="126" spans="4:21" ht="15.6">
      <c r="D126" s="128"/>
      <c r="E126" s="128"/>
      <c r="F126" s="179">
        <v>56</v>
      </c>
      <c r="G126" s="177">
        <v>0.70979932830898784</v>
      </c>
      <c r="H126" s="177">
        <v>0.64267270086843231</v>
      </c>
      <c r="I126" s="177">
        <v>0.57880484873649318</v>
      </c>
      <c r="J126" s="177">
        <v>0.51800873643039702</v>
      </c>
      <c r="K126" s="177">
        <v>0.46010967833028921</v>
      </c>
      <c r="L126" s="177">
        <v>0.40494441872988596</v>
      </c>
      <c r="M126" s="177">
        <v>0.35236028805145431</v>
      </c>
      <c r="N126" s="177">
        <v>0.30221442829865847</v>
      </c>
      <c r="O126" s="177">
        <v>0.2543730815061287</v>
      </c>
      <c r="P126" s="177">
        <v>0.20871093555675899</v>
      </c>
      <c r="Q126" s="177">
        <v>0.16511052228504619</v>
      </c>
      <c r="R126" s="177">
        <v>0.12346166327467949</v>
      </c>
      <c r="S126" s="177">
        <v>8.3660959197411469E-2</v>
      </c>
      <c r="T126" s="177">
        <v>4.5611318933916484E-2</v>
      </c>
      <c r="U126" s="177">
        <v>9.2215250705545201E-3</v>
      </c>
    </row>
    <row r="127" spans="4:21" ht="15.6">
      <c r="D127" s="128"/>
      <c r="E127" s="128"/>
      <c r="F127" s="179">
        <v>58</v>
      </c>
      <c r="G127" s="177">
        <v>0.76854542071245036</v>
      </c>
      <c r="H127" s="177">
        <v>0.69907751273862351</v>
      </c>
      <c r="I127" s="177">
        <v>0.63298257177493578</v>
      </c>
      <c r="J127" s="177">
        <v>0.57006699317072262</v>
      </c>
      <c r="K127" s="177">
        <v>0.51014995650366923</v>
      </c>
      <c r="L127" s="177">
        <v>0.45306247324399057</v>
      </c>
      <c r="M127" s="177">
        <v>0.39864651326608602</v>
      </c>
      <c r="N127" s="177">
        <v>0.34675420303706167</v>
      </c>
      <c r="O127" s="177">
        <v>0.29724708902101887</v>
      </c>
      <c r="P127" s="177">
        <v>0.24999546047172466</v>
      </c>
      <c r="Q127" s="177">
        <v>0.2048777263528995</v>
      </c>
      <c r="R127" s="177">
        <v>0.16177984163250822</v>
      </c>
      <c r="S127" s="177">
        <v>0.12059477865174989</v>
      </c>
      <c r="T127" s="177">
        <v>8.1222039676978053E-2</v>
      </c>
      <c r="U127" s="177">
        <v>4.3567207108464429E-2</v>
      </c>
    </row>
    <row r="128" spans="4:21" ht="15.6">
      <c r="D128" s="128"/>
      <c r="E128" s="128"/>
      <c r="F128" s="179">
        <v>60</v>
      </c>
      <c r="G128" s="177">
        <v>0.82729151311591331</v>
      </c>
      <c r="H128" s="177">
        <v>0.75548232460881504</v>
      </c>
      <c r="I128" s="177">
        <v>0.68716029481337793</v>
      </c>
      <c r="J128" s="177">
        <v>0.62212524991104867</v>
      </c>
      <c r="K128" s="177">
        <v>0.56019023467704965</v>
      </c>
      <c r="L128" s="177">
        <v>0.50118052775809518</v>
      </c>
      <c r="M128" s="177">
        <v>0.44493273848071724</v>
      </c>
      <c r="N128" s="177">
        <v>0.39129397777546537</v>
      </c>
      <c r="O128" s="177">
        <v>0.3401210965359095</v>
      </c>
      <c r="P128" s="177">
        <v>0.29127998538669075</v>
      </c>
      <c r="Q128" s="177">
        <v>0.24464493042075322</v>
      </c>
      <c r="R128" s="177">
        <v>0.20009801999033736</v>
      </c>
      <c r="S128" s="177">
        <v>0.1575285981060883</v>
      </c>
      <c r="T128" s="177">
        <v>0.11683276042003961</v>
      </c>
      <c r="U128" s="177">
        <v>7.7912889146374328E-2</v>
      </c>
    </row>
    <row r="129" spans="4:20" ht="15.6">
      <c r="D129" s="128"/>
      <c r="E129" s="128"/>
      <c r="F129" s="128"/>
      <c r="G129" s="128"/>
      <c r="H129" s="128"/>
      <c r="I129" s="128"/>
      <c r="J129" s="128"/>
      <c r="K129" s="128"/>
      <c r="L129" s="128"/>
      <c r="M129" s="128"/>
      <c r="N129" s="128"/>
      <c r="O129" s="128"/>
      <c r="P129" s="128"/>
      <c r="Q129" s="128"/>
      <c r="R129" s="128"/>
      <c r="S129" s="128"/>
      <c r="T129" s="128"/>
    </row>
    <row r="130" spans="4:20" ht="15.6">
      <c r="D130" s="128"/>
      <c r="E130" s="128"/>
      <c r="F130" s="128"/>
      <c r="G130" s="128"/>
      <c r="H130" s="128"/>
      <c r="I130" s="128"/>
      <c r="J130" s="128"/>
      <c r="K130" s="128"/>
      <c r="L130" s="128"/>
      <c r="M130" s="128"/>
      <c r="N130" s="128"/>
      <c r="O130" s="128"/>
      <c r="P130" s="128"/>
      <c r="Q130" s="128"/>
      <c r="R130" s="128"/>
      <c r="S130" s="128"/>
      <c r="T130" s="128"/>
    </row>
    <row r="131" spans="4:20" ht="15.6">
      <c r="D131" s="128"/>
      <c r="E131" s="128"/>
      <c r="F131" s="128"/>
      <c r="G131" s="128"/>
      <c r="H131" s="179"/>
      <c r="I131" s="128"/>
      <c r="J131" s="128"/>
      <c r="K131" s="128"/>
      <c r="L131" s="128"/>
      <c r="M131" s="128"/>
      <c r="N131" s="128"/>
      <c r="O131" s="128"/>
      <c r="P131" s="128"/>
      <c r="Q131" s="128"/>
      <c r="R131" s="128"/>
      <c r="S131" s="128"/>
      <c r="T131" s="128"/>
    </row>
    <row r="132" spans="4:20" ht="15.6">
      <c r="D132" s="128"/>
      <c r="E132" s="128"/>
      <c r="F132" s="128"/>
      <c r="G132" s="128"/>
      <c r="H132" s="128"/>
      <c r="I132" s="128"/>
      <c r="J132" s="128"/>
      <c r="K132" s="128"/>
      <c r="L132" s="128"/>
      <c r="M132" s="128"/>
      <c r="N132" s="128"/>
      <c r="O132" s="128"/>
      <c r="P132" s="128"/>
      <c r="Q132" s="128"/>
      <c r="R132" s="128"/>
      <c r="S132" s="128"/>
      <c r="T132" s="128"/>
    </row>
    <row r="133" spans="4:20" ht="15.6">
      <c r="D133" s="128"/>
      <c r="E133" s="128"/>
      <c r="F133" s="128"/>
      <c r="G133" s="128"/>
      <c r="H133" s="128"/>
      <c r="I133" s="128"/>
      <c r="J133" s="177"/>
      <c r="K133" s="128"/>
      <c r="L133" s="177"/>
      <c r="M133" s="128"/>
      <c r="N133" s="128"/>
      <c r="O133" s="128"/>
      <c r="P133" s="128"/>
      <c r="Q133" s="128"/>
      <c r="R133" s="128"/>
      <c r="S133" s="128"/>
      <c r="T133" s="128"/>
    </row>
    <row r="134" spans="4:20" ht="15.6">
      <c r="D134" s="128"/>
      <c r="E134" s="128"/>
      <c r="F134" s="128"/>
      <c r="G134" s="128"/>
      <c r="H134" s="128"/>
      <c r="I134" s="128"/>
      <c r="J134" s="128"/>
      <c r="K134" s="128"/>
      <c r="L134" s="177"/>
      <c r="M134" s="128"/>
      <c r="N134" s="128"/>
      <c r="O134" s="128"/>
      <c r="P134" s="128"/>
      <c r="Q134" s="128"/>
      <c r="R134" s="128"/>
      <c r="S134" s="128"/>
      <c r="T134" s="128"/>
    </row>
    <row r="135" spans="4:20" ht="15.6">
      <c r="D135" s="128"/>
      <c r="E135" s="128"/>
      <c r="F135" s="128"/>
      <c r="G135" s="128"/>
      <c r="H135" s="128"/>
      <c r="I135" s="128"/>
      <c r="J135" s="128"/>
      <c r="K135" s="128"/>
      <c r="L135" s="128"/>
      <c r="M135" s="128"/>
      <c r="N135" s="128"/>
      <c r="O135" s="128"/>
      <c r="P135" s="128"/>
      <c r="Q135" s="128"/>
      <c r="R135" s="128"/>
      <c r="S135" s="128"/>
      <c r="T135" s="128"/>
    </row>
    <row r="136" spans="4:20" ht="15.6">
      <c r="D136" s="128"/>
      <c r="E136" s="128"/>
      <c r="F136" s="128"/>
      <c r="G136" s="128"/>
      <c r="H136" s="128"/>
      <c r="I136" s="128"/>
      <c r="J136" s="128"/>
      <c r="K136" s="128"/>
      <c r="L136" s="128"/>
      <c r="M136" s="128"/>
      <c r="N136" s="128"/>
      <c r="O136" s="128"/>
      <c r="P136" s="128"/>
      <c r="Q136" s="128"/>
      <c r="R136" s="128"/>
      <c r="S136" s="128"/>
      <c r="T136" s="128"/>
    </row>
    <row r="137" spans="4:20" ht="15.6">
      <c r="D137" s="128"/>
      <c r="E137" s="128"/>
      <c r="F137" s="128"/>
      <c r="G137" s="128"/>
      <c r="H137" s="128"/>
      <c r="I137" s="128"/>
      <c r="J137" s="128"/>
      <c r="K137" s="128"/>
      <c r="L137" s="128"/>
      <c r="M137" s="128"/>
      <c r="N137" s="128"/>
      <c r="O137" s="128"/>
      <c r="P137" s="128"/>
      <c r="Q137" s="128"/>
      <c r="R137" s="128"/>
      <c r="S137" s="128"/>
      <c r="T137" s="128"/>
    </row>
    <row r="138" spans="4:20" ht="15.6">
      <c r="D138" s="128"/>
      <c r="E138" s="128"/>
      <c r="F138" s="128"/>
      <c r="G138" s="128"/>
      <c r="H138" s="128"/>
      <c r="I138" s="128"/>
      <c r="J138" s="128"/>
      <c r="K138" s="128"/>
      <c r="L138" s="128"/>
      <c r="M138" s="128"/>
      <c r="N138" s="128"/>
      <c r="O138" s="128"/>
      <c r="P138" s="128"/>
      <c r="Q138" s="128"/>
      <c r="R138" s="128"/>
      <c r="S138" s="128"/>
      <c r="T138" s="128"/>
    </row>
    <row r="139" spans="4:20" ht="15.6">
      <c r="D139" s="128"/>
      <c r="E139" s="128"/>
      <c r="F139" s="128"/>
      <c r="G139" s="128"/>
      <c r="H139" s="128"/>
      <c r="I139" s="128"/>
      <c r="J139" s="128"/>
      <c r="K139" s="128"/>
      <c r="L139" s="128"/>
      <c r="M139" s="128"/>
      <c r="N139" s="128"/>
      <c r="O139" s="128"/>
      <c r="P139" s="128"/>
      <c r="Q139" s="128"/>
      <c r="R139" s="128"/>
      <c r="S139" s="128"/>
      <c r="T139" s="128"/>
    </row>
    <row r="140" spans="4:20" ht="15.6">
      <c r="D140" s="128"/>
      <c r="E140" s="128"/>
      <c r="F140" s="128"/>
      <c r="G140" s="128"/>
      <c r="H140" s="128"/>
      <c r="I140" s="128"/>
      <c r="J140" s="128"/>
      <c r="K140" s="128"/>
      <c r="L140" s="128"/>
      <c r="M140" s="128"/>
      <c r="N140" s="128"/>
      <c r="O140" s="128"/>
      <c r="P140" s="128"/>
      <c r="Q140" s="128"/>
      <c r="R140" s="128"/>
      <c r="S140" s="128"/>
      <c r="T140" s="128"/>
    </row>
    <row r="141" spans="4:20" ht="15.6">
      <c r="D141" s="128"/>
      <c r="E141" s="128"/>
      <c r="F141" s="128"/>
      <c r="G141" s="128"/>
      <c r="H141" s="128"/>
      <c r="I141" s="128"/>
      <c r="J141" s="128"/>
      <c r="K141" s="128"/>
      <c r="L141" s="128"/>
      <c r="M141" s="128"/>
      <c r="N141" s="128"/>
      <c r="O141" s="128"/>
      <c r="P141" s="128"/>
      <c r="Q141" s="128"/>
      <c r="R141" s="128"/>
      <c r="S141" s="128"/>
      <c r="T141" s="128"/>
    </row>
    <row r="142" spans="4:20" ht="15.6">
      <c r="D142" s="128"/>
      <c r="E142" s="128"/>
      <c r="F142" s="128"/>
      <c r="G142" s="128"/>
      <c r="H142" s="128"/>
      <c r="I142" s="128"/>
      <c r="J142" s="128"/>
      <c r="K142" s="128"/>
      <c r="L142" s="128"/>
      <c r="M142" s="128"/>
      <c r="N142" s="128"/>
      <c r="O142" s="128"/>
      <c r="P142" s="128"/>
      <c r="Q142" s="128"/>
      <c r="R142" s="128"/>
      <c r="S142" s="128"/>
      <c r="T142" s="128"/>
    </row>
    <row r="143" spans="4:20" ht="15.6">
      <c r="D143" s="128"/>
      <c r="E143" s="128"/>
      <c r="F143" s="128"/>
      <c r="G143" s="128"/>
      <c r="H143" s="128"/>
      <c r="I143" s="128"/>
      <c r="J143" s="128"/>
      <c r="K143" s="128"/>
      <c r="L143" s="128"/>
      <c r="M143" s="128"/>
      <c r="N143" s="128"/>
      <c r="O143" s="128"/>
      <c r="P143" s="128"/>
      <c r="Q143" s="128"/>
      <c r="R143" s="128"/>
      <c r="S143" s="128"/>
      <c r="T143" s="128"/>
    </row>
    <row r="144" spans="4:20" ht="15.6">
      <c r="D144" s="128"/>
      <c r="E144" s="128"/>
      <c r="F144" s="128"/>
      <c r="G144" s="128"/>
      <c r="H144" s="128"/>
      <c r="I144" s="128"/>
      <c r="J144" s="128"/>
      <c r="K144" s="128"/>
      <c r="L144" s="128"/>
      <c r="M144" s="128"/>
      <c r="N144" s="128"/>
      <c r="O144" s="128"/>
      <c r="P144" s="128"/>
      <c r="Q144" s="128"/>
      <c r="R144" s="128"/>
      <c r="S144" s="128"/>
      <c r="T144" s="128"/>
    </row>
    <row r="145" spans="4:20" ht="15.6">
      <c r="D145" s="128"/>
      <c r="E145" s="128"/>
      <c r="F145" s="128"/>
      <c r="G145" s="128"/>
      <c r="H145" s="128"/>
      <c r="I145" s="128"/>
      <c r="J145" s="128"/>
      <c r="K145" s="128"/>
      <c r="L145" s="128"/>
      <c r="M145" s="128"/>
      <c r="N145" s="128"/>
      <c r="O145" s="128"/>
      <c r="P145" s="128"/>
      <c r="Q145" s="128"/>
      <c r="R145" s="128"/>
      <c r="S145" s="128"/>
      <c r="T145" s="128"/>
    </row>
    <row r="146" spans="4:20" ht="15.6">
      <c r="D146" s="128"/>
      <c r="E146" s="128"/>
      <c r="F146" s="128"/>
      <c r="G146" s="128"/>
      <c r="H146" s="128"/>
      <c r="I146" s="128"/>
      <c r="J146" s="128"/>
      <c r="K146" s="128"/>
      <c r="L146" s="128"/>
      <c r="M146" s="128"/>
      <c r="N146" s="128"/>
      <c r="O146" s="128"/>
      <c r="P146" s="128"/>
      <c r="Q146" s="128"/>
      <c r="R146" s="128"/>
      <c r="S146" s="128"/>
      <c r="T146" s="128"/>
    </row>
    <row r="147" spans="4:20" ht="15.6">
      <c r="D147" s="128"/>
      <c r="E147" s="128"/>
      <c r="F147" s="128"/>
      <c r="G147" s="128"/>
      <c r="H147" s="128"/>
      <c r="I147" s="128"/>
      <c r="J147" s="128"/>
      <c r="K147" s="128"/>
      <c r="L147" s="128"/>
      <c r="M147" s="128"/>
      <c r="N147" s="128"/>
      <c r="O147" s="128"/>
      <c r="P147" s="128"/>
      <c r="Q147" s="128"/>
      <c r="R147" s="128"/>
      <c r="S147" s="128"/>
      <c r="T147" s="128"/>
    </row>
    <row r="148" spans="4:20" ht="15.6">
      <c r="D148" s="128"/>
      <c r="E148" s="128"/>
      <c r="F148" s="128"/>
      <c r="G148" s="128"/>
      <c r="H148" s="128"/>
      <c r="I148" s="128"/>
      <c r="J148" s="128"/>
      <c r="K148" s="128"/>
      <c r="L148" s="128"/>
      <c r="M148" s="128"/>
      <c r="N148" s="128"/>
      <c r="O148" s="128"/>
      <c r="P148" s="128"/>
      <c r="Q148" s="128"/>
      <c r="R148" s="128"/>
      <c r="S148" s="128"/>
      <c r="T148" s="128"/>
    </row>
    <row r="149" spans="4:20" ht="15.6">
      <c r="D149" s="128"/>
      <c r="E149" s="128"/>
      <c r="F149" s="128"/>
      <c r="G149" s="128"/>
      <c r="H149" s="128"/>
      <c r="I149" s="128"/>
      <c r="J149" s="128"/>
      <c r="K149" s="128"/>
      <c r="L149" s="128"/>
      <c r="M149" s="128"/>
      <c r="N149" s="128"/>
      <c r="O149" s="128"/>
      <c r="P149" s="128"/>
      <c r="Q149" s="128"/>
      <c r="R149" s="128"/>
      <c r="S149" s="128"/>
      <c r="T149" s="128"/>
    </row>
    <row r="150" spans="4:20" ht="15.6">
      <c r="D150" s="128"/>
      <c r="E150" s="128"/>
      <c r="F150" s="128"/>
      <c r="G150" s="128"/>
      <c r="H150" s="128"/>
      <c r="I150" s="128"/>
      <c r="J150" s="128"/>
      <c r="K150" s="128"/>
      <c r="L150" s="128"/>
      <c r="M150" s="128"/>
      <c r="N150" s="128"/>
      <c r="O150" s="128"/>
      <c r="P150" s="128"/>
      <c r="Q150" s="128"/>
      <c r="R150" s="128"/>
      <c r="S150" s="128"/>
      <c r="T150" s="128"/>
    </row>
    <row r="151" spans="4:20" ht="15.6">
      <c r="D151" s="128"/>
      <c r="E151" s="128"/>
      <c r="F151" s="128"/>
      <c r="G151" s="128"/>
      <c r="H151" s="128"/>
      <c r="I151" s="128"/>
      <c r="J151" s="128"/>
      <c r="K151" s="128"/>
      <c r="L151" s="128"/>
      <c r="M151" s="128"/>
      <c r="N151" s="128"/>
      <c r="O151" s="128"/>
      <c r="P151" s="128"/>
      <c r="Q151" s="128"/>
      <c r="R151" s="128"/>
      <c r="S151" s="128"/>
      <c r="T151" s="128"/>
    </row>
    <row r="152" spans="4:20" ht="15.6">
      <c r="D152" s="128"/>
      <c r="E152" s="128"/>
      <c r="F152" s="128"/>
      <c r="G152" s="128"/>
      <c r="H152" s="128"/>
      <c r="I152" s="128"/>
      <c r="J152" s="128"/>
      <c r="K152" s="128"/>
      <c r="L152" s="128"/>
      <c r="M152" s="128"/>
      <c r="N152" s="128"/>
      <c r="O152" s="128"/>
      <c r="P152" s="128"/>
      <c r="Q152" s="128"/>
      <c r="R152" s="128"/>
      <c r="S152" s="128"/>
      <c r="T152" s="128"/>
    </row>
    <row r="153" spans="4:20" ht="15.6">
      <c r="D153" s="128"/>
      <c r="E153" s="128"/>
      <c r="F153" s="128"/>
      <c r="G153" s="128"/>
      <c r="H153" s="128"/>
      <c r="I153" s="128"/>
      <c r="J153" s="128"/>
      <c r="K153" s="128"/>
      <c r="L153" s="128"/>
      <c r="M153" s="128"/>
      <c r="N153" s="128"/>
      <c r="O153" s="128"/>
      <c r="P153" s="128"/>
      <c r="Q153" s="128"/>
      <c r="R153" s="128"/>
      <c r="S153" s="128"/>
      <c r="T153" s="128"/>
    </row>
    <row r="154" spans="4:20" ht="15.6">
      <c r="D154" s="128"/>
      <c r="E154" s="128"/>
      <c r="F154" s="128"/>
      <c r="G154" s="128"/>
      <c r="H154" s="128"/>
      <c r="I154" s="128"/>
      <c r="J154" s="128"/>
      <c r="K154" s="128"/>
      <c r="L154" s="128"/>
      <c r="M154" s="128"/>
      <c r="N154" s="128"/>
      <c r="O154" s="128"/>
      <c r="P154" s="128"/>
      <c r="Q154" s="128"/>
      <c r="R154" s="128"/>
      <c r="S154" s="128"/>
      <c r="T154" s="128"/>
    </row>
    <row r="155" spans="4:20" ht="15.6">
      <c r="D155" s="128"/>
      <c r="E155" s="128"/>
      <c r="F155" s="128"/>
      <c r="G155" s="128"/>
      <c r="H155" s="128"/>
      <c r="I155" s="128"/>
      <c r="J155" s="128"/>
      <c r="K155" s="128"/>
      <c r="L155" s="128"/>
      <c r="M155" s="128"/>
      <c r="N155" s="128"/>
      <c r="O155" s="128"/>
      <c r="P155" s="128"/>
      <c r="Q155" s="128"/>
      <c r="R155" s="128"/>
      <c r="S155" s="128"/>
      <c r="T155" s="128"/>
    </row>
    <row r="156" spans="4:20" ht="15.6">
      <c r="D156" s="128"/>
      <c r="E156" s="128"/>
      <c r="F156" s="128"/>
      <c r="G156" s="128"/>
      <c r="H156" s="128"/>
      <c r="I156" s="128"/>
      <c r="J156" s="128"/>
      <c r="K156" s="128"/>
      <c r="L156" s="128"/>
      <c r="M156" s="128"/>
      <c r="N156" s="128"/>
      <c r="O156" s="128"/>
      <c r="P156" s="128"/>
      <c r="Q156" s="128"/>
      <c r="R156" s="128"/>
      <c r="S156" s="128"/>
      <c r="T156" s="128"/>
    </row>
    <row r="157" spans="4:20" ht="15.6">
      <c r="D157" s="128"/>
      <c r="E157" s="128"/>
      <c r="F157" s="128"/>
      <c r="G157" s="128"/>
      <c r="H157" s="128"/>
      <c r="I157" s="128"/>
      <c r="J157" s="128"/>
      <c r="K157" s="128"/>
      <c r="L157" s="128"/>
      <c r="M157" s="128"/>
      <c r="N157" s="128"/>
      <c r="O157" s="128"/>
      <c r="P157" s="128"/>
      <c r="Q157" s="128"/>
      <c r="R157" s="128"/>
      <c r="S157" s="128"/>
      <c r="T157" s="128"/>
    </row>
    <row r="158" spans="4:20" ht="15.6">
      <c r="D158" s="128"/>
      <c r="E158" s="128"/>
      <c r="F158" s="128"/>
      <c r="G158" s="128"/>
      <c r="H158" s="128"/>
      <c r="I158" s="128"/>
      <c r="J158" s="128"/>
      <c r="K158" s="128"/>
      <c r="L158" s="128"/>
      <c r="M158" s="128"/>
      <c r="N158" s="128"/>
      <c r="O158" s="128"/>
      <c r="P158" s="128"/>
      <c r="Q158" s="128"/>
      <c r="R158" s="128"/>
      <c r="S158" s="128"/>
      <c r="T158" s="128"/>
    </row>
    <row r="159" spans="4:20" ht="15.6">
      <c r="D159" s="128"/>
      <c r="E159" s="128"/>
      <c r="F159" s="128"/>
      <c r="G159" s="128"/>
      <c r="H159" s="128"/>
      <c r="I159" s="128"/>
      <c r="J159" s="128"/>
      <c r="K159" s="128"/>
      <c r="L159" s="128"/>
      <c r="M159" s="128"/>
      <c r="N159" s="128"/>
      <c r="O159" s="128"/>
      <c r="P159" s="128"/>
      <c r="Q159" s="128"/>
      <c r="R159" s="128"/>
      <c r="S159" s="128"/>
      <c r="T159" s="128"/>
    </row>
    <row r="160" spans="4:20" ht="15.6">
      <c r="D160" s="128"/>
      <c r="E160" s="128"/>
      <c r="F160" s="128"/>
      <c r="G160" s="128"/>
      <c r="H160" s="128"/>
      <c r="I160" s="128"/>
      <c r="J160" s="128"/>
      <c r="K160" s="128"/>
      <c r="L160" s="128"/>
      <c r="M160" s="128"/>
      <c r="N160" s="128"/>
      <c r="O160" s="128"/>
      <c r="P160" s="128"/>
      <c r="Q160" s="128"/>
      <c r="R160" s="128"/>
      <c r="S160" s="128"/>
      <c r="T160" s="128"/>
    </row>
    <row r="161" spans="4:20" ht="15.6">
      <c r="D161" s="128"/>
      <c r="E161" s="128"/>
      <c r="F161" s="128"/>
      <c r="G161" s="128"/>
      <c r="H161" s="128"/>
      <c r="I161" s="128"/>
      <c r="J161" s="128"/>
      <c r="K161" s="128"/>
      <c r="L161" s="128"/>
      <c r="M161" s="128"/>
      <c r="N161" s="128"/>
      <c r="O161" s="128"/>
      <c r="P161" s="128"/>
      <c r="Q161" s="128"/>
      <c r="R161" s="128"/>
      <c r="S161" s="128"/>
      <c r="T161" s="128"/>
    </row>
    <row r="162" spans="4:20" ht="15.6">
      <c r="D162" s="128"/>
      <c r="E162" s="128"/>
      <c r="F162" s="128"/>
      <c r="G162" s="128"/>
      <c r="H162" s="128"/>
      <c r="I162" s="128"/>
      <c r="J162" s="128"/>
      <c r="K162" s="128"/>
      <c r="L162" s="128"/>
      <c r="M162" s="128"/>
      <c r="N162" s="128"/>
      <c r="O162" s="128"/>
      <c r="P162" s="128"/>
      <c r="Q162" s="128"/>
      <c r="R162" s="128"/>
      <c r="S162" s="128"/>
      <c r="T162" s="128"/>
    </row>
    <row r="163" spans="4:20" ht="15.6">
      <c r="D163" s="128"/>
      <c r="E163" s="128"/>
      <c r="F163" s="128"/>
      <c r="G163" s="128"/>
      <c r="H163" s="128"/>
      <c r="I163" s="128"/>
      <c r="J163" s="128"/>
      <c r="K163" s="128"/>
      <c r="L163" s="128"/>
      <c r="M163" s="128"/>
      <c r="N163" s="128"/>
      <c r="O163" s="128"/>
      <c r="P163" s="128"/>
      <c r="Q163" s="128"/>
      <c r="R163" s="128"/>
      <c r="S163" s="128"/>
      <c r="T163" s="128"/>
    </row>
    <row r="164" spans="4:20" ht="15.6">
      <c r="D164" s="128"/>
      <c r="E164" s="128"/>
      <c r="F164" s="128"/>
      <c r="G164" s="128"/>
      <c r="H164" s="128"/>
      <c r="I164" s="128"/>
      <c r="J164" s="128"/>
      <c r="K164" s="128"/>
      <c r="L164" s="128"/>
      <c r="M164" s="128"/>
      <c r="N164" s="128"/>
      <c r="O164" s="128"/>
      <c r="P164" s="128"/>
      <c r="Q164" s="128"/>
      <c r="R164" s="128"/>
      <c r="S164" s="128"/>
      <c r="T164" s="128"/>
    </row>
    <row r="165" spans="4:20" ht="15.6">
      <c r="D165" s="128"/>
      <c r="E165" s="128"/>
      <c r="F165" s="128"/>
      <c r="G165" s="128"/>
      <c r="H165" s="128"/>
      <c r="I165" s="128"/>
      <c r="J165" s="128"/>
      <c r="K165" s="128"/>
      <c r="L165" s="128"/>
      <c r="M165" s="128"/>
      <c r="N165" s="128"/>
      <c r="O165" s="128"/>
      <c r="P165" s="128"/>
      <c r="Q165" s="128"/>
      <c r="R165" s="128"/>
      <c r="S165" s="128"/>
      <c r="T165" s="128"/>
    </row>
    <row r="166" spans="4:20" ht="15.6">
      <c r="D166" s="128"/>
      <c r="E166" s="128"/>
      <c r="F166" s="128"/>
      <c r="G166" s="128"/>
      <c r="H166" s="128"/>
      <c r="I166" s="128"/>
      <c r="J166" s="128"/>
      <c r="K166" s="128"/>
      <c r="L166" s="128"/>
      <c r="M166" s="128"/>
      <c r="N166" s="128"/>
      <c r="O166" s="128"/>
      <c r="P166" s="128"/>
      <c r="Q166" s="128"/>
      <c r="R166" s="128"/>
      <c r="S166" s="128"/>
      <c r="T166" s="128"/>
    </row>
    <row r="167" spans="4:20" ht="15.6">
      <c r="D167" s="128"/>
      <c r="E167" s="128"/>
      <c r="F167" s="128"/>
      <c r="G167" s="128"/>
      <c r="H167" s="128"/>
      <c r="I167" s="128"/>
      <c r="J167" s="128"/>
      <c r="K167" s="128"/>
      <c r="L167" s="128"/>
      <c r="M167" s="128"/>
      <c r="N167" s="128"/>
      <c r="O167" s="128"/>
      <c r="P167" s="128"/>
      <c r="Q167" s="128"/>
      <c r="R167" s="128"/>
      <c r="S167" s="128"/>
      <c r="T167" s="128"/>
    </row>
    <row r="168" spans="4:20" ht="15.6">
      <c r="D168" s="128"/>
      <c r="E168" s="128"/>
      <c r="F168" s="128"/>
      <c r="G168" s="128"/>
      <c r="H168" s="128"/>
      <c r="I168" s="128"/>
      <c r="J168" s="128"/>
      <c r="K168" s="128"/>
      <c r="L168" s="128"/>
      <c r="M168" s="128"/>
      <c r="N168" s="128"/>
      <c r="O168" s="128"/>
      <c r="P168" s="128"/>
      <c r="Q168" s="128"/>
      <c r="R168" s="128"/>
      <c r="S168" s="128"/>
      <c r="T168" s="128"/>
    </row>
    <row r="169" spans="4:20" ht="15.6">
      <c r="D169" s="128"/>
      <c r="E169" s="128"/>
      <c r="F169" s="128"/>
      <c r="G169" s="128"/>
      <c r="H169" s="128"/>
      <c r="I169" s="128"/>
      <c r="J169" s="128"/>
      <c r="K169" s="128"/>
      <c r="L169" s="128"/>
      <c r="M169" s="128"/>
      <c r="N169" s="128"/>
      <c r="O169" s="128"/>
      <c r="P169" s="128"/>
      <c r="Q169" s="128"/>
      <c r="R169" s="128"/>
      <c r="S169" s="128"/>
      <c r="T169" s="128"/>
    </row>
    <row r="170" spans="4:20" ht="15.6">
      <c r="D170" s="128"/>
      <c r="E170" s="128"/>
      <c r="F170" s="128"/>
      <c r="G170" s="128"/>
      <c r="H170" s="128"/>
      <c r="I170" s="128"/>
      <c r="J170" s="128"/>
      <c r="K170" s="128"/>
      <c r="L170" s="128"/>
      <c r="M170" s="128"/>
      <c r="N170" s="128"/>
      <c r="O170" s="128"/>
      <c r="P170" s="128"/>
      <c r="Q170" s="128"/>
      <c r="R170" s="128"/>
      <c r="S170" s="128"/>
      <c r="T170" s="128"/>
    </row>
    <row r="171" spans="4:20" ht="15.6">
      <c r="D171" s="128"/>
      <c r="E171" s="128"/>
      <c r="F171" s="128"/>
      <c r="G171" s="128"/>
      <c r="H171" s="128"/>
      <c r="I171" s="128"/>
      <c r="J171" s="128"/>
      <c r="K171" s="128"/>
      <c r="L171" s="128"/>
      <c r="M171" s="128"/>
      <c r="N171" s="128"/>
      <c r="O171" s="128"/>
      <c r="P171" s="128"/>
      <c r="Q171" s="128"/>
      <c r="R171" s="128"/>
      <c r="S171" s="128"/>
      <c r="T171" s="128"/>
    </row>
    <row r="172" spans="4:20" ht="15.6">
      <c r="D172" s="128"/>
      <c r="E172" s="128"/>
      <c r="F172" s="128"/>
      <c r="G172" s="128"/>
      <c r="H172" s="128"/>
      <c r="I172" s="128"/>
      <c r="J172" s="128"/>
      <c r="K172" s="128"/>
      <c r="L172" s="128"/>
      <c r="M172" s="128"/>
      <c r="N172" s="128"/>
      <c r="O172" s="128"/>
      <c r="P172" s="128"/>
      <c r="Q172" s="128"/>
      <c r="R172" s="128"/>
      <c r="S172" s="128"/>
      <c r="T172" s="128"/>
    </row>
    <row r="173" spans="4:20" ht="15.6">
      <c r="D173" s="128"/>
      <c r="E173" s="128"/>
      <c r="F173" s="128"/>
      <c r="G173" s="128"/>
      <c r="H173" s="128"/>
      <c r="I173" s="128"/>
      <c r="J173" s="128"/>
      <c r="K173" s="128"/>
      <c r="L173" s="128"/>
      <c r="M173" s="128"/>
      <c r="N173" s="128"/>
      <c r="O173" s="128"/>
      <c r="P173" s="128"/>
      <c r="Q173" s="128"/>
      <c r="R173" s="128"/>
      <c r="S173" s="128"/>
      <c r="T173" s="128"/>
    </row>
    <row r="174" spans="4:20" ht="15.6">
      <c r="D174" s="128"/>
      <c r="E174" s="128"/>
      <c r="F174" s="128"/>
      <c r="G174" s="128"/>
      <c r="H174" s="128"/>
      <c r="I174" s="128"/>
      <c r="J174" s="128"/>
      <c r="K174" s="128"/>
      <c r="L174" s="128"/>
      <c r="M174" s="128"/>
      <c r="N174" s="128"/>
      <c r="O174" s="128"/>
      <c r="P174" s="128"/>
      <c r="Q174" s="128"/>
      <c r="R174" s="128"/>
      <c r="S174" s="128"/>
      <c r="T174" s="128"/>
    </row>
    <row r="175" spans="4:20" ht="15.6">
      <c r="D175" s="128"/>
      <c r="E175" s="128"/>
      <c r="F175" s="128"/>
      <c r="G175" s="128"/>
      <c r="H175" s="128"/>
      <c r="I175" s="128"/>
      <c r="J175" s="128"/>
      <c r="K175" s="128"/>
      <c r="L175" s="128"/>
      <c r="M175" s="128"/>
      <c r="N175" s="128"/>
      <c r="O175" s="128"/>
      <c r="P175" s="128"/>
      <c r="Q175" s="128"/>
      <c r="R175" s="128"/>
      <c r="S175" s="128"/>
      <c r="T175" s="128"/>
    </row>
    <row r="176" spans="4:20" ht="15.6">
      <c r="D176" s="128"/>
      <c r="E176" s="128"/>
      <c r="F176" s="128"/>
      <c r="G176" s="128"/>
      <c r="H176" s="128"/>
      <c r="I176" s="128"/>
      <c r="J176" s="128"/>
      <c r="K176" s="128"/>
      <c r="L176" s="128"/>
      <c r="M176" s="128"/>
      <c r="N176" s="128"/>
      <c r="O176" s="128"/>
      <c r="P176" s="128"/>
      <c r="Q176" s="128"/>
      <c r="R176" s="128"/>
      <c r="S176" s="128"/>
      <c r="T176" s="128"/>
    </row>
    <row r="177" spans="4:20" ht="15.6">
      <c r="D177" s="128"/>
      <c r="E177" s="128"/>
      <c r="F177" s="128"/>
      <c r="G177" s="128"/>
      <c r="H177" s="128"/>
      <c r="I177" s="128"/>
      <c r="J177" s="128"/>
      <c r="K177" s="128"/>
      <c r="L177" s="128"/>
      <c r="M177" s="128"/>
      <c r="N177" s="128"/>
      <c r="O177" s="128"/>
      <c r="P177" s="128"/>
      <c r="Q177" s="128"/>
      <c r="R177" s="128"/>
      <c r="S177" s="128"/>
      <c r="T177" s="128"/>
    </row>
    <row r="178" spans="4:20" ht="15.6">
      <c r="D178" s="128"/>
      <c r="E178" s="128"/>
      <c r="F178" s="128"/>
      <c r="G178" s="128"/>
      <c r="H178" s="128"/>
      <c r="I178" s="128"/>
      <c r="J178" s="128"/>
      <c r="K178" s="128"/>
      <c r="L178" s="128"/>
      <c r="M178" s="128"/>
      <c r="N178" s="128"/>
      <c r="O178" s="128"/>
      <c r="P178" s="128"/>
      <c r="Q178" s="128"/>
      <c r="R178" s="128"/>
      <c r="S178" s="128"/>
      <c r="T178" s="128"/>
    </row>
    <row r="179" spans="4:20" ht="15.6">
      <c r="D179" s="128"/>
      <c r="E179" s="128"/>
      <c r="F179" s="128"/>
      <c r="G179" s="128"/>
      <c r="H179" s="128"/>
      <c r="I179" s="128"/>
      <c r="J179" s="128"/>
      <c r="K179" s="128"/>
      <c r="L179" s="128"/>
      <c r="M179" s="128"/>
      <c r="N179" s="128"/>
      <c r="O179" s="128"/>
      <c r="P179" s="128"/>
      <c r="Q179" s="128"/>
      <c r="R179" s="128"/>
      <c r="S179" s="128"/>
      <c r="T179" s="128"/>
    </row>
    <row r="180" spans="4:20" ht="15.6">
      <c r="D180" s="128"/>
      <c r="E180" s="128"/>
      <c r="F180" s="128"/>
      <c r="G180" s="128"/>
      <c r="H180" s="128"/>
      <c r="I180" s="128"/>
      <c r="J180" s="128"/>
      <c r="K180" s="128"/>
      <c r="L180" s="128"/>
      <c r="M180" s="128"/>
      <c r="N180" s="128"/>
      <c r="O180" s="128"/>
      <c r="P180" s="128"/>
      <c r="Q180" s="128"/>
      <c r="R180" s="128"/>
      <c r="S180" s="128"/>
      <c r="T180" s="128"/>
    </row>
    <row r="181" spans="4:20" ht="15.6">
      <c r="D181" s="128"/>
      <c r="E181" s="128"/>
      <c r="F181" s="128"/>
      <c r="G181" s="128"/>
      <c r="H181" s="128"/>
      <c r="I181" s="128"/>
      <c r="J181" s="128"/>
      <c r="K181" s="128"/>
      <c r="L181" s="128"/>
      <c r="M181" s="128"/>
      <c r="N181" s="128"/>
      <c r="O181" s="128"/>
      <c r="P181" s="128"/>
      <c r="Q181" s="128"/>
      <c r="R181" s="128"/>
      <c r="S181" s="128"/>
      <c r="T181" s="128"/>
    </row>
    <row r="182" spans="4:20" ht="15.6">
      <c r="D182" s="128"/>
      <c r="E182" s="128"/>
      <c r="F182" s="128"/>
      <c r="G182" s="128"/>
      <c r="H182" s="128"/>
      <c r="I182" s="128"/>
      <c r="J182" s="128"/>
      <c r="K182" s="128"/>
      <c r="L182" s="128"/>
      <c r="M182" s="128"/>
      <c r="N182" s="128"/>
      <c r="O182" s="128"/>
      <c r="P182" s="128"/>
      <c r="Q182" s="128"/>
      <c r="R182" s="128"/>
      <c r="S182" s="128"/>
      <c r="T182" s="128"/>
    </row>
    <row r="183" spans="4:20" ht="15.6">
      <c r="D183" s="128"/>
      <c r="E183" s="128"/>
      <c r="F183" s="128"/>
      <c r="G183" s="128"/>
      <c r="H183" s="128"/>
      <c r="I183" s="128"/>
      <c r="J183" s="128"/>
      <c r="K183" s="128"/>
      <c r="L183" s="128"/>
      <c r="M183" s="128"/>
      <c r="N183" s="128"/>
      <c r="O183" s="128"/>
      <c r="P183" s="128"/>
      <c r="Q183" s="128"/>
      <c r="R183" s="128"/>
      <c r="S183" s="128"/>
      <c r="T183" s="128"/>
    </row>
    <row r="184" spans="4:20" ht="15.6">
      <c r="D184" s="128"/>
      <c r="E184" s="128"/>
      <c r="F184" s="128"/>
      <c r="G184" s="128"/>
      <c r="H184" s="128"/>
      <c r="I184" s="128"/>
      <c r="J184" s="128"/>
      <c r="K184" s="128"/>
      <c r="L184" s="128"/>
      <c r="M184" s="128"/>
      <c r="N184" s="128"/>
      <c r="O184" s="128"/>
      <c r="P184" s="128"/>
      <c r="Q184" s="128"/>
      <c r="R184" s="128"/>
      <c r="S184" s="128"/>
      <c r="T184" s="128"/>
    </row>
    <row r="185" spans="4:20" ht="15.6">
      <c r="D185" s="128"/>
      <c r="E185" s="128"/>
      <c r="F185" s="128"/>
      <c r="G185" s="128"/>
      <c r="H185" s="128"/>
      <c r="I185" s="128"/>
      <c r="J185" s="128"/>
      <c r="K185" s="128"/>
      <c r="L185" s="128"/>
      <c r="M185" s="128"/>
      <c r="N185" s="128"/>
      <c r="O185" s="128"/>
      <c r="P185" s="128"/>
      <c r="Q185" s="128"/>
      <c r="R185" s="128"/>
      <c r="S185" s="128"/>
      <c r="T185" s="128"/>
    </row>
    <row r="186" spans="4:20" ht="15.6">
      <c r="D186" s="128"/>
      <c r="E186" s="128"/>
      <c r="F186" s="128"/>
      <c r="G186" s="128"/>
      <c r="H186" s="128"/>
      <c r="I186" s="128"/>
      <c r="J186" s="128"/>
      <c r="K186" s="128"/>
      <c r="L186" s="128"/>
      <c r="M186" s="128"/>
      <c r="N186" s="128"/>
      <c r="O186" s="128"/>
      <c r="P186" s="128"/>
      <c r="Q186" s="128"/>
      <c r="R186" s="128"/>
      <c r="S186" s="128"/>
      <c r="T186" s="128"/>
    </row>
    <row r="187" spans="4:20" ht="15.6">
      <c r="D187" s="128"/>
      <c r="E187" s="128"/>
      <c r="F187" s="128"/>
      <c r="G187" s="128"/>
      <c r="H187" s="128"/>
      <c r="I187" s="128"/>
      <c r="J187" s="128"/>
      <c r="K187" s="128"/>
      <c r="L187" s="128"/>
      <c r="M187" s="128"/>
      <c r="N187" s="128"/>
      <c r="O187" s="128"/>
      <c r="P187" s="128"/>
      <c r="Q187" s="128"/>
      <c r="R187" s="128"/>
      <c r="S187" s="128"/>
      <c r="T187" s="128"/>
    </row>
    <row r="188" spans="4:20" ht="15.6">
      <c r="D188" s="128"/>
      <c r="E188" s="128"/>
      <c r="F188" s="128"/>
      <c r="G188" s="128"/>
      <c r="H188" s="128"/>
      <c r="I188" s="128"/>
      <c r="J188" s="128"/>
      <c r="K188" s="128"/>
      <c r="L188" s="128"/>
      <c r="M188" s="128"/>
      <c r="N188" s="128"/>
      <c r="O188" s="128"/>
      <c r="P188" s="128"/>
      <c r="Q188" s="128"/>
      <c r="R188" s="128"/>
      <c r="S188" s="128"/>
      <c r="T188" s="128"/>
    </row>
    <row r="189" spans="4:20" ht="15.6">
      <c r="D189" s="128"/>
      <c r="E189" s="128"/>
      <c r="F189" s="128"/>
      <c r="G189" s="128"/>
      <c r="H189" s="128"/>
      <c r="I189" s="128"/>
      <c r="J189" s="128"/>
      <c r="K189" s="128"/>
      <c r="L189" s="128"/>
      <c r="M189" s="128"/>
      <c r="N189" s="128"/>
      <c r="O189" s="128"/>
      <c r="P189" s="128"/>
      <c r="Q189" s="128"/>
      <c r="R189" s="128"/>
      <c r="S189" s="128"/>
      <c r="T189" s="128"/>
    </row>
    <row r="190" spans="4:20" ht="15.6">
      <c r="D190" s="128"/>
      <c r="E190" s="128"/>
      <c r="F190" s="128"/>
      <c r="G190" s="128"/>
      <c r="H190" s="128"/>
      <c r="I190" s="128"/>
      <c r="J190" s="128"/>
      <c r="K190" s="128"/>
      <c r="L190" s="128"/>
      <c r="M190" s="128"/>
      <c r="N190" s="128"/>
      <c r="O190" s="128"/>
      <c r="P190" s="128"/>
      <c r="Q190" s="128"/>
      <c r="R190" s="128"/>
      <c r="S190" s="128"/>
      <c r="T190" s="128"/>
    </row>
    <row r="191" spans="4:20" ht="15.6">
      <c r="D191" s="128"/>
      <c r="E191" s="128"/>
      <c r="F191" s="128"/>
      <c r="G191" s="128"/>
      <c r="H191" s="128"/>
      <c r="I191" s="128"/>
      <c r="J191" s="128"/>
      <c r="K191" s="128"/>
      <c r="L191" s="128"/>
      <c r="M191" s="128"/>
      <c r="N191" s="128"/>
      <c r="O191" s="128"/>
      <c r="P191" s="128"/>
      <c r="Q191" s="128"/>
      <c r="R191" s="128"/>
      <c r="S191" s="128"/>
      <c r="T191" s="128"/>
    </row>
    <row r="192" spans="4:20" ht="15.6">
      <c r="D192" s="128"/>
      <c r="E192" s="128"/>
      <c r="F192" s="128"/>
      <c r="G192" s="128"/>
      <c r="H192" s="128"/>
      <c r="I192" s="128"/>
      <c r="J192" s="128"/>
      <c r="K192" s="128"/>
      <c r="L192" s="128"/>
      <c r="M192" s="128"/>
      <c r="N192" s="128"/>
      <c r="O192" s="128"/>
      <c r="P192" s="128"/>
      <c r="Q192" s="128"/>
      <c r="R192" s="128"/>
      <c r="S192" s="128"/>
      <c r="T192" s="128"/>
    </row>
    <row r="193" spans="4:20" ht="15.6">
      <c r="D193" s="128"/>
      <c r="E193" s="128"/>
      <c r="F193" s="128"/>
      <c r="G193" s="128"/>
      <c r="H193" s="128"/>
      <c r="I193" s="128"/>
      <c r="J193" s="128"/>
      <c r="K193" s="128"/>
      <c r="L193" s="128"/>
      <c r="M193" s="128"/>
      <c r="N193" s="128"/>
      <c r="O193" s="128"/>
      <c r="P193" s="128"/>
      <c r="Q193" s="128"/>
      <c r="R193" s="128"/>
      <c r="S193" s="128"/>
      <c r="T193" s="128"/>
    </row>
    <row r="194" spans="4:20" ht="15.6">
      <c r="D194" s="128"/>
      <c r="E194" s="128"/>
      <c r="F194" s="128"/>
      <c r="G194" s="128"/>
      <c r="H194" s="128"/>
      <c r="I194" s="128"/>
      <c r="J194" s="128"/>
      <c r="K194" s="128"/>
      <c r="L194" s="128"/>
      <c r="M194" s="128"/>
      <c r="N194" s="128"/>
      <c r="O194" s="128"/>
      <c r="P194" s="128"/>
      <c r="Q194" s="128"/>
      <c r="R194" s="128"/>
      <c r="S194" s="128"/>
      <c r="T194" s="128"/>
    </row>
    <row r="195" spans="4:20" ht="15.6">
      <c r="D195" s="128"/>
      <c r="E195" s="128"/>
      <c r="F195" s="128"/>
      <c r="G195" s="128"/>
      <c r="H195" s="128"/>
      <c r="I195" s="128"/>
      <c r="J195" s="128"/>
      <c r="K195" s="128"/>
      <c r="L195" s="128"/>
      <c r="M195" s="128"/>
      <c r="N195" s="128"/>
      <c r="O195" s="128"/>
      <c r="P195" s="128"/>
      <c r="Q195" s="128"/>
      <c r="R195" s="128"/>
      <c r="S195" s="128"/>
      <c r="T195" s="128"/>
    </row>
    <row r="196" spans="4:20" ht="15.6">
      <c r="D196" s="128"/>
      <c r="E196" s="128"/>
      <c r="F196" s="128"/>
      <c r="G196" s="128"/>
      <c r="H196" s="128"/>
      <c r="I196" s="128"/>
      <c r="J196" s="128"/>
      <c r="K196" s="128"/>
      <c r="L196" s="128"/>
      <c r="M196" s="128"/>
      <c r="N196" s="128"/>
      <c r="O196" s="128"/>
      <c r="P196" s="128"/>
      <c r="Q196" s="128"/>
      <c r="R196" s="128"/>
      <c r="S196" s="128"/>
      <c r="T196" s="128"/>
    </row>
    <row r="197" spans="4:20" ht="15.6">
      <c r="D197" s="128"/>
      <c r="E197" s="128"/>
      <c r="F197" s="128"/>
      <c r="G197" s="128"/>
      <c r="H197" s="128"/>
      <c r="I197" s="128"/>
      <c r="J197" s="128"/>
      <c r="K197" s="128"/>
      <c r="L197" s="128"/>
      <c r="M197" s="128"/>
      <c r="N197" s="128"/>
      <c r="O197" s="128"/>
      <c r="P197" s="128"/>
      <c r="Q197" s="128"/>
      <c r="R197" s="128"/>
      <c r="S197" s="128"/>
      <c r="T197" s="128"/>
    </row>
    <row r="198" spans="4:20" ht="15.6">
      <c r="D198" s="128"/>
      <c r="E198" s="128"/>
      <c r="F198" s="128"/>
      <c r="G198" s="128"/>
      <c r="H198" s="128"/>
      <c r="I198" s="128"/>
      <c r="J198" s="128"/>
      <c r="K198" s="128"/>
      <c r="L198" s="128"/>
      <c r="M198" s="128"/>
      <c r="N198" s="128"/>
      <c r="O198" s="128"/>
      <c r="P198" s="128"/>
      <c r="Q198" s="128"/>
      <c r="R198" s="128"/>
      <c r="S198" s="128"/>
      <c r="T198" s="128"/>
    </row>
    <row r="199" spans="4:20" ht="15.6">
      <c r="D199" s="128"/>
      <c r="E199" s="128"/>
      <c r="F199" s="128"/>
      <c r="G199" s="128"/>
      <c r="H199" s="128"/>
      <c r="I199" s="128"/>
      <c r="J199" s="128"/>
      <c r="K199" s="128"/>
      <c r="L199" s="128"/>
      <c r="M199" s="128"/>
      <c r="N199" s="128"/>
      <c r="O199" s="128"/>
      <c r="P199" s="128"/>
      <c r="Q199" s="128"/>
      <c r="R199" s="128"/>
      <c r="S199" s="128"/>
      <c r="T199" s="128"/>
    </row>
    <row r="200" spans="4:20" ht="15.6">
      <c r="D200" s="128"/>
      <c r="E200" s="128"/>
      <c r="F200" s="128"/>
      <c r="G200" s="128"/>
      <c r="H200" s="128"/>
      <c r="I200" s="128"/>
      <c r="J200" s="128"/>
      <c r="K200" s="128"/>
      <c r="L200" s="128"/>
      <c r="M200" s="128"/>
      <c r="N200" s="128"/>
      <c r="O200" s="128"/>
      <c r="P200" s="128"/>
      <c r="Q200" s="128"/>
      <c r="R200" s="128"/>
      <c r="S200" s="128"/>
      <c r="T200" s="128"/>
    </row>
    <row r="201" spans="4:20" ht="15.6">
      <c r="D201" s="128"/>
      <c r="E201" s="128"/>
      <c r="F201" s="128"/>
      <c r="G201" s="128"/>
      <c r="H201" s="128"/>
      <c r="I201" s="128"/>
      <c r="J201" s="128"/>
      <c r="K201" s="128"/>
      <c r="L201" s="128"/>
      <c r="M201" s="128"/>
      <c r="N201" s="128"/>
      <c r="O201" s="128"/>
      <c r="P201" s="128"/>
      <c r="Q201" s="128"/>
      <c r="R201" s="128"/>
      <c r="S201" s="128"/>
      <c r="T201" s="128"/>
    </row>
    <row r="202" spans="4:20" ht="15.6">
      <c r="D202" s="128"/>
      <c r="E202" s="128"/>
      <c r="F202" s="128"/>
      <c r="G202" s="128"/>
      <c r="H202" s="128"/>
      <c r="I202" s="128"/>
      <c r="J202" s="128"/>
      <c r="K202" s="128"/>
      <c r="L202" s="128"/>
      <c r="M202" s="128"/>
      <c r="N202" s="128"/>
      <c r="O202" s="128"/>
      <c r="P202" s="128"/>
      <c r="Q202" s="128"/>
      <c r="R202" s="128"/>
      <c r="S202" s="128"/>
      <c r="T202" s="128"/>
    </row>
    <row r="203" spans="4:20" ht="15.6">
      <c r="D203" s="128"/>
      <c r="E203" s="128"/>
      <c r="F203" s="128"/>
      <c r="G203" s="128"/>
      <c r="H203" s="128"/>
      <c r="I203" s="128"/>
      <c r="J203" s="128"/>
      <c r="K203" s="128"/>
      <c r="L203" s="128"/>
      <c r="M203" s="128"/>
      <c r="N203" s="128"/>
      <c r="O203" s="128"/>
      <c r="P203" s="128"/>
      <c r="Q203" s="128"/>
      <c r="R203" s="128"/>
      <c r="S203" s="128"/>
      <c r="T203" s="128"/>
    </row>
    <row r="204" spans="4:20" ht="15.6">
      <c r="D204" s="128"/>
      <c r="E204" s="128"/>
      <c r="F204" s="128"/>
      <c r="G204" s="128"/>
      <c r="H204" s="128"/>
      <c r="I204" s="128"/>
      <c r="J204" s="128"/>
      <c r="K204" s="128"/>
      <c r="L204" s="128"/>
      <c r="M204" s="128"/>
      <c r="N204" s="128"/>
      <c r="O204" s="128"/>
      <c r="P204" s="128"/>
      <c r="Q204" s="128"/>
      <c r="R204" s="128"/>
      <c r="S204" s="128"/>
      <c r="T204" s="128"/>
    </row>
    <row r="205" spans="4:20" ht="15.6">
      <c r="D205" s="128"/>
      <c r="E205" s="128"/>
      <c r="F205" s="128"/>
      <c r="G205" s="128"/>
      <c r="H205" s="128"/>
      <c r="I205" s="128"/>
      <c r="J205" s="128"/>
      <c r="K205" s="128"/>
      <c r="L205" s="128"/>
      <c r="M205" s="128"/>
      <c r="N205" s="128"/>
      <c r="O205" s="128"/>
      <c r="P205" s="128"/>
      <c r="Q205" s="128"/>
      <c r="R205" s="128"/>
      <c r="S205" s="128"/>
      <c r="T205" s="128"/>
    </row>
    <row r="206" spans="4:20" ht="15.6">
      <c r="D206" s="128"/>
      <c r="E206" s="128"/>
      <c r="F206" s="128"/>
      <c r="G206" s="128"/>
      <c r="H206" s="128"/>
      <c r="I206" s="128"/>
      <c r="J206" s="128"/>
      <c r="K206" s="128"/>
      <c r="L206" s="128"/>
      <c r="M206" s="128"/>
      <c r="N206" s="128"/>
      <c r="O206" s="128"/>
      <c r="P206" s="128"/>
      <c r="Q206" s="128"/>
      <c r="R206" s="128"/>
      <c r="S206" s="128"/>
      <c r="T206" s="128"/>
    </row>
    <row r="207" spans="4:20" ht="15.6">
      <c r="D207" s="128"/>
      <c r="E207" s="128"/>
      <c r="F207" s="128"/>
      <c r="G207" s="128"/>
      <c r="H207" s="128"/>
      <c r="I207" s="128"/>
      <c r="J207" s="128"/>
      <c r="K207" s="128"/>
      <c r="L207" s="128"/>
      <c r="M207" s="128"/>
      <c r="N207" s="128"/>
      <c r="O207" s="128"/>
      <c r="P207" s="128"/>
      <c r="Q207" s="128"/>
      <c r="R207" s="128"/>
      <c r="S207" s="128"/>
      <c r="T207" s="128"/>
    </row>
    <row r="208" spans="4:20" ht="15.6">
      <c r="D208" s="128"/>
      <c r="E208" s="128"/>
      <c r="F208" s="128"/>
      <c r="G208" s="128"/>
      <c r="H208" s="128"/>
      <c r="I208" s="128"/>
      <c r="J208" s="128"/>
      <c r="K208" s="128"/>
      <c r="L208" s="128"/>
      <c r="M208" s="128"/>
      <c r="N208" s="128"/>
      <c r="O208" s="128"/>
      <c r="P208" s="128"/>
      <c r="Q208" s="128"/>
      <c r="R208" s="128"/>
      <c r="S208" s="128"/>
      <c r="T208" s="128"/>
    </row>
    <row r="209" spans="4:20" ht="15.6">
      <c r="D209" s="128"/>
      <c r="E209" s="128"/>
      <c r="F209" s="128"/>
      <c r="G209" s="128"/>
      <c r="H209" s="128"/>
      <c r="I209" s="128"/>
      <c r="J209" s="128"/>
      <c r="K209" s="128"/>
      <c r="L209" s="128"/>
      <c r="M209" s="128"/>
      <c r="N209" s="128"/>
      <c r="O209" s="128"/>
      <c r="P209" s="128"/>
      <c r="Q209" s="128"/>
      <c r="R209" s="128"/>
      <c r="S209" s="128"/>
      <c r="T209" s="128"/>
    </row>
    <row r="210" spans="4:20" ht="15.6">
      <c r="D210" s="128"/>
      <c r="E210" s="128"/>
      <c r="F210" s="128"/>
      <c r="G210" s="128"/>
      <c r="H210" s="128"/>
      <c r="I210" s="128"/>
      <c r="J210" s="128"/>
      <c r="K210" s="128"/>
      <c r="L210" s="128"/>
      <c r="M210" s="128"/>
      <c r="N210" s="128"/>
      <c r="O210" s="128"/>
      <c r="P210" s="128"/>
      <c r="Q210" s="128"/>
      <c r="R210" s="128"/>
      <c r="S210" s="128"/>
      <c r="T210" s="128"/>
    </row>
    <row r="211" spans="4:20" ht="15.6">
      <c r="D211" s="128"/>
      <c r="E211" s="128"/>
      <c r="F211" s="128"/>
      <c r="G211" s="128"/>
      <c r="H211" s="128"/>
      <c r="I211" s="128"/>
      <c r="J211" s="128"/>
      <c r="K211" s="128"/>
      <c r="L211" s="128"/>
      <c r="M211" s="128"/>
      <c r="N211" s="128"/>
      <c r="O211" s="128"/>
      <c r="P211" s="128"/>
      <c r="Q211" s="128"/>
      <c r="R211" s="128"/>
      <c r="S211" s="128"/>
      <c r="T211" s="128"/>
    </row>
    <row r="212" spans="4:20" ht="15.6">
      <c r="D212" s="128"/>
      <c r="E212" s="128"/>
      <c r="F212" s="128"/>
      <c r="G212" s="128"/>
      <c r="H212" s="128"/>
      <c r="I212" s="128"/>
      <c r="J212" s="128"/>
      <c r="K212" s="128"/>
      <c r="L212" s="128"/>
      <c r="M212" s="128"/>
      <c r="N212" s="128"/>
      <c r="O212" s="128"/>
      <c r="P212" s="128"/>
      <c r="Q212" s="128"/>
      <c r="R212" s="128"/>
      <c r="S212" s="128"/>
      <c r="T212" s="128"/>
    </row>
    <row r="213" spans="4:20" ht="15.6">
      <c r="D213" s="128"/>
      <c r="E213" s="128"/>
      <c r="F213" s="128"/>
      <c r="G213" s="128"/>
      <c r="H213" s="128"/>
      <c r="I213" s="128"/>
      <c r="J213" s="128"/>
      <c r="K213" s="128"/>
      <c r="L213" s="128"/>
      <c r="M213" s="128"/>
      <c r="N213" s="128"/>
      <c r="O213" s="128"/>
      <c r="P213" s="128"/>
      <c r="Q213" s="128"/>
      <c r="R213" s="128"/>
      <c r="S213" s="128"/>
      <c r="T213" s="128"/>
    </row>
    <row r="214" spans="4:20" ht="15.6">
      <c r="D214" s="128"/>
      <c r="E214" s="128"/>
      <c r="F214" s="128"/>
      <c r="G214" s="128"/>
      <c r="H214" s="128"/>
      <c r="I214" s="128"/>
      <c r="J214" s="128"/>
      <c r="K214" s="128"/>
      <c r="L214" s="128"/>
      <c r="M214" s="128"/>
      <c r="N214" s="128"/>
      <c r="O214" s="128"/>
      <c r="P214" s="128"/>
      <c r="Q214" s="128"/>
      <c r="R214" s="128"/>
      <c r="S214" s="128"/>
      <c r="T214" s="128"/>
    </row>
    <row r="215" spans="4:20" ht="15.6">
      <c r="D215" s="128"/>
      <c r="E215" s="128"/>
      <c r="F215" s="128"/>
      <c r="G215" s="128"/>
      <c r="H215" s="128"/>
      <c r="I215" s="128"/>
      <c r="J215" s="128"/>
      <c r="K215" s="128"/>
      <c r="L215" s="128"/>
      <c r="M215" s="128"/>
      <c r="N215" s="128"/>
      <c r="O215" s="128"/>
      <c r="P215" s="128"/>
      <c r="Q215" s="128"/>
      <c r="R215" s="128"/>
      <c r="S215" s="128"/>
      <c r="T215" s="128"/>
    </row>
    <row r="216" spans="4:20" ht="15.6">
      <c r="D216" s="128"/>
      <c r="E216" s="128"/>
      <c r="F216" s="128"/>
      <c r="G216" s="128"/>
      <c r="H216" s="128"/>
      <c r="I216" s="128"/>
      <c r="J216" s="128"/>
      <c r="K216" s="128"/>
      <c r="L216" s="128"/>
      <c r="M216" s="128"/>
      <c r="N216" s="128"/>
      <c r="O216" s="128"/>
      <c r="P216" s="128"/>
      <c r="Q216" s="128"/>
      <c r="R216" s="128"/>
      <c r="S216" s="128"/>
      <c r="T216" s="128"/>
    </row>
    <row r="217" spans="4:20" ht="15.6">
      <c r="D217" s="128"/>
      <c r="E217" s="128"/>
      <c r="F217" s="128"/>
      <c r="G217" s="128"/>
      <c r="H217" s="128"/>
      <c r="I217" s="128"/>
      <c r="J217" s="128"/>
      <c r="K217" s="128"/>
      <c r="L217" s="128"/>
      <c r="M217" s="128"/>
      <c r="N217" s="128"/>
      <c r="O217" s="128"/>
      <c r="P217" s="128"/>
      <c r="Q217" s="128"/>
      <c r="R217" s="128"/>
      <c r="S217" s="128"/>
      <c r="T217" s="128"/>
    </row>
    <row r="218" spans="4:20" ht="15.6">
      <c r="D218" s="128"/>
      <c r="E218" s="128"/>
      <c r="F218" s="128"/>
      <c r="G218" s="128"/>
      <c r="H218" s="128"/>
      <c r="I218" s="128"/>
      <c r="J218" s="128"/>
      <c r="K218" s="128"/>
      <c r="L218" s="128"/>
      <c r="M218" s="128"/>
      <c r="N218" s="128"/>
      <c r="O218" s="128"/>
      <c r="P218" s="128"/>
      <c r="Q218" s="128"/>
      <c r="R218" s="128"/>
      <c r="S218" s="128"/>
      <c r="T218" s="128"/>
    </row>
    <row r="219" spans="4:20" ht="15.6">
      <c r="D219" s="128"/>
      <c r="E219" s="128"/>
      <c r="F219" s="128"/>
      <c r="G219" s="128"/>
      <c r="H219" s="128"/>
      <c r="I219" s="128"/>
      <c r="J219" s="128"/>
      <c r="K219" s="128"/>
      <c r="L219" s="128"/>
      <c r="M219" s="128"/>
      <c r="N219" s="128"/>
      <c r="O219" s="128"/>
      <c r="P219" s="128"/>
      <c r="Q219" s="128"/>
      <c r="R219" s="128"/>
      <c r="S219" s="128"/>
      <c r="T219" s="128"/>
    </row>
    <row r="220" spans="4:20" ht="15.6">
      <c r="D220" s="128"/>
      <c r="E220" s="128"/>
      <c r="F220" s="128"/>
      <c r="G220" s="128"/>
      <c r="H220" s="128"/>
      <c r="I220" s="128"/>
      <c r="J220" s="128"/>
      <c r="K220" s="128"/>
      <c r="L220" s="128"/>
      <c r="M220" s="128"/>
      <c r="N220" s="128"/>
      <c r="O220" s="128"/>
      <c r="P220" s="128"/>
      <c r="Q220" s="128"/>
      <c r="R220" s="128"/>
      <c r="S220" s="128"/>
      <c r="T220" s="128"/>
    </row>
    <row r="221" spans="4:20" ht="15.6">
      <c r="D221" s="128"/>
      <c r="E221" s="128"/>
      <c r="F221" s="128"/>
      <c r="G221" s="128"/>
      <c r="H221" s="128"/>
      <c r="I221" s="128"/>
      <c r="J221" s="128"/>
      <c r="K221" s="128"/>
      <c r="L221" s="128"/>
      <c r="M221" s="128"/>
      <c r="N221" s="128"/>
      <c r="O221" s="128"/>
      <c r="P221" s="128"/>
      <c r="Q221" s="128"/>
      <c r="R221" s="128"/>
      <c r="S221" s="128"/>
      <c r="T221" s="128"/>
    </row>
    <row r="222" spans="4:20" ht="15.6">
      <c r="D222" s="128"/>
      <c r="E222" s="128"/>
      <c r="F222" s="128"/>
      <c r="G222" s="128"/>
      <c r="H222" s="128"/>
      <c r="I222" s="128"/>
      <c r="J222" s="128"/>
      <c r="K222" s="128"/>
      <c r="L222" s="128"/>
      <c r="M222" s="128"/>
      <c r="N222" s="128"/>
      <c r="O222" s="128"/>
      <c r="P222" s="128"/>
      <c r="Q222" s="128"/>
      <c r="R222" s="128"/>
      <c r="S222" s="128"/>
      <c r="T222" s="128"/>
    </row>
    <row r="223" spans="4:20" ht="15.6">
      <c r="D223" s="128"/>
      <c r="E223" s="128"/>
      <c r="F223" s="128"/>
      <c r="G223" s="128"/>
      <c r="H223" s="128"/>
      <c r="I223" s="128"/>
      <c r="J223" s="128"/>
      <c r="K223" s="128"/>
      <c r="L223" s="128"/>
      <c r="M223" s="128"/>
      <c r="N223" s="128"/>
      <c r="O223" s="128"/>
      <c r="P223" s="128"/>
      <c r="Q223" s="128"/>
      <c r="R223" s="128"/>
      <c r="S223" s="128"/>
      <c r="T223" s="128"/>
    </row>
    <row r="224" spans="4:20" ht="15.6">
      <c r="D224" s="128"/>
      <c r="E224" s="128"/>
      <c r="F224" s="128"/>
      <c r="G224" s="128"/>
      <c r="H224" s="128"/>
      <c r="I224" s="128"/>
      <c r="J224" s="128"/>
      <c r="K224" s="128"/>
      <c r="L224" s="128"/>
      <c r="M224" s="128"/>
      <c r="N224" s="128"/>
      <c r="O224" s="128"/>
      <c r="P224" s="128"/>
      <c r="Q224" s="128"/>
      <c r="R224" s="128"/>
      <c r="S224" s="128"/>
      <c r="T224" s="128"/>
    </row>
    <row r="225" spans="4:20" ht="15.6">
      <c r="D225" s="128"/>
      <c r="E225" s="128"/>
      <c r="F225" s="128"/>
      <c r="G225" s="128"/>
      <c r="H225" s="128"/>
      <c r="I225" s="128"/>
      <c r="J225" s="128"/>
      <c r="K225" s="128"/>
      <c r="L225" s="128"/>
      <c r="M225" s="128"/>
      <c r="N225" s="128"/>
      <c r="O225" s="128"/>
      <c r="P225" s="128"/>
      <c r="Q225" s="128"/>
      <c r="R225" s="128"/>
      <c r="S225" s="128"/>
      <c r="T225" s="128"/>
    </row>
    <row r="226" spans="4:20" ht="15.6">
      <c r="D226" s="128"/>
      <c r="E226" s="128"/>
      <c r="F226" s="128"/>
      <c r="G226" s="128"/>
      <c r="H226" s="128"/>
      <c r="I226" s="128"/>
      <c r="J226" s="128"/>
      <c r="K226" s="128"/>
      <c r="L226" s="128"/>
      <c r="M226" s="128"/>
      <c r="N226" s="128"/>
      <c r="O226" s="128"/>
      <c r="P226" s="128"/>
      <c r="Q226" s="128"/>
      <c r="R226" s="128"/>
      <c r="S226" s="128"/>
      <c r="T226" s="128"/>
    </row>
    <row r="227" spans="4:20" ht="15.6">
      <c r="D227" s="128"/>
      <c r="E227" s="128"/>
      <c r="F227" s="128"/>
      <c r="G227" s="128"/>
      <c r="H227" s="128"/>
      <c r="I227" s="128"/>
      <c r="J227" s="128"/>
      <c r="K227" s="128"/>
      <c r="L227" s="128"/>
      <c r="M227" s="128"/>
      <c r="N227" s="128"/>
      <c r="O227" s="128"/>
      <c r="P227" s="128"/>
      <c r="Q227" s="128"/>
      <c r="R227" s="128"/>
      <c r="S227" s="128"/>
      <c r="T227" s="128"/>
    </row>
    <row r="228" spans="4:20" ht="15.6">
      <c r="D228" s="128"/>
      <c r="E228" s="128"/>
      <c r="F228" s="128"/>
      <c r="G228" s="128"/>
      <c r="H228" s="128"/>
      <c r="I228" s="128"/>
      <c r="J228" s="128"/>
      <c r="K228" s="128"/>
      <c r="L228" s="128"/>
      <c r="M228" s="128"/>
      <c r="N228" s="128"/>
      <c r="O228" s="128"/>
      <c r="P228" s="128"/>
      <c r="Q228" s="128"/>
      <c r="R228" s="128"/>
      <c r="S228" s="128"/>
      <c r="T228" s="128"/>
    </row>
    <row r="229" spans="4:20" ht="15.6">
      <c r="D229" s="128"/>
      <c r="E229" s="128"/>
      <c r="F229" s="128"/>
      <c r="G229" s="128"/>
      <c r="H229" s="128"/>
      <c r="I229" s="128"/>
      <c r="J229" s="128"/>
      <c r="K229" s="128"/>
      <c r="L229" s="128"/>
      <c r="M229" s="128"/>
      <c r="N229" s="128"/>
      <c r="O229" s="128"/>
      <c r="P229" s="128"/>
      <c r="Q229" s="128"/>
      <c r="R229" s="128"/>
      <c r="S229" s="128"/>
      <c r="T229" s="128"/>
    </row>
    <row r="230" spans="4:20" ht="15.6">
      <c r="D230" s="128"/>
      <c r="E230" s="128"/>
      <c r="F230" s="128"/>
      <c r="G230" s="128"/>
      <c r="H230" s="128"/>
      <c r="I230" s="128"/>
      <c r="J230" s="128"/>
      <c r="K230" s="128"/>
      <c r="L230" s="128"/>
      <c r="M230" s="128"/>
      <c r="N230" s="128"/>
      <c r="O230" s="128"/>
      <c r="P230" s="128"/>
      <c r="Q230" s="128"/>
      <c r="R230" s="128"/>
      <c r="S230" s="128"/>
      <c r="T230" s="128"/>
    </row>
    <row r="231" spans="4:20" ht="15.6">
      <c r="D231" s="128"/>
      <c r="E231" s="128"/>
      <c r="F231" s="128"/>
      <c r="G231" s="128"/>
      <c r="H231" s="128"/>
      <c r="I231" s="128"/>
      <c r="J231" s="128"/>
      <c r="K231" s="128"/>
      <c r="L231" s="128"/>
      <c r="M231" s="128"/>
      <c r="N231" s="128"/>
      <c r="O231" s="128"/>
      <c r="P231" s="128"/>
      <c r="Q231" s="128"/>
      <c r="R231" s="128"/>
      <c r="S231" s="128"/>
      <c r="T231" s="128"/>
    </row>
    <row r="232" spans="4:20" ht="15.6">
      <c r="D232" s="128"/>
      <c r="E232" s="128"/>
      <c r="F232" s="128"/>
      <c r="G232" s="128"/>
      <c r="H232" s="128"/>
      <c r="I232" s="128"/>
      <c r="J232" s="128"/>
      <c r="K232" s="128"/>
      <c r="L232" s="128"/>
      <c r="M232" s="128"/>
      <c r="N232" s="128"/>
      <c r="O232" s="128"/>
      <c r="P232" s="128"/>
      <c r="Q232" s="128"/>
      <c r="R232" s="128"/>
      <c r="S232" s="128"/>
      <c r="T232" s="128"/>
    </row>
    <row r="233" spans="4:20" ht="15.6">
      <c r="D233" s="128"/>
      <c r="E233" s="128"/>
      <c r="F233" s="128"/>
      <c r="G233" s="128"/>
      <c r="H233" s="128"/>
      <c r="I233" s="128"/>
      <c r="J233" s="128"/>
      <c r="K233" s="128"/>
      <c r="L233" s="128"/>
      <c r="M233" s="128"/>
      <c r="N233" s="128"/>
      <c r="O233" s="128"/>
      <c r="P233" s="128"/>
      <c r="Q233" s="128"/>
      <c r="R233" s="128"/>
      <c r="S233" s="128"/>
      <c r="T233" s="128"/>
    </row>
    <row r="234" spans="4:20" ht="15.6">
      <c r="D234" s="128"/>
      <c r="E234" s="128"/>
      <c r="F234" s="128"/>
      <c r="G234" s="128"/>
      <c r="H234" s="128"/>
      <c r="I234" s="128"/>
      <c r="J234" s="128"/>
      <c r="K234" s="128"/>
      <c r="L234" s="128"/>
      <c r="M234" s="128"/>
      <c r="N234" s="128"/>
      <c r="O234" s="128"/>
      <c r="P234" s="128"/>
      <c r="Q234" s="128"/>
      <c r="R234" s="128"/>
      <c r="S234" s="128"/>
      <c r="T234" s="128"/>
    </row>
    <row r="235" spans="4:20" ht="15.6">
      <c r="D235" s="128"/>
      <c r="E235" s="128"/>
      <c r="F235" s="128"/>
      <c r="G235" s="128"/>
      <c r="H235" s="128"/>
      <c r="I235" s="128"/>
      <c r="J235" s="128"/>
      <c r="K235" s="128"/>
      <c r="L235" s="128"/>
      <c r="M235" s="128"/>
      <c r="N235" s="128"/>
      <c r="O235" s="128"/>
      <c r="P235" s="128"/>
      <c r="Q235" s="128"/>
      <c r="R235" s="128"/>
      <c r="S235" s="128"/>
      <c r="T235" s="128"/>
    </row>
    <row r="236" spans="4:20" ht="15.6">
      <c r="D236" s="128"/>
      <c r="E236" s="128"/>
      <c r="F236" s="128"/>
      <c r="G236" s="128"/>
      <c r="H236" s="128"/>
      <c r="I236" s="128"/>
      <c r="J236" s="128"/>
      <c r="K236" s="128"/>
      <c r="L236" s="128"/>
      <c r="M236" s="128"/>
      <c r="N236" s="128"/>
      <c r="O236" s="128"/>
      <c r="P236" s="128"/>
      <c r="Q236" s="128"/>
      <c r="R236" s="128"/>
      <c r="S236" s="128"/>
      <c r="T236" s="128"/>
    </row>
    <row r="237" spans="4:20" ht="15.6">
      <c r="D237" s="128"/>
      <c r="E237" s="128"/>
      <c r="F237" s="128"/>
      <c r="G237" s="128"/>
      <c r="H237" s="128"/>
      <c r="I237" s="128"/>
      <c r="J237" s="128"/>
      <c r="K237" s="128"/>
      <c r="L237" s="128"/>
      <c r="M237" s="128"/>
      <c r="N237" s="128"/>
      <c r="O237" s="128"/>
      <c r="P237" s="128"/>
      <c r="Q237" s="128"/>
      <c r="R237" s="128"/>
      <c r="S237" s="128"/>
      <c r="T237" s="128"/>
    </row>
    <row r="238" spans="4:20" ht="15.6">
      <c r="D238" s="128"/>
      <c r="E238" s="128"/>
      <c r="F238" s="128"/>
      <c r="G238" s="128"/>
      <c r="H238" s="128"/>
      <c r="I238" s="128"/>
      <c r="J238" s="128"/>
      <c r="K238" s="128"/>
      <c r="L238" s="128"/>
      <c r="M238" s="128"/>
      <c r="N238" s="128"/>
      <c r="O238" s="128"/>
      <c r="P238" s="128"/>
      <c r="Q238" s="128"/>
      <c r="R238" s="128"/>
      <c r="S238" s="128"/>
      <c r="T238" s="128"/>
    </row>
    <row r="239" spans="4:20" ht="15.6">
      <c r="D239" s="128"/>
      <c r="E239" s="128"/>
      <c r="F239" s="128"/>
      <c r="G239" s="128"/>
      <c r="H239" s="128"/>
      <c r="I239" s="128"/>
      <c r="J239" s="128"/>
      <c r="K239" s="128"/>
      <c r="L239" s="128"/>
      <c r="M239" s="128"/>
      <c r="N239" s="128"/>
      <c r="O239" s="128"/>
      <c r="P239" s="128"/>
      <c r="Q239" s="128"/>
      <c r="R239" s="128"/>
      <c r="S239" s="128"/>
      <c r="T239" s="128"/>
    </row>
    <row r="240" spans="4:20" ht="15.6">
      <c r="D240" s="128"/>
      <c r="E240" s="128"/>
      <c r="F240" s="128"/>
      <c r="G240" s="128"/>
      <c r="H240" s="128"/>
      <c r="I240" s="128"/>
      <c r="J240" s="128"/>
      <c r="K240" s="128"/>
      <c r="L240" s="128"/>
      <c r="M240" s="128"/>
      <c r="N240" s="128"/>
      <c r="O240" s="128"/>
      <c r="P240" s="128"/>
      <c r="Q240" s="128"/>
      <c r="R240" s="128"/>
      <c r="S240" s="128"/>
      <c r="T240" s="128"/>
    </row>
    <row r="241" spans="4:20" ht="15.6">
      <c r="D241" s="128"/>
      <c r="E241" s="128"/>
      <c r="F241" s="128"/>
      <c r="G241" s="128"/>
      <c r="H241" s="128"/>
      <c r="I241" s="128"/>
      <c r="J241" s="128"/>
      <c r="K241" s="128"/>
      <c r="L241" s="128"/>
      <c r="M241" s="128"/>
      <c r="N241" s="128"/>
      <c r="O241" s="128"/>
      <c r="P241" s="128"/>
      <c r="Q241" s="128"/>
      <c r="R241" s="128"/>
      <c r="S241" s="128"/>
      <c r="T241" s="128"/>
    </row>
    <row r="242" spans="4:20" ht="15.6">
      <c r="D242" s="128"/>
      <c r="E242" s="128"/>
      <c r="F242" s="128"/>
      <c r="G242" s="128"/>
      <c r="H242" s="128"/>
      <c r="I242" s="128"/>
      <c r="J242" s="128"/>
      <c r="K242" s="128"/>
      <c r="L242" s="128"/>
      <c r="M242" s="128"/>
      <c r="N242" s="128"/>
      <c r="O242" s="128"/>
      <c r="P242" s="128"/>
      <c r="Q242" s="128"/>
      <c r="R242" s="128"/>
      <c r="S242" s="128"/>
      <c r="T242" s="128"/>
    </row>
    <row r="243" spans="4:20" ht="15.6">
      <c r="D243" s="128"/>
      <c r="E243" s="128"/>
      <c r="F243" s="128"/>
      <c r="G243" s="128"/>
      <c r="H243" s="128"/>
      <c r="I243" s="128"/>
      <c r="J243" s="128"/>
      <c r="K243" s="128"/>
      <c r="L243" s="128"/>
      <c r="M243" s="128"/>
      <c r="N243" s="128"/>
      <c r="O243" s="128"/>
      <c r="P243" s="128"/>
      <c r="Q243" s="128"/>
      <c r="R243" s="128"/>
      <c r="S243" s="128"/>
      <c r="T243" s="128"/>
    </row>
    <row r="244" spans="4:20" ht="15.6">
      <c r="D244" s="128"/>
      <c r="E244" s="128"/>
      <c r="F244" s="128"/>
      <c r="G244" s="128"/>
      <c r="H244" s="128"/>
      <c r="I244" s="128"/>
      <c r="J244" s="128"/>
      <c r="K244" s="128"/>
      <c r="L244" s="128"/>
      <c r="M244" s="128"/>
      <c r="N244" s="128"/>
      <c r="O244" s="128"/>
      <c r="P244" s="128"/>
      <c r="Q244" s="128"/>
      <c r="R244" s="128"/>
      <c r="S244" s="128"/>
      <c r="T244" s="128"/>
    </row>
    <row r="245" spans="4:20" ht="15.6">
      <c r="D245" s="128"/>
      <c r="E245" s="128"/>
      <c r="F245" s="128"/>
      <c r="G245" s="128"/>
      <c r="H245" s="128"/>
      <c r="I245" s="128"/>
      <c r="J245" s="128"/>
      <c r="K245" s="128"/>
      <c r="L245" s="128"/>
      <c r="M245" s="128"/>
      <c r="N245" s="128"/>
      <c r="O245" s="128"/>
      <c r="P245" s="128"/>
      <c r="Q245" s="128"/>
      <c r="R245" s="128"/>
      <c r="S245" s="128"/>
      <c r="T245" s="128"/>
    </row>
    <row r="246" spans="4:20" ht="15.6">
      <c r="D246" s="128"/>
      <c r="E246" s="128"/>
      <c r="F246" s="128"/>
      <c r="G246" s="128"/>
      <c r="H246" s="128"/>
      <c r="I246" s="128"/>
      <c r="J246" s="128"/>
      <c r="K246" s="128"/>
      <c r="L246" s="128"/>
      <c r="M246" s="128"/>
      <c r="N246" s="128"/>
      <c r="O246" s="128"/>
      <c r="P246" s="128"/>
      <c r="Q246" s="128"/>
      <c r="R246" s="128"/>
      <c r="S246" s="128"/>
      <c r="T246" s="128"/>
    </row>
    <row r="247" spans="4:20" ht="15.6">
      <c r="D247" s="128"/>
      <c r="E247" s="128"/>
      <c r="F247" s="128"/>
      <c r="G247" s="128"/>
      <c r="H247" s="128"/>
      <c r="I247" s="128"/>
      <c r="J247" s="128"/>
      <c r="K247" s="128"/>
      <c r="L247" s="128"/>
      <c r="M247" s="128"/>
      <c r="N247" s="128"/>
      <c r="O247" s="128"/>
      <c r="P247" s="128"/>
      <c r="Q247" s="128"/>
      <c r="R247" s="128"/>
      <c r="S247" s="128"/>
      <c r="T247" s="128"/>
    </row>
    <row r="248" spans="4:20" ht="15.6">
      <c r="D248" s="128"/>
      <c r="E248" s="128"/>
      <c r="F248" s="128"/>
      <c r="G248" s="128"/>
      <c r="H248" s="128"/>
      <c r="I248" s="128"/>
      <c r="J248" s="128"/>
      <c r="K248" s="128"/>
      <c r="L248" s="128"/>
      <c r="M248" s="128"/>
      <c r="N248" s="128"/>
      <c r="O248" s="128"/>
      <c r="P248" s="128"/>
      <c r="Q248" s="128"/>
      <c r="R248" s="128"/>
      <c r="S248" s="128"/>
      <c r="T248" s="128"/>
    </row>
    <row r="249" spans="4:20" ht="15.6">
      <c r="D249" s="128"/>
      <c r="E249" s="128"/>
      <c r="F249" s="128"/>
      <c r="G249" s="128"/>
      <c r="H249" s="128"/>
      <c r="I249" s="128"/>
      <c r="J249" s="128"/>
      <c r="K249" s="128"/>
      <c r="L249" s="128"/>
      <c r="M249" s="128"/>
      <c r="N249" s="128"/>
      <c r="O249" s="128"/>
      <c r="P249" s="128"/>
      <c r="Q249" s="128"/>
      <c r="R249" s="128"/>
      <c r="S249" s="128"/>
      <c r="T249" s="128"/>
    </row>
    <row r="250" spans="4:20" ht="15.6">
      <c r="D250" s="128"/>
      <c r="E250" s="128"/>
      <c r="F250" s="128"/>
      <c r="G250" s="128"/>
      <c r="H250" s="128"/>
      <c r="I250" s="128"/>
      <c r="J250" s="128"/>
      <c r="K250" s="128"/>
      <c r="L250" s="128"/>
      <c r="M250" s="128"/>
      <c r="N250" s="128"/>
      <c r="O250" s="128"/>
      <c r="P250" s="128"/>
      <c r="Q250" s="128"/>
      <c r="R250" s="128"/>
      <c r="S250" s="128"/>
      <c r="T250" s="128"/>
    </row>
    <row r="251" spans="4:20" ht="15.6">
      <c r="D251" s="128"/>
      <c r="E251" s="128"/>
      <c r="F251" s="128"/>
      <c r="G251" s="128"/>
      <c r="H251" s="128"/>
      <c r="I251" s="128"/>
      <c r="J251" s="128"/>
      <c r="K251" s="128"/>
      <c r="L251" s="128"/>
      <c r="M251" s="128"/>
      <c r="N251" s="128"/>
      <c r="O251" s="128"/>
      <c r="P251" s="128"/>
      <c r="Q251" s="128"/>
      <c r="R251" s="128"/>
      <c r="S251" s="128"/>
      <c r="T251" s="128"/>
    </row>
    <row r="252" spans="4:20" ht="15.6">
      <c r="D252" s="128"/>
      <c r="E252" s="128"/>
      <c r="F252" s="128"/>
      <c r="G252" s="128"/>
      <c r="H252" s="128"/>
      <c r="I252" s="128"/>
      <c r="J252" s="128"/>
      <c r="K252" s="128"/>
      <c r="L252" s="128"/>
      <c r="M252" s="128"/>
      <c r="N252" s="128"/>
      <c r="O252" s="128"/>
      <c r="P252" s="128"/>
      <c r="Q252" s="128"/>
      <c r="R252" s="128"/>
      <c r="S252" s="128"/>
      <c r="T252" s="128"/>
    </row>
    <row r="253" spans="4:20" ht="15.6">
      <c r="D253" s="128"/>
      <c r="E253" s="128"/>
      <c r="F253" s="128"/>
      <c r="G253" s="128"/>
      <c r="H253" s="128"/>
      <c r="I253" s="128"/>
      <c r="J253" s="128"/>
      <c r="K253" s="128"/>
      <c r="L253" s="128"/>
      <c r="M253" s="128"/>
      <c r="N253" s="128"/>
      <c r="O253" s="128"/>
      <c r="P253" s="128"/>
      <c r="Q253" s="128"/>
      <c r="R253" s="128"/>
      <c r="S253" s="128"/>
      <c r="T253" s="128"/>
    </row>
    <row r="254" spans="4:20" ht="15.6">
      <c r="D254" s="128"/>
      <c r="E254" s="128"/>
      <c r="F254" s="128"/>
      <c r="G254" s="128"/>
      <c r="H254" s="128"/>
      <c r="I254" s="128"/>
      <c r="J254" s="128"/>
      <c r="K254" s="128"/>
      <c r="L254" s="128"/>
      <c r="M254" s="128"/>
      <c r="N254" s="128"/>
      <c r="O254" s="128"/>
      <c r="P254" s="128"/>
      <c r="Q254" s="128"/>
      <c r="R254" s="128"/>
      <c r="S254" s="128"/>
      <c r="T254" s="128"/>
    </row>
    <row r="255" spans="4:20" ht="15.6">
      <c r="D255" s="128"/>
      <c r="E255" s="128"/>
      <c r="F255" s="128"/>
      <c r="G255" s="128"/>
      <c r="H255" s="128"/>
      <c r="I255" s="128"/>
      <c r="J255" s="128"/>
      <c r="K255" s="128"/>
      <c r="L255" s="128"/>
      <c r="M255" s="128"/>
      <c r="N255" s="128"/>
      <c r="O255" s="128"/>
      <c r="P255" s="128"/>
      <c r="Q255" s="128"/>
      <c r="R255" s="128"/>
      <c r="S255" s="128"/>
      <c r="T255" s="128"/>
    </row>
    <row r="256" spans="4:20" ht="15.6">
      <c r="D256" s="128"/>
      <c r="E256" s="128"/>
      <c r="F256" s="128"/>
      <c r="G256" s="128"/>
      <c r="H256" s="128"/>
      <c r="I256" s="128"/>
      <c r="J256" s="128"/>
      <c r="K256" s="128"/>
      <c r="L256" s="128"/>
      <c r="M256" s="128"/>
      <c r="N256" s="128"/>
      <c r="O256" s="128"/>
      <c r="P256" s="128"/>
      <c r="Q256" s="128"/>
      <c r="R256" s="128"/>
      <c r="S256" s="128"/>
      <c r="T256" s="128"/>
    </row>
    <row r="257" spans="4:20" ht="15.6">
      <c r="D257" s="128"/>
      <c r="E257" s="128"/>
      <c r="F257" s="128"/>
      <c r="G257" s="128"/>
      <c r="H257" s="128"/>
      <c r="I257" s="128"/>
      <c r="J257" s="128"/>
      <c r="K257" s="128"/>
      <c r="L257" s="128"/>
      <c r="M257" s="128"/>
      <c r="N257" s="128"/>
      <c r="O257" s="128"/>
      <c r="P257" s="128"/>
      <c r="Q257" s="128"/>
      <c r="R257" s="128"/>
      <c r="S257" s="128"/>
      <c r="T257" s="128"/>
    </row>
    <row r="258" spans="4:20" ht="15.6">
      <c r="D258" s="128"/>
      <c r="E258" s="128"/>
      <c r="F258" s="128"/>
      <c r="G258" s="128"/>
      <c r="H258" s="128"/>
      <c r="I258" s="128"/>
      <c r="J258" s="128"/>
      <c r="K258" s="128"/>
      <c r="L258" s="128"/>
      <c r="M258" s="128"/>
      <c r="N258" s="128"/>
      <c r="O258" s="128"/>
      <c r="P258" s="128"/>
      <c r="Q258" s="128"/>
      <c r="R258" s="128"/>
      <c r="S258" s="128"/>
      <c r="T258" s="128"/>
    </row>
    <row r="259" spans="4:20" ht="15.6">
      <c r="D259" s="128"/>
      <c r="E259" s="128"/>
      <c r="F259" s="128"/>
      <c r="G259" s="128"/>
      <c r="H259" s="128"/>
      <c r="I259" s="128"/>
      <c r="J259" s="128"/>
      <c r="K259" s="128"/>
      <c r="L259" s="128"/>
      <c r="M259" s="128"/>
      <c r="N259" s="128"/>
      <c r="O259" s="128"/>
      <c r="P259" s="128"/>
      <c r="Q259" s="128"/>
      <c r="R259" s="128"/>
      <c r="S259" s="128"/>
      <c r="T259" s="128"/>
    </row>
    <row r="260" spans="4:20" ht="15.6">
      <c r="D260" s="128"/>
      <c r="E260" s="128"/>
      <c r="F260" s="128"/>
      <c r="G260" s="128"/>
      <c r="H260" s="128"/>
      <c r="I260" s="128"/>
      <c r="J260" s="128"/>
      <c r="K260" s="128"/>
      <c r="L260" s="128"/>
      <c r="M260" s="128"/>
      <c r="N260" s="128"/>
      <c r="O260" s="128"/>
      <c r="P260" s="128"/>
      <c r="Q260" s="128"/>
      <c r="R260" s="128"/>
      <c r="S260" s="128"/>
      <c r="T260" s="128"/>
    </row>
    <row r="261" spans="4:20" ht="15.6">
      <c r="D261" s="128"/>
      <c r="E261" s="128"/>
      <c r="F261" s="128"/>
      <c r="G261" s="128"/>
      <c r="H261" s="128"/>
      <c r="I261" s="128"/>
      <c r="J261" s="128"/>
      <c r="K261" s="128"/>
      <c r="L261" s="128"/>
      <c r="M261" s="128"/>
      <c r="N261" s="128"/>
      <c r="O261" s="128"/>
      <c r="P261" s="128"/>
      <c r="Q261" s="128"/>
      <c r="R261" s="128"/>
      <c r="S261" s="128"/>
      <c r="T261" s="128"/>
    </row>
    <row r="262" spans="4:20" ht="15.6">
      <c r="D262" s="128"/>
      <c r="E262" s="128"/>
      <c r="F262" s="128"/>
      <c r="G262" s="128"/>
      <c r="H262" s="128"/>
      <c r="I262" s="128"/>
      <c r="J262" s="128"/>
      <c r="K262" s="128"/>
      <c r="L262" s="128"/>
      <c r="M262" s="128"/>
      <c r="N262" s="128"/>
      <c r="O262" s="128"/>
      <c r="P262" s="128"/>
      <c r="Q262" s="128"/>
      <c r="R262" s="128"/>
      <c r="S262" s="128"/>
      <c r="T262" s="128"/>
    </row>
    <row r="263" spans="4:20" ht="15.6">
      <c r="D263" s="128"/>
      <c r="E263" s="128"/>
      <c r="F263" s="128"/>
      <c r="G263" s="128"/>
      <c r="H263" s="128"/>
      <c r="I263" s="128"/>
      <c r="J263" s="128"/>
      <c r="K263" s="128"/>
      <c r="L263" s="128"/>
      <c r="M263" s="128"/>
      <c r="N263" s="128"/>
      <c r="O263" s="128"/>
      <c r="P263" s="128"/>
      <c r="Q263" s="128"/>
      <c r="R263" s="128"/>
      <c r="S263" s="128"/>
      <c r="T263" s="128"/>
    </row>
    <row r="264" spans="4:20" ht="15.6">
      <c r="D264" s="128"/>
      <c r="E264" s="128"/>
      <c r="F264" s="128"/>
      <c r="G264" s="128"/>
      <c r="H264" s="128"/>
      <c r="I264" s="128"/>
      <c r="J264" s="128"/>
      <c r="K264" s="128"/>
      <c r="L264" s="128"/>
      <c r="M264" s="128"/>
      <c r="N264" s="128"/>
      <c r="O264" s="128"/>
      <c r="P264" s="128"/>
      <c r="Q264" s="128"/>
      <c r="R264" s="128"/>
      <c r="S264" s="128"/>
      <c r="T264" s="128"/>
    </row>
    <row r="265" spans="4:20" ht="15.6">
      <c r="D265" s="128"/>
      <c r="E265" s="128"/>
      <c r="F265" s="128"/>
      <c r="G265" s="128"/>
      <c r="H265" s="128"/>
      <c r="I265" s="128"/>
      <c r="J265" s="128"/>
      <c r="K265" s="128"/>
      <c r="L265" s="128"/>
      <c r="M265" s="128"/>
      <c r="N265" s="128"/>
      <c r="O265" s="128"/>
      <c r="P265" s="128"/>
      <c r="Q265" s="128"/>
      <c r="R265" s="128"/>
      <c r="S265" s="128"/>
      <c r="T265" s="128"/>
    </row>
    <row r="266" spans="4:20" ht="15.6">
      <c r="D266" s="128"/>
      <c r="E266" s="128"/>
      <c r="F266" s="128"/>
      <c r="G266" s="128"/>
      <c r="H266" s="128"/>
      <c r="I266" s="128"/>
      <c r="J266" s="128"/>
      <c r="K266" s="128"/>
      <c r="L266" s="128"/>
      <c r="M266" s="128"/>
      <c r="N266" s="128"/>
      <c r="O266" s="128"/>
      <c r="P266" s="128"/>
      <c r="Q266" s="128"/>
      <c r="R266" s="128"/>
      <c r="S266" s="128"/>
      <c r="T266" s="128"/>
    </row>
    <row r="267" spans="4:20" ht="15.6">
      <c r="D267" s="128"/>
      <c r="E267" s="128"/>
      <c r="F267" s="128"/>
      <c r="G267" s="128"/>
      <c r="H267" s="128"/>
      <c r="I267" s="128"/>
      <c r="J267" s="128"/>
      <c r="K267" s="128"/>
      <c r="L267" s="128"/>
      <c r="M267" s="128"/>
      <c r="N267" s="128"/>
      <c r="O267" s="128"/>
      <c r="P267" s="128"/>
      <c r="Q267" s="128"/>
      <c r="R267" s="128"/>
      <c r="S267" s="128"/>
      <c r="T267" s="128"/>
    </row>
    <row r="268" spans="4:20" ht="15.6">
      <c r="D268" s="128"/>
      <c r="E268" s="128"/>
      <c r="F268" s="128"/>
      <c r="G268" s="128"/>
      <c r="H268" s="128"/>
      <c r="I268" s="128"/>
      <c r="J268" s="128"/>
      <c r="K268" s="128"/>
      <c r="L268" s="128"/>
      <c r="M268" s="128"/>
      <c r="N268" s="128"/>
      <c r="O268" s="128"/>
      <c r="P268" s="128"/>
      <c r="Q268" s="128"/>
      <c r="R268" s="128"/>
      <c r="S268" s="128"/>
      <c r="T268" s="128"/>
    </row>
    <row r="269" spans="4:20" ht="15.6">
      <c r="D269" s="128"/>
      <c r="E269" s="128"/>
      <c r="F269" s="128"/>
      <c r="G269" s="128"/>
      <c r="H269" s="128"/>
      <c r="I269" s="128"/>
      <c r="J269" s="128"/>
      <c r="K269" s="128"/>
      <c r="L269" s="128"/>
      <c r="M269" s="128"/>
      <c r="N269" s="128"/>
      <c r="O269" s="128"/>
      <c r="P269" s="128"/>
      <c r="Q269" s="128"/>
      <c r="R269" s="128"/>
      <c r="S269" s="128"/>
      <c r="T269" s="128"/>
    </row>
    <row r="270" spans="4:20" ht="15.6">
      <c r="D270" s="128"/>
      <c r="E270" s="128"/>
      <c r="F270" s="128"/>
      <c r="G270" s="128"/>
      <c r="H270" s="128"/>
      <c r="I270" s="128"/>
      <c r="J270" s="128"/>
      <c r="K270" s="128"/>
      <c r="L270" s="128"/>
      <c r="M270" s="128"/>
      <c r="N270" s="128"/>
      <c r="O270" s="128"/>
      <c r="P270" s="128"/>
      <c r="Q270" s="128"/>
      <c r="R270" s="128"/>
      <c r="S270" s="128"/>
      <c r="T270" s="128"/>
    </row>
    <row r="271" spans="4:20" ht="15.6">
      <c r="D271" s="128"/>
      <c r="E271" s="128"/>
      <c r="F271" s="128"/>
      <c r="G271" s="128"/>
      <c r="H271" s="128"/>
      <c r="I271" s="128"/>
      <c r="J271" s="128"/>
      <c r="K271" s="128"/>
      <c r="L271" s="128"/>
      <c r="M271" s="128"/>
      <c r="N271" s="128"/>
      <c r="O271" s="128"/>
      <c r="P271" s="128"/>
      <c r="Q271" s="128"/>
      <c r="R271" s="128"/>
      <c r="S271" s="128"/>
      <c r="T271" s="128"/>
    </row>
    <row r="272" spans="4:20" ht="15.6">
      <c r="D272" s="128"/>
      <c r="E272" s="128"/>
      <c r="F272" s="128"/>
      <c r="G272" s="128"/>
      <c r="H272" s="128"/>
      <c r="I272" s="128"/>
      <c r="J272" s="128"/>
      <c r="K272" s="128"/>
      <c r="L272" s="128"/>
      <c r="M272" s="128"/>
      <c r="N272" s="128"/>
      <c r="O272" s="128"/>
      <c r="P272" s="128"/>
      <c r="Q272" s="128"/>
      <c r="R272" s="128"/>
      <c r="S272" s="128"/>
      <c r="T272" s="128"/>
    </row>
    <row r="273" spans="4:20" ht="15.6">
      <c r="D273" s="128"/>
      <c r="E273" s="128"/>
      <c r="F273" s="128"/>
      <c r="G273" s="128"/>
      <c r="H273" s="128"/>
      <c r="I273" s="128"/>
      <c r="J273" s="128"/>
      <c r="K273" s="128"/>
      <c r="L273" s="128"/>
      <c r="M273" s="128"/>
      <c r="N273" s="128"/>
      <c r="O273" s="128"/>
      <c r="P273" s="128"/>
      <c r="Q273" s="128"/>
      <c r="R273" s="128"/>
      <c r="S273" s="128"/>
      <c r="T273" s="128"/>
    </row>
    <row r="274" spans="4:20" ht="15.6">
      <c r="D274" s="128"/>
      <c r="E274" s="128"/>
      <c r="F274" s="128"/>
      <c r="G274" s="128"/>
      <c r="H274" s="128"/>
      <c r="I274" s="128"/>
      <c r="J274" s="128"/>
      <c r="K274" s="128"/>
      <c r="L274" s="128"/>
      <c r="M274" s="128"/>
      <c r="N274" s="128"/>
      <c r="O274" s="128"/>
      <c r="P274" s="128"/>
      <c r="Q274" s="128"/>
      <c r="R274" s="128"/>
      <c r="S274" s="128"/>
      <c r="T274" s="128"/>
    </row>
    <row r="275" spans="4:20" ht="15.6">
      <c r="D275" s="128"/>
      <c r="E275" s="128"/>
      <c r="F275" s="128"/>
      <c r="G275" s="128"/>
      <c r="H275" s="128"/>
      <c r="I275" s="128"/>
      <c r="J275" s="128"/>
      <c r="K275" s="128"/>
      <c r="L275" s="128"/>
      <c r="M275" s="128"/>
      <c r="N275" s="128"/>
      <c r="O275" s="128"/>
      <c r="P275" s="128"/>
      <c r="Q275" s="128"/>
      <c r="R275" s="128"/>
      <c r="S275" s="128"/>
      <c r="T275" s="128"/>
    </row>
    <row r="276" spans="4:20" ht="15.6">
      <c r="D276" s="128"/>
      <c r="E276" s="128"/>
      <c r="F276" s="128"/>
      <c r="G276" s="128"/>
      <c r="H276" s="128"/>
      <c r="I276" s="128"/>
      <c r="J276" s="128"/>
      <c r="K276" s="128"/>
      <c r="L276" s="128"/>
      <c r="M276" s="128"/>
      <c r="N276" s="128"/>
      <c r="O276" s="128"/>
      <c r="P276" s="128"/>
      <c r="Q276" s="128"/>
      <c r="R276" s="128"/>
      <c r="S276" s="128"/>
      <c r="T276" s="128"/>
    </row>
    <row r="277" spans="4:20" ht="15.6">
      <c r="D277" s="128"/>
      <c r="E277" s="128"/>
      <c r="F277" s="128"/>
      <c r="G277" s="128"/>
      <c r="H277" s="128"/>
      <c r="I277" s="128"/>
      <c r="J277" s="128"/>
      <c r="K277" s="128"/>
      <c r="L277" s="128"/>
      <c r="M277" s="128"/>
      <c r="N277" s="128"/>
      <c r="O277" s="128"/>
      <c r="P277" s="128"/>
      <c r="Q277" s="128"/>
      <c r="R277" s="128"/>
      <c r="S277" s="128"/>
      <c r="T277" s="128"/>
    </row>
    <row r="278" spans="4:20" ht="15.6">
      <c r="D278" s="128"/>
      <c r="E278" s="128"/>
      <c r="F278" s="128"/>
      <c r="G278" s="128"/>
      <c r="H278" s="128"/>
      <c r="I278" s="128"/>
      <c r="J278" s="128"/>
      <c r="K278" s="128"/>
      <c r="L278" s="128"/>
      <c r="M278" s="128"/>
      <c r="N278" s="128"/>
      <c r="O278" s="128"/>
      <c r="P278" s="128"/>
      <c r="Q278" s="128"/>
      <c r="R278" s="128"/>
      <c r="S278" s="128"/>
      <c r="T278" s="128"/>
    </row>
    <row r="279" spans="4:20" ht="15.6">
      <c r="D279" s="128"/>
      <c r="E279" s="128"/>
      <c r="F279" s="128"/>
      <c r="G279" s="128"/>
      <c r="H279" s="128"/>
      <c r="I279" s="128"/>
      <c r="J279" s="128"/>
      <c r="K279" s="128"/>
      <c r="L279" s="128"/>
      <c r="M279" s="128"/>
      <c r="N279" s="128"/>
      <c r="O279" s="128"/>
      <c r="P279" s="128"/>
      <c r="Q279" s="128"/>
      <c r="R279" s="128"/>
      <c r="S279" s="128"/>
      <c r="T279" s="128"/>
    </row>
    <row r="280" spans="4:20" ht="15.6">
      <c r="D280" s="128"/>
      <c r="E280" s="128"/>
      <c r="F280" s="128"/>
      <c r="G280" s="128"/>
      <c r="H280" s="128"/>
      <c r="I280" s="128"/>
      <c r="J280" s="128"/>
      <c r="K280" s="128"/>
      <c r="L280" s="128"/>
      <c r="M280" s="128"/>
      <c r="N280" s="128"/>
      <c r="O280" s="128"/>
      <c r="P280" s="128"/>
      <c r="Q280" s="128"/>
      <c r="R280" s="128"/>
      <c r="S280" s="128"/>
      <c r="T280" s="128"/>
    </row>
    <row r="281" spans="4:20" ht="15.6">
      <c r="D281" s="128"/>
      <c r="E281" s="128"/>
      <c r="F281" s="128"/>
      <c r="G281" s="128"/>
      <c r="H281" s="128"/>
      <c r="I281" s="128"/>
      <c r="J281" s="128"/>
      <c r="K281" s="128"/>
      <c r="L281" s="128"/>
      <c r="M281" s="128"/>
      <c r="N281" s="128"/>
      <c r="O281" s="128"/>
      <c r="P281" s="128"/>
      <c r="Q281" s="128"/>
      <c r="R281" s="128"/>
      <c r="S281" s="128"/>
      <c r="T281" s="128"/>
    </row>
    <row r="282" spans="4:20" ht="15.6">
      <c r="D282" s="128"/>
      <c r="E282" s="128"/>
      <c r="F282" s="128"/>
      <c r="G282" s="128"/>
      <c r="H282" s="128"/>
      <c r="I282" s="128"/>
      <c r="J282" s="128"/>
      <c r="K282" s="128"/>
      <c r="L282" s="128"/>
      <c r="M282" s="128"/>
      <c r="N282" s="128"/>
      <c r="O282" s="128"/>
      <c r="P282" s="128"/>
      <c r="Q282" s="128"/>
      <c r="R282" s="128"/>
      <c r="S282" s="128"/>
      <c r="T282" s="128"/>
    </row>
    <row r="283" spans="4:20" ht="15.6">
      <c r="D283" s="128"/>
      <c r="E283" s="128"/>
      <c r="F283" s="128"/>
      <c r="G283" s="128"/>
      <c r="H283" s="128"/>
      <c r="I283" s="128"/>
      <c r="J283" s="128"/>
      <c r="K283" s="128"/>
      <c r="L283" s="128"/>
      <c r="M283" s="128"/>
      <c r="N283" s="128"/>
      <c r="O283" s="128"/>
      <c r="P283" s="128"/>
      <c r="Q283" s="128"/>
      <c r="R283" s="128"/>
      <c r="S283" s="128"/>
      <c r="T283" s="128"/>
    </row>
    <row r="284" spans="4:20" ht="15.6">
      <c r="D284" s="128"/>
      <c r="E284" s="128"/>
      <c r="F284" s="128"/>
      <c r="G284" s="128"/>
      <c r="H284" s="128"/>
      <c r="I284" s="128"/>
      <c r="J284" s="128"/>
      <c r="K284" s="128"/>
      <c r="L284" s="128"/>
      <c r="M284" s="128"/>
      <c r="N284" s="128"/>
      <c r="O284" s="128"/>
      <c r="P284" s="128"/>
      <c r="Q284" s="128"/>
      <c r="R284" s="128"/>
      <c r="S284" s="128"/>
      <c r="T284" s="128"/>
    </row>
    <row r="285" spans="4:20" ht="15.6">
      <c r="D285" s="128"/>
      <c r="E285" s="128"/>
      <c r="F285" s="128"/>
      <c r="G285" s="128"/>
      <c r="H285" s="128"/>
      <c r="I285" s="128"/>
      <c r="J285" s="128"/>
      <c r="K285" s="128"/>
      <c r="L285" s="128"/>
      <c r="M285" s="128"/>
      <c r="N285" s="128"/>
      <c r="O285" s="128"/>
      <c r="P285" s="128"/>
      <c r="Q285" s="128"/>
      <c r="R285" s="128"/>
      <c r="S285" s="128"/>
      <c r="T285" s="128"/>
    </row>
    <row r="286" spans="4:20" ht="15.6">
      <c r="D286" s="128"/>
      <c r="E286" s="128"/>
      <c r="F286" s="128"/>
      <c r="G286" s="128"/>
      <c r="H286" s="128"/>
      <c r="I286" s="128"/>
      <c r="J286" s="128"/>
      <c r="K286" s="128"/>
      <c r="L286" s="128"/>
      <c r="M286" s="128"/>
      <c r="N286" s="128"/>
      <c r="O286" s="128"/>
      <c r="P286" s="128"/>
      <c r="Q286" s="128"/>
      <c r="R286" s="128"/>
      <c r="S286" s="128"/>
      <c r="T286" s="128"/>
    </row>
    <row r="287" spans="4:20" ht="15.6">
      <c r="D287" s="128"/>
      <c r="E287" s="128"/>
      <c r="F287" s="128"/>
      <c r="G287" s="128"/>
      <c r="H287" s="128"/>
      <c r="I287" s="128"/>
      <c r="J287" s="128"/>
      <c r="K287" s="128"/>
      <c r="L287" s="128"/>
      <c r="M287" s="128"/>
      <c r="N287" s="128"/>
      <c r="O287" s="128"/>
      <c r="P287" s="128"/>
      <c r="Q287" s="128"/>
      <c r="R287" s="128"/>
      <c r="S287" s="128"/>
      <c r="T287" s="128"/>
    </row>
    <row r="288" spans="4:20" ht="15.6">
      <c r="D288" s="128"/>
      <c r="E288" s="128"/>
      <c r="F288" s="128"/>
      <c r="G288" s="128"/>
      <c r="H288" s="128"/>
      <c r="I288" s="128"/>
      <c r="J288" s="128"/>
      <c r="K288" s="128"/>
      <c r="L288" s="128"/>
      <c r="M288" s="128"/>
      <c r="N288" s="128"/>
      <c r="O288" s="128"/>
      <c r="P288" s="128"/>
      <c r="Q288" s="128"/>
      <c r="R288" s="128"/>
      <c r="S288" s="128"/>
      <c r="T288" s="128"/>
    </row>
    <row r="289" spans="4:20" ht="15.6">
      <c r="D289" s="128"/>
      <c r="E289" s="128"/>
      <c r="F289" s="128"/>
      <c r="G289" s="128"/>
      <c r="H289" s="128"/>
      <c r="I289" s="128"/>
      <c r="J289" s="128"/>
      <c r="K289" s="128"/>
      <c r="L289" s="128"/>
      <c r="M289" s="128"/>
      <c r="N289" s="128"/>
      <c r="O289" s="128"/>
      <c r="P289" s="128"/>
      <c r="Q289" s="128"/>
      <c r="R289" s="128"/>
      <c r="S289" s="128"/>
      <c r="T289" s="128"/>
    </row>
    <row r="290" spans="4:20" ht="15.6">
      <c r="D290" s="128"/>
      <c r="E290" s="128"/>
      <c r="F290" s="128"/>
      <c r="G290" s="128"/>
      <c r="H290" s="128"/>
      <c r="I290" s="128"/>
      <c r="J290" s="128"/>
      <c r="K290" s="128"/>
      <c r="L290" s="128"/>
      <c r="M290" s="128"/>
      <c r="N290" s="128"/>
      <c r="O290" s="128"/>
      <c r="P290" s="128"/>
      <c r="Q290" s="128"/>
      <c r="R290" s="128"/>
      <c r="S290" s="128"/>
      <c r="T290" s="128"/>
    </row>
    <row r="291" spans="4:20" ht="15.6">
      <c r="D291" s="128"/>
      <c r="E291" s="128"/>
      <c r="F291" s="128"/>
      <c r="G291" s="128"/>
      <c r="H291" s="128"/>
      <c r="I291" s="128"/>
      <c r="J291" s="128"/>
      <c r="K291" s="128"/>
      <c r="L291" s="128"/>
      <c r="M291" s="128"/>
      <c r="N291" s="128"/>
      <c r="O291" s="128"/>
      <c r="P291" s="128"/>
      <c r="Q291" s="128"/>
      <c r="R291" s="128"/>
      <c r="S291" s="128"/>
      <c r="T291" s="128"/>
    </row>
    <row r="292" spans="4:20" ht="15.6">
      <c r="D292" s="128"/>
      <c r="E292" s="128"/>
      <c r="F292" s="128"/>
      <c r="G292" s="128"/>
      <c r="H292" s="128"/>
      <c r="I292" s="128"/>
      <c r="J292" s="128"/>
      <c r="K292" s="128"/>
      <c r="L292" s="128"/>
      <c r="M292" s="128"/>
      <c r="N292" s="128"/>
      <c r="O292" s="128"/>
      <c r="P292" s="128"/>
      <c r="Q292" s="128"/>
      <c r="R292" s="128"/>
      <c r="S292" s="128"/>
      <c r="T292" s="128"/>
    </row>
    <row r="293" spans="4:20" ht="15.6">
      <c r="D293" s="128"/>
      <c r="E293" s="128"/>
      <c r="F293" s="128"/>
      <c r="G293" s="128"/>
      <c r="H293" s="128"/>
      <c r="I293" s="128"/>
      <c r="J293" s="128"/>
      <c r="K293" s="128"/>
      <c r="L293" s="128"/>
      <c r="M293" s="128"/>
      <c r="N293" s="128"/>
      <c r="O293" s="128"/>
      <c r="P293" s="128"/>
      <c r="Q293" s="128"/>
      <c r="R293" s="128"/>
      <c r="S293" s="128"/>
      <c r="T293" s="128"/>
    </row>
    <row r="294" spans="4:20" ht="15.6">
      <c r="D294" s="128"/>
      <c r="E294" s="128"/>
      <c r="F294" s="128"/>
      <c r="G294" s="128"/>
      <c r="H294" s="128"/>
      <c r="I294" s="128"/>
      <c r="J294" s="128"/>
      <c r="K294" s="128"/>
      <c r="L294" s="128"/>
      <c r="M294" s="128"/>
      <c r="N294" s="128"/>
      <c r="O294" s="128"/>
      <c r="P294" s="128"/>
      <c r="Q294" s="128"/>
      <c r="R294" s="128"/>
      <c r="S294" s="128"/>
      <c r="T294" s="128"/>
    </row>
    <row r="295" spans="4:20" ht="15.6">
      <c r="D295" s="128"/>
      <c r="E295" s="128"/>
      <c r="F295" s="128"/>
      <c r="G295" s="128"/>
      <c r="H295" s="128"/>
      <c r="I295" s="128"/>
      <c r="J295" s="128"/>
      <c r="K295" s="128"/>
      <c r="L295" s="128"/>
      <c r="M295" s="128"/>
      <c r="N295" s="128"/>
      <c r="O295" s="128"/>
      <c r="P295" s="128"/>
      <c r="Q295" s="128"/>
      <c r="R295" s="128"/>
      <c r="S295" s="128"/>
      <c r="T295" s="128"/>
    </row>
    <row r="296" spans="4:20" ht="15.6">
      <c r="D296" s="128"/>
      <c r="E296" s="128"/>
      <c r="F296" s="128"/>
      <c r="G296" s="128"/>
      <c r="H296" s="128"/>
      <c r="I296" s="128"/>
      <c r="J296" s="128"/>
      <c r="K296" s="128"/>
      <c r="L296" s="128"/>
      <c r="M296" s="128"/>
      <c r="N296" s="128"/>
      <c r="O296" s="128"/>
      <c r="P296" s="128"/>
      <c r="Q296" s="128"/>
      <c r="R296" s="128"/>
      <c r="S296" s="128"/>
      <c r="T296" s="128"/>
    </row>
    <row r="297" spans="4:20" ht="15.6">
      <c r="D297" s="128"/>
      <c r="E297" s="128"/>
      <c r="F297" s="128"/>
      <c r="G297" s="128"/>
      <c r="H297" s="128"/>
      <c r="I297" s="128"/>
      <c r="J297" s="128"/>
      <c r="K297" s="128"/>
      <c r="L297" s="128"/>
      <c r="M297" s="128"/>
      <c r="N297" s="128"/>
      <c r="O297" s="128"/>
      <c r="P297" s="128"/>
      <c r="Q297" s="128"/>
      <c r="R297" s="128"/>
      <c r="S297" s="128"/>
      <c r="T297" s="128"/>
    </row>
    <row r="298" spans="4:20" ht="15.6">
      <c r="D298" s="128"/>
      <c r="E298" s="128"/>
      <c r="F298" s="128"/>
      <c r="G298" s="128"/>
      <c r="H298" s="128"/>
      <c r="I298" s="128"/>
      <c r="J298" s="128"/>
      <c r="K298" s="128"/>
      <c r="L298" s="128"/>
      <c r="M298" s="128"/>
      <c r="N298" s="128"/>
      <c r="O298" s="128"/>
      <c r="P298" s="128"/>
      <c r="Q298" s="128"/>
      <c r="R298" s="128"/>
      <c r="S298" s="128"/>
      <c r="T298" s="128"/>
    </row>
    <row r="299" spans="4:20" ht="15.6">
      <c r="D299" s="128"/>
      <c r="E299" s="128"/>
      <c r="F299" s="128"/>
      <c r="G299" s="128"/>
      <c r="H299" s="128"/>
      <c r="I299" s="128"/>
      <c r="J299" s="128"/>
      <c r="K299" s="128"/>
      <c r="L299" s="128"/>
      <c r="M299" s="128"/>
      <c r="N299" s="128"/>
      <c r="O299" s="128"/>
      <c r="P299" s="128"/>
      <c r="Q299" s="128"/>
      <c r="R299" s="128"/>
      <c r="S299" s="128"/>
      <c r="T299" s="128"/>
    </row>
    <row r="300" spans="4:20" ht="15.6">
      <c r="D300" s="128"/>
      <c r="E300" s="128"/>
      <c r="F300" s="128"/>
      <c r="G300" s="128"/>
      <c r="H300" s="128"/>
      <c r="I300" s="128"/>
      <c r="J300" s="128"/>
      <c r="K300" s="128"/>
      <c r="L300" s="128"/>
      <c r="M300" s="128"/>
      <c r="N300" s="128"/>
      <c r="O300" s="128"/>
      <c r="P300" s="128"/>
      <c r="Q300" s="128"/>
      <c r="R300" s="128"/>
      <c r="S300" s="128"/>
      <c r="T300" s="128"/>
    </row>
    <row r="301" spans="4:20" ht="15.6">
      <c r="D301" s="128"/>
      <c r="E301" s="128"/>
      <c r="F301" s="128"/>
      <c r="G301" s="128"/>
      <c r="H301" s="128"/>
      <c r="I301" s="128"/>
      <c r="J301" s="128"/>
      <c r="K301" s="128"/>
      <c r="L301" s="128"/>
      <c r="M301" s="128"/>
      <c r="N301" s="128"/>
      <c r="O301" s="128"/>
      <c r="P301" s="128"/>
      <c r="Q301" s="128"/>
      <c r="R301" s="128"/>
      <c r="S301" s="128"/>
      <c r="T301" s="128"/>
    </row>
    <row r="302" spans="4:20" ht="15.6">
      <c r="D302" s="128"/>
      <c r="E302" s="128"/>
      <c r="F302" s="128"/>
      <c r="G302" s="128"/>
      <c r="H302" s="128"/>
      <c r="I302" s="128"/>
      <c r="J302" s="128"/>
      <c r="K302" s="128"/>
      <c r="L302" s="128"/>
      <c r="M302" s="128"/>
      <c r="N302" s="128"/>
      <c r="O302" s="128"/>
      <c r="P302" s="128"/>
      <c r="Q302" s="128"/>
      <c r="R302" s="128"/>
      <c r="S302" s="128"/>
      <c r="T302" s="128"/>
    </row>
    <row r="303" spans="4:20" ht="15.6">
      <c r="D303" s="128"/>
      <c r="E303" s="128"/>
      <c r="F303" s="128"/>
      <c r="G303" s="128"/>
      <c r="H303" s="128"/>
      <c r="I303" s="128"/>
      <c r="J303" s="128"/>
      <c r="K303" s="128"/>
      <c r="L303" s="128"/>
      <c r="M303" s="128"/>
      <c r="N303" s="128"/>
      <c r="O303" s="128"/>
      <c r="P303" s="128"/>
      <c r="Q303" s="128"/>
      <c r="R303" s="128"/>
      <c r="S303" s="128"/>
      <c r="T303" s="128"/>
    </row>
    <row r="304" spans="4:20" ht="15.6">
      <c r="D304" s="128"/>
      <c r="E304" s="128"/>
      <c r="F304" s="128"/>
      <c r="G304" s="128"/>
      <c r="H304" s="128"/>
      <c r="I304" s="128"/>
      <c r="J304" s="128"/>
      <c r="K304" s="128"/>
      <c r="L304" s="128"/>
      <c r="M304" s="128"/>
      <c r="N304" s="128"/>
      <c r="O304" s="128"/>
      <c r="P304" s="128"/>
      <c r="Q304" s="128"/>
      <c r="R304" s="128"/>
      <c r="S304" s="128"/>
      <c r="T304" s="128"/>
    </row>
    <row r="305" spans="4:20" ht="15.6">
      <c r="D305" s="128"/>
      <c r="E305" s="128"/>
      <c r="F305" s="128"/>
      <c r="G305" s="128"/>
      <c r="H305" s="128"/>
      <c r="I305" s="128"/>
      <c r="J305" s="128"/>
      <c r="K305" s="128"/>
      <c r="L305" s="128"/>
      <c r="M305" s="128"/>
      <c r="N305" s="128"/>
      <c r="O305" s="128"/>
      <c r="P305" s="128"/>
      <c r="Q305" s="128"/>
      <c r="R305" s="128"/>
      <c r="S305" s="128"/>
      <c r="T305" s="128"/>
    </row>
    <row r="306" spans="4:20" ht="15.6">
      <c r="D306" s="128"/>
      <c r="E306" s="128"/>
      <c r="F306" s="128"/>
      <c r="G306" s="128"/>
      <c r="H306" s="128"/>
      <c r="I306" s="128"/>
      <c r="J306" s="128"/>
      <c r="K306" s="128"/>
      <c r="L306" s="128"/>
      <c r="M306" s="128"/>
      <c r="N306" s="128"/>
      <c r="O306" s="128"/>
      <c r="P306" s="128"/>
      <c r="Q306" s="128"/>
      <c r="R306" s="128"/>
      <c r="S306" s="128"/>
      <c r="T306" s="128"/>
    </row>
    <row r="307" spans="4:20" ht="15.6">
      <c r="D307" s="128"/>
      <c r="E307" s="128"/>
      <c r="F307" s="128"/>
      <c r="G307" s="128"/>
      <c r="H307" s="128"/>
      <c r="I307" s="128"/>
      <c r="J307" s="128"/>
      <c r="K307" s="128"/>
      <c r="L307" s="128"/>
      <c r="M307" s="128"/>
      <c r="N307" s="128"/>
      <c r="O307" s="128"/>
      <c r="P307" s="128"/>
      <c r="Q307" s="128"/>
      <c r="R307" s="128"/>
      <c r="S307" s="128"/>
      <c r="T307" s="128"/>
    </row>
    <row r="308" spans="4:20" ht="15.6">
      <c r="D308" s="128"/>
      <c r="E308" s="128"/>
      <c r="F308" s="128"/>
      <c r="G308" s="128"/>
      <c r="H308" s="128"/>
      <c r="I308" s="128"/>
      <c r="J308" s="128"/>
      <c r="K308" s="128"/>
      <c r="L308" s="128"/>
      <c r="M308" s="128"/>
      <c r="N308" s="128"/>
      <c r="O308" s="128"/>
      <c r="P308" s="128"/>
      <c r="Q308" s="128"/>
      <c r="R308" s="128"/>
      <c r="S308" s="128"/>
      <c r="T308" s="128"/>
    </row>
    <row r="309" spans="4:20" ht="15.6">
      <c r="D309" s="128"/>
      <c r="E309" s="128"/>
      <c r="F309" s="128"/>
      <c r="G309" s="128"/>
      <c r="H309" s="128"/>
      <c r="I309" s="128"/>
      <c r="J309" s="128"/>
      <c r="K309" s="128"/>
      <c r="L309" s="128"/>
      <c r="M309" s="128"/>
      <c r="N309" s="128"/>
      <c r="O309" s="128"/>
      <c r="P309" s="128"/>
      <c r="Q309" s="128"/>
      <c r="R309" s="128"/>
      <c r="S309" s="128"/>
      <c r="T309" s="128"/>
    </row>
    <row r="310" spans="4:20" ht="15.6">
      <c r="D310" s="128"/>
      <c r="E310" s="128"/>
      <c r="F310" s="128"/>
      <c r="G310" s="128"/>
      <c r="H310" s="128"/>
      <c r="I310" s="128"/>
      <c r="J310" s="128"/>
      <c r="K310" s="128"/>
      <c r="L310" s="128"/>
      <c r="M310" s="128"/>
      <c r="N310" s="128"/>
      <c r="O310" s="128"/>
      <c r="P310" s="128"/>
      <c r="Q310" s="128"/>
      <c r="R310" s="128"/>
      <c r="S310" s="128"/>
      <c r="T310" s="128"/>
    </row>
    <row r="311" spans="4:20" ht="15.6">
      <c r="D311" s="128"/>
      <c r="E311" s="128"/>
      <c r="F311" s="128"/>
      <c r="G311" s="128"/>
      <c r="H311" s="128"/>
      <c r="I311" s="128"/>
      <c r="J311" s="128"/>
      <c r="K311" s="128"/>
      <c r="L311" s="128"/>
      <c r="M311" s="128"/>
      <c r="N311" s="128"/>
      <c r="O311" s="128"/>
      <c r="P311" s="128"/>
      <c r="Q311" s="128"/>
      <c r="R311" s="128"/>
      <c r="S311" s="128"/>
      <c r="T311" s="128"/>
    </row>
    <row r="312" spans="4:20" ht="15.6">
      <c r="D312" s="128"/>
      <c r="E312" s="128"/>
      <c r="F312" s="128"/>
      <c r="G312" s="128"/>
      <c r="H312" s="128"/>
      <c r="I312" s="128"/>
      <c r="J312" s="128"/>
      <c r="K312" s="128"/>
      <c r="L312" s="128"/>
      <c r="M312" s="128"/>
      <c r="N312" s="128"/>
      <c r="O312" s="128"/>
      <c r="P312" s="128"/>
      <c r="Q312" s="128"/>
      <c r="R312" s="128"/>
      <c r="S312" s="128"/>
      <c r="T312" s="128"/>
    </row>
    <row r="313" spans="4:20" ht="15.6">
      <c r="D313" s="128"/>
      <c r="E313" s="128"/>
      <c r="F313" s="128"/>
      <c r="G313" s="128"/>
      <c r="H313" s="128"/>
      <c r="I313" s="128"/>
      <c r="J313" s="128"/>
      <c r="K313" s="128"/>
      <c r="L313" s="128"/>
      <c r="M313" s="128"/>
      <c r="N313" s="128"/>
      <c r="O313" s="128"/>
      <c r="P313" s="128"/>
      <c r="Q313" s="128"/>
      <c r="R313" s="128"/>
      <c r="S313" s="128"/>
      <c r="T313" s="128"/>
    </row>
    <row r="314" spans="4:20" ht="15.6">
      <c r="D314" s="128"/>
      <c r="E314" s="128"/>
      <c r="F314" s="128"/>
      <c r="G314" s="128"/>
      <c r="H314" s="128"/>
      <c r="I314" s="128"/>
      <c r="J314" s="128"/>
      <c r="K314" s="128"/>
      <c r="L314" s="128"/>
      <c r="M314" s="128"/>
      <c r="N314" s="128"/>
      <c r="O314" s="128"/>
      <c r="P314" s="128"/>
      <c r="Q314" s="128"/>
      <c r="R314" s="128"/>
      <c r="S314" s="128"/>
      <c r="T314" s="128"/>
    </row>
    <row r="315" spans="4:20" ht="15.6">
      <c r="D315" s="128"/>
      <c r="E315" s="128"/>
      <c r="F315" s="128"/>
      <c r="G315" s="128"/>
      <c r="H315" s="128"/>
      <c r="I315" s="128"/>
      <c r="J315" s="128"/>
      <c r="K315" s="128"/>
      <c r="L315" s="128"/>
      <c r="M315" s="128"/>
      <c r="N315" s="128"/>
      <c r="O315" s="128"/>
      <c r="P315" s="128"/>
      <c r="Q315" s="128"/>
      <c r="R315" s="128"/>
      <c r="S315" s="128"/>
      <c r="T315" s="128"/>
    </row>
    <row r="316" spans="4:20" ht="15.6">
      <c r="D316" s="128"/>
      <c r="E316" s="128"/>
      <c r="F316" s="128"/>
      <c r="G316" s="128"/>
      <c r="H316" s="128"/>
      <c r="I316" s="128"/>
      <c r="J316" s="128"/>
      <c r="K316" s="128"/>
      <c r="L316" s="128"/>
      <c r="M316" s="128"/>
      <c r="N316" s="128"/>
      <c r="O316" s="128"/>
      <c r="P316" s="128"/>
      <c r="Q316" s="128"/>
      <c r="R316" s="128"/>
      <c r="S316" s="128"/>
      <c r="T316" s="128"/>
    </row>
    <row r="317" spans="4:20" ht="15.6">
      <c r="D317" s="128"/>
      <c r="E317" s="128"/>
      <c r="F317" s="128"/>
      <c r="G317" s="128"/>
      <c r="H317" s="128"/>
      <c r="I317" s="128"/>
      <c r="J317" s="128"/>
      <c r="K317" s="128"/>
      <c r="L317" s="128"/>
      <c r="M317" s="128"/>
      <c r="N317" s="128"/>
      <c r="O317" s="128"/>
      <c r="P317" s="128"/>
      <c r="Q317" s="128"/>
      <c r="R317" s="128"/>
      <c r="S317" s="128"/>
      <c r="T317" s="128"/>
    </row>
    <row r="318" spans="4:20" ht="15.6">
      <c r="D318" s="128"/>
      <c r="E318" s="128"/>
      <c r="F318" s="128"/>
      <c r="G318" s="128"/>
      <c r="H318" s="128"/>
      <c r="I318" s="128"/>
      <c r="J318" s="128"/>
      <c r="K318" s="128"/>
      <c r="L318" s="128"/>
      <c r="M318" s="128"/>
      <c r="N318" s="128"/>
      <c r="O318" s="128"/>
      <c r="P318" s="128"/>
      <c r="Q318" s="128"/>
      <c r="R318" s="128"/>
      <c r="S318" s="128"/>
      <c r="T318" s="128"/>
    </row>
    <row r="319" spans="4:20" ht="15.6">
      <c r="D319" s="128"/>
      <c r="E319" s="128"/>
      <c r="F319" s="128"/>
      <c r="G319" s="128"/>
      <c r="H319" s="128"/>
      <c r="I319" s="128"/>
      <c r="J319" s="128"/>
      <c r="K319" s="128"/>
      <c r="L319" s="128"/>
      <c r="M319" s="128"/>
      <c r="N319" s="128"/>
      <c r="O319" s="128"/>
      <c r="P319" s="128"/>
      <c r="Q319" s="128"/>
      <c r="R319" s="128"/>
      <c r="S319" s="128"/>
      <c r="T319" s="128"/>
    </row>
    <row r="320" spans="4:20" ht="15.6">
      <c r="D320" s="128"/>
      <c r="E320" s="128"/>
      <c r="F320" s="128"/>
      <c r="G320" s="128"/>
      <c r="H320" s="128"/>
      <c r="I320" s="128"/>
      <c r="J320" s="128"/>
      <c r="K320" s="128"/>
      <c r="L320" s="128"/>
      <c r="M320" s="128"/>
      <c r="N320" s="128"/>
      <c r="O320" s="128"/>
      <c r="P320" s="128"/>
      <c r="Q320" s="128"/>
      <c r="R320" s="128"/>
      <c r="S320" s="128"/>
      <c r="T320" s="128"/>
    </row>
    <row r="321" spans="4:20" ht="15.6">
      <c r="D321" s="128"/>
      <c r="E321" s="128"/>
      <c r="F321" s="128"/>
      <c r="G321" s="128"/>
      <c r="H321" s="128"/>
      <c r="I321" s="128"/>
      <c r="J321" s="128"/>
      <c r="K321" s="128"/>
      <c r="L321" s="128"/>
      <c r="M321" s="128"/>
      <c r="N321" s="128"/>
      <c r="O321" s="128"/>
      <c r="P321" s="128"/>
      <c r="Q321" s="128"/>
      <c r="R321" s="128"/>
      <c r="S321" s="128"/>
      <c r="T321" s="128"/>
    </row>
    <row r="322" spans="4:20" ht="15.6">
      <c r="D322" s="128"/>
      <c r="E322" s="128"/>
      <c r="F322" s="128"/>
      <c r="G322" s="128"/>
      <c r="H322" s="128"/>
      <c r="I322" s="128"/>
      <c r="J322" s="128"/>
      <c r="K322" s="128"/>
      <c r="L322" s="128"/>
      <c r="M322" s="128"/>
      <c r="N322" s="128"/>
      <c r="O322" s="128"/>
      <c r="P322" s="128"/>
      <c r="Q322" s="128"/>
      <c r="R322" s="128"/>
      <c r="S322" s="128"/>
      <c r="T322" s="128"/>
    </row>
    <row r="323" spans="4:20" ht="15.6">
      <c r="D323" s="128"/>
      <c r="E323" s="128"/>
      <c r="F323" s="128"/>
      <c r="G323" s="128"/>
      <c r="H323" s="128"/>
      <c r="I323" s="128"/>
      <c r="J323" s="128"/>
      <c r="K323" s="128"/>
      <c r="L323" s="128"/>
      <c r="M323" s="128"/>
      <c r="N323" s="128"/>
      <c r="O323" s="128"/>
      <c r="P323" s="128"/>
      <c r="Q323" s="128"/>
      <c r="R323" s="128"/>
      <c r="S323" s="128"/>
      <c r="T323" s="128"/>
    </row>
    <row r="324" spans="4:20" ht="15.6">
      <c r="D324" s="128"/>
      <c r="E324" s="128"/>
      <c r="F324" s="128"/>
      <c r="G324" s="128"/>
      <c r="H324" s="128"/>
      <c r="I324" s="128"/>
      <c r="J324" s="128"/>
      <c r="K324" s="128"/>
      <c r="L324" s="128"/>
      <c r="M324" s="128"/>
      <c r="N324" s="128"/>
      <c r="O324" s="128"/>
      <c r="P324" s="128"/>
      <c r="Q324" s="128"/>
      <c r="R324" s="128"/>
      <c r="S324" s="128"/>
      <c r="T324" s="128"/>
    </row>
    <row r="325" spans="4:20" ht="15.6">
      <c r="D325" s="128"/>
      <c r="E325" s="128"/>
      <c r="F325" s="128"/>
      <c r="G325" s="128"/>
      <c r="H325" s="128"/>
      <c r="I325" s="128"/>
      <c r="J325" s="128"/>
      <c r="K325" s="128"/>
      <c r="L325" s="128"/>
      <c r="M325" s="128"/>
      <c r="N325" s="128"/>
      <c r="O325" s="128"/>
      <c r="P325" s="128"/>
      <c r="Q325" s="128"/>
      <c r="R325" s="128"/>
      <c r="S325" s="128"/>
      <c r="T325" s="128"/>
    </row>
    <row r="326" spans="4:20" ht="15.6">
      <c r="D326" s="128"/>
      <c r="E326" s="128"/>
      <c r="F326" s="128"/>
      <c r="G326" s="128"/>
      <c r="H326" s="128"/>
      <c r="I326" s="128"/>
      <c r="J326" s="128"/>
      <c r="K326" s="128"/>
      <c r="L326" s="128"/>
      <c r="M326" s="128"/>
      <c r="N326" s="128"/>
      <c r="O326" s="128"/>
      <c r="P326" s="128"/>
      <c r="Q326" s="128"/>
      <c r="R326" s="128"/>
      <c r="S326" s="128"/>
      <c r="T326" s="128"/>
    </row>
    <row r="327" spans="4:20" ht="15.6">
      <c r="D327" s="128"/>
      <c r="E327" s="128"/>
      <c r="F327" s="128"/>
      <c r="G327" s="128"/>
      <c r="H327" s="128"/>
      <c r="I327" s="128"/>
      <c r="J327" s="128"/>
      <c r="K327" s="128"/>
      <c r="L327" s="128"/>
      <c r="M327" s="128"/>
      <c r="N327" s="128"/>
      <c r="O327" s="128"/>
      <c r="P327" s="128"/>
      <c r="Q327" s="128"/>
      <c r="R327" s="128"/>
      <c r="S327" s="128"/>
      <c r="T327" s="128"/>
    </row>
    <row r="328" spans="4:20" ht="15.6">
      <c r="D328" s="128"/>
      <c r="E328" s="128"/>
      <c r="F328" s="128"/>
      <c r="G328" s="128"/>
      <c r="H328" s="128"/>
      <c r="I328" s="128"/>
      <c r="J328" s="128"/>
      <c r="K328" s="128"/>
      <c r="L328" s="128"/>
      <c r="M328" s="128"/>
      <c r="N328" s="128"/>
      <c r="O328" s="128"/>
      <c r="P328" s="128"/>
      <c r="Q328" s="128"/>
      <c r="R328" s="128"/>
      <c r="S328" s="128"/>
      <c r="T328" s="128"/>
    </row>
    <row r="329" spans="4:20" ht="15.6">
      <c r="D329" s="128"/>
      <c r="E329" s="128"/>
      <c r="F329" s="128"/>
      <c r="G329" s="128"/>
      <c r="H329" s="128"/>
      <c r="I329" s="128"/>
      <c r="J329" s="128"/>
      <c r="K329" s="128"/>
      <c r="L329" s="128"/>
      <c r="M329" s="128"/>
      <c r="N329" s="128"/>
      <c r="O329" s="128"/>
      <c r="P329" s="128"/>
      <c r="Q329" s="128"/>
      <c r="R329" s="128"/>
      <c r="S329" s="128"/>
      <c r="T329" s="128"/>
    </row>
    <row r="330" spans="4:20" ht="15.6">
      <c r="D330" s="128"/>
      <c r="E330" s="128"/>
      <c r="F330" s="128"/>
      <c r="G330" s="128"/>
      <c r="H330" s="128"/>
      <c r="I330" s="128"/>
      <c r="J330" s="128"/>
      <c r="K330" s="128"/>
      <c r="L330" s="128"/>
      <c r="M330" s="128"/>
      <c r="N330" s="128"/>
      <c r="O330" s="128"/>
      <c r="P330" s="128"/>
      <c r="Q330" s="128"/>
      <c r="R330" s="128"/>
      <c r="S330" s="128"/>
      <c r="T330" s="128"/>
    </row>
    <row r="331" spans="4:20" ht="15.6">
      <c r="D331" s="128"/>
      <c r="E331" s="128"/>
      <c r="F331" s="128"/>
      <c r="G331" s="128"/>
      <c r="H331" s="128"/>
      <c r="I331" s="128"/>
      <c r="J331" s="128"/>
      <c r="K331" s="128"/>
      <c r="L331" s="128"/>
      <c r="M331" s="128"/>
      <c r="N331" s="128"/>
      <c r="O331" s="128"/>
      <c r="P331" s="128"/>
      <c r="Q331" s="128"/>
      <c r="R331" s="128"/>
      <c r="S331" s="128"/>
      <c r="T331" s="128"/>
    </row>
    <row r="332" spans="4:20" ht="15.6">
      <c r="D332" s="128"/>
      <c r="E332" s="128"/>
      <c r="F332" s="128"/>
      <c r="G332" s="128"/>
      <c r="H332" s="128"/>
      <c r="I332" s="128"/>
      <c r="J332" s="128"/>
      <c r="K332" s="128"/>
      <c r="L332" s="128"/>
      <c r="M332" s="128"/>
      <c r="N332" s="128"/>
      <c r="O332" s="128"/>
      <c r="P332" s="128"/>
      <c r="Q332" s="128"/>
      <c r="R332" s="128"/>
      <c r="S332" s="128"/>
      <c r="T332" s="128"/>
    </row>
    <row r="333" spans="4:20" ht="15.6">
      <c r="D333" s="128"/>
      <c r="E333" s="128"/>
      <c r="F333" s="128"/>
      <c r="G333" s="128"/>
      <c r="H333" s="128"/>
      <c r="I333" s="128"/>
      <c r="J333" s="128"/>
      <c r="K333" s="128"/>
      <c r="L333" s="128"/>
      <c r="M333" s="128"/>
      <c r="N333" s="128"/>
      <c r="O333" s="128"/>
      <c r="P333" s="128"/>
      <c r="Q333" s="128"/>
      <c r="R333" s="128"/>
      <c r="S333" s="128"/>
      <c r="T333" s="128"/>
    </row>
    <row r="334" spans="4:20" ht="15.6">
      <c r="D334" s="128"/>
      <c r="E334" s="128"/>
      <c r="F334" s="128"/>
      <c r="G334" s="128"/>
      <c r="H334" s="128"/>
      <c r="I334" s="128"/>
      <c r="J334" s="128"/>
      <c r="K334" s="128"/>
      <c r="L334" s="128"/>
      <c r="M334" s="128"/>
      <c r="N334" s="128"/>
      <c r="O334" s="128"/>
      <c r="P334" s="128"/>
      <c r="Q334" s="128"/>
      <c r="R334" s="128"/>
      <c r="S334" s="128"/>
      <c r="T334" s="128"/>
    </row>
    <row r="335" spans="4:20" ht="15.6">
      <c r="D335" s="128"/>
      <c r="E335" s="128"/>
      <c r="F335" s="128"/>
      <c r="G335" s="128"/>
      <c r="H335" s="128"/>
      <c r="I335" s="128"/>
      <c r="J335" s="128"/>
      <c r="K335" s="128"/>
      <c r="L335" s="128"/>
      <c r="M335" s="128"/>
      <c r="N335" s="128"/>
      <c r="O335" s="128"/>
      <c r="P335" s="128"/>
      <c r="Q335" s="128"/>
      <c r="R335" s="128"/>
      <c r="S335" s="128"/>
      <c r="T335" s="128"/>
    </row>
    <row r="336" spans="4:20" ht="15.6">
      <c r="D336" s="128"/>
      <c r="E336" s="128"/>
      <c r="F336" s="128"/>
      <c r="G336" s="128"/>
      <c r="H336" s="128"/>
      <c r="I336" s="128"/>
      <c r="J336" s="128"/>
      <c r="K336" s="128"/>
      <c r="L336" s="128"/>
      <c r="M336" s="128"/>
      <c r="N336" s="128"/>
      <c r="O336" s="128"/>
      <c r="P336" s="128"/>
      <c r="Q336" s="128"/>
      <c r="R336" s="128"/>
      <c r="S336" s="128"/>
      <c r="T336" s="128"/>
    </row>
    <row r="337" spans="4:20" ht="15.6">
      <c r="D337" s="128"/>
      <c r="E337" s="128"/>
      <c r="F337" s="128"/>
      <c r="G337" s="128"/>
      <c r="H337" s="128"/>
      <c r="I337" s="128"/>
      <c r="J337" s="128"/>
      <c r="K337" s="128"/>
      <c r="L337" s="128"/>
      <c r="M337" s="128"/>
      <c r="N337" s="128"/>
      <c r="O337" s="128"/>
      <c r="P337" s="128"/>
      <c r="Q337" s="128"/>
      <c r="R337" s="128"/>
      <c r="S337" s="128"/>
      <c r="T337" s="128"/>
    </row>
    <row r="338" spans="4:20" ht="15.6">
      <c r="D338" s="128"/>
      <c r="E338" s="128"/>
      <c r="F338" s="128"/>
      <c r="G338" s="128"/>
      <c r="H338" s="128"/>
      <c r="I338" s="128"/>
      <c r="J338" s="128"/>
      <c r="K338" s="128"/>
      <c r="L338" s="128"/>
      <c r="M338" s="128"/>
      <c r="N338" s="128"/>
      <c r="O338" s="128"/>
      <c r="P338" s="128"/>
      <c r="Q338" s="128"/>
      <c r="R338" s="128"/>
      <c r="S338" s="128"/>
      <c r="T338" s="128"/>
    </row>
    <row r="339" spans="4:20" ht="15.6">
      <c r="D339" s="128"/>
      <c r="E339" s="128"/>
      <c r="F339" s="128"/>
      <c r="G339" s="128"/>
      <c r="H339" s="128"/>
      <c r="I339" s="128"/>
      <c r="J339" s="128"/>
      <c r="K339" s="128"/>
      <c r="L339" s="128"/>
      <c r="M339" s="128"/>
      <c r="N339" s="128"/>
      <c r="O339" s="128"/>
      <c r="P339" s="128"/>
      <c r="Q339" s="128"/>
      <c r="R339" s="128"/>
      <c r="S339" s="128"/>
      <c r="T339" s="128"/>
    </row>
    <row r="340" spans="4:20" ht="15.6">
      <c r="D340" s="128"/>
      <c r="E340" s="128"/>
      <c r="F340" s="128"/>
      <c r="G340" s="128"/>
      <c r="H340" s="128"/>
      <c r="I340" s="128"/>
      <c r="J340" s="128"/>
      <c r="K340" s="128"/>
      <c r="L340" s="128"/>
      <c r="M340" s="128"/>
      <c r="N340" s="128"/>
      <c r="O340" s="128"/>
      <c r="P340" s="128"/>
      <c r="Q340" s="128"/>
      <c r="R340" s="128"/>
      <c r="S340" s="128"/>
      <c r="T340" s="128"/>
    </row>
    <row r="341" spans="4:20" ht="15.6">
      <c r="D341" s="128"/>
      <c r="E341" s="128"/>
      <c r="F341" s="128"/>
      <c r="G341" s="128"/>
      <c r="H341" s="128"/>
      <c r="I341" s="128"/>
      <c r="J341" s="128"/>
      <c r="K341" s="128"/>
      <c r="L341" s="128"/>
      <c r="M341" s="128"/>
      <c r="N341" s="128"/>
      <c r="O341" s="128"/>
      <c r="P341" s="128"/>
      <c r="Q341" s="128"/>
      <c r="R341" s="128"/>
      <c r="S341" s="128"/>
      <c r="T341" s="128"/>
    </row>
    <row r="342" spans="4:20" ht="15.6">
      <c r="D342" s="128"/>
      <c r="E342" s="128"/>
      <c r="F342" s="128"/>
      <c r="G342" s="128"/>
      <c r="H342" s="128"/>
      <c r="I342" s="128"/>
      <c r="J342" s="128"/>
      <c r="K342" s="128"/>
      <c r="L342" s="128"/>
      <c r="M342" s="128"/>
      <c r="N342" s="128"/>
      <c r="O342" s="128"/>
      <c r="P342" s="128"/>
      <c r="Q342" s="128"/>
      <c r="R342" s="128"/>
      <c r="S342" s="128"/>
      <c r="T342" s="128"/>
    </row>
    <row r="343" spans="4:20" ht="15.6">
      <c r="D343" s="128"/>
      <c r="E343" s="128"/>
      <c r="F343" s="128"/>
      <c r="G343" s="128"/>
      <c r="H343" s="128"/>
      <c r="I343" s="128"/>
      <c r="J343" s="128"/>
      <c r="K343" s="128"/>
      <c r="L343" s="128"/>
      <c r="M343" s="128"/>
      <c r="N343" s="128"/>
      <c r="O343" s="128"/>
      <c r="P343" s="128"/>
      <c r="Q343" s="128"/>
      <c r="R343" s="128"/>
      <c r="S343" s="128"/>
      <c r="T343" s="128"/>
    </row>
    <row r="344" spans="4:20" ht="15.6">
      <c r="D344" s="128"/>
      <c r="E344" s="128"/>
      <c r="F344" s="128"/>
      <c r="G344" s="128"/>
      <c r="H344" s="128"/>
      <c r="I344" s="128"/>
      <c r="J344" s="128"/>
      <c r="K344" s="128"/>
      <c r="L344" s="128"/>
      <c r="M344" s="128"/>
      <c r="N344" s="128"/>
      <c r="O344" s="128"/>
      <c r="P344" s="128"/>
      <c r="Q344" s="128"/>
      <c r="R344" s="128"/>
      <c r="S344" s="128"/>
      <c r="T344" s="128"/>
    </row>
    <row r="345" spans="4:20" ht="15.6">
      <c r="D345" s="128"/>
      <c r="E345" s="128"/>
      <c r="F345" s="128"/>
      <c r="G345" s="128"/>
      <c r="H345" s="128"/>
      <c r="I345" s="128"/>
      <c r="J345" s="128"/>
      <c r="K345" s="128"/>
      <c r="L345" s="128"/>
      <c r="M345" s="128"/>
      <c r="N345" s="128"/>
      <c r="O345" s="128"/>
      <c r="P345" s="128"/>
      <c r="Q345" s="128"/>
      <c r="R345" s="128"/>
      <c r="S345" s="128"/>
      <c r="T345" s="128"/>
    </row>
    <row r="346" spans="4:20" ht="15.6">
      <c r="D346" s="128"/>
      <c r="E346" s="128"/>
      <c r="F346" s="128"/>
      <c r="G346" s="128"/>
      <c r="H346" s="128"/>
      <c r="I346" s="128"/>
      <c r="J346" s="128"/>
      <c r="K346" s="128"/>
      <c r="L346" s="128"/>
      <c r="M346" s="128"/>
      <c r="N346" s="128"/>
      <c r="O346" s="128"/>
      <c r="P346" s="128"/>
      <c r="Q346" s="128"/>
      <c r="R346" s="128"/>
      <c r="S346" s="128"/>
      <c r="T346" s="128"/>
    </row>
    <row r="347" spans="4:20" ht="15.6">
      <c r="D347" s="128"/>
      <c r="E347" s="128"/>
      <c r="F347" s="128"/>
      <c r="G347" s="128"/>
      <c r="H347" s="128"/>
      <c r="I347" s="128"/>
      <c r="J347" s="128"/>
      <c r="K347" s="128"/>
      <c r="L347" s="128"/>
      <c r="M347" s="128"/>
      <c r="N347" s="128"/>
      <c r="O347" s="128"/>
      <c r="P347" s="128"/>
      <c r="Q347" s="128"/>
      <c r="R347" s="128"/>
      <c r="S347" s="128"/>
      <c r="T347" s="128"/>
    </row>
    <row r="348" spans="4:20" ht="15.6">
      <c r="D348" s="128"/>
      <c r="E348" s="128"/>
      <c r="F348" s="128"/>
      <c r="G348" s="128"/>
      <c r="H348" s="128"/>
      <c r="I348" s="128"/>
      <c r="J348" s="128"/>
      <c r="K348" s="128"/>
      <c r="L348" s="128"/>
      <c r="M348" s="128"/>
      <c r="N348" s="128"/>
      <c r="O348" s="128"/>
      <c r="P348" s="128"/>
      <c r="Q348" s="128"/>
      <c r="R348" s="128"/>
      <c r="S348" s="128"/>
      <c r="T348" s="128"/>
    </row>
    <row r="349" spans="4:20" ht="15.6">
      <c r="D349" s="128"/>
      <c r="E349" s="128"/>
      <c r="F349" s="128"/>
      <c r="G349" s="128"/>
      <c r="H349" s="128"/>
      <c r="I349" s="128"/>
      <c r="J349" s="128"/>
      <c r="K349" s="128"/>
      <c r="L349" s="128"/>
      <c r="M349" s="128"/>
      <c r="N349" s="128"/>
      <c r="O349" s="128"/>
      <c r="P349" s="128"/>
      <c r="Q349" s="128"/>
      <c r="R349" s="128"/>
      <c r="S349" s="128"/>
      <c r="T349" s="128"/>
    </row>
    <row r="350" spans="4:20" ht="15.6">
      <c r="D350" s="128"/>
      <c r="E350" s="128"/>
      <c r="F350" s="128"/>
      <c r="G350" s="128"/>
      <c r="H350" s="128"/>
      <c r="I350" s="128"/>
      <c r="J350" s="128"/>
      <c r="K350" s="128"/>
      <c r="L350" s="128"/>
      <c r="M350" s="128"/>
      <c r="N350" s="128"/>
      <c r="O350" s="128"/>
      <c r="P350" s="128"/>
      <c r="Q350" s="128"/>
      <c r="R350" s="128"/>
      <c r="S350" s="128"/>
      <c r="T350" s="128"/>
    </row>
    <row r="351" spans="4:20" ht="15.6">
      <c r="D351" s="128"/>
      <c r="E351" s="128"/>
      <c r="F351" s="128"/>
      <c r="G351" s="128"/>
      <c r="H351" s="128"/>
      <c r="I351" s="128"/>
      <c r="J351" s="128"/>
      <c r="K351" s="128"/>
      <c r="L351" s="128"/>
      <c r="M351" s="128"/>
      <c r="N351" s="128"/>
      <c r="O351" s="128"/>
      <c r="P351" s="128"/>
      <c r="Q351" s="128"/>
      <c r="R351" s="128"/>
      <c r="S351" s="128"/>
      <c r="T351" s="128"/>
    </row>
    <row r="352" spans="4:20" ht="15.6">
      <c r="D352" s="128"/>
      <c r="E352" s="128"/>
      <c r="F352" s="128"/>
      <c r="G352" s="128"/>
      <c r="H352" s="128"/>
      <c r="I352" s="128"/>
      <c r="J352" s="128"/>
      <c r="K352" s="128"/>
      <c r="L352" s="128"/>
      <c r="M352" s="128"/>
      <c r="N352" s="128"/>
      <c r="O352" s="128"/>
      <c r="P352" s="128"/>
      <c r="Q352" s="128"/>
      <c r="R352" s="128"/>
      <c r="S352" s="128"/>
      <c r="T352" s="128"/>
    </row>
    <row r="353" spans="4:20" ht="15.6">
      <c r="D353" s="128"/>
      <c r="E353" s="128"/>
      <c r="F353" s="128"/>
      <c r="G353" s="128"/>
      <c r="H353" s="128"/>
      <c r="I353" s="128"/>
      <c r="J353" s="128"/>
      <c r="K353" s="128"/>
      <c r="L353" s="128"/>
      <c r="M353" s="128"/>
      <c r="N353" s="128"/>
      <c r="O353" s="128"/>
      <c r="P353" s="128"/>
      <c r="Q353" s="128"/>
      <c r="R353" s="128"/>
      <c r="S353" s="128"/>
      <c r="T353" s="128"/>
    </row>
    <row r="354" spans="4:20" ht="15.6">
      <c r="D354" s="128"/>
      <c r="E354" s="128"/>
      <c r="F354" s="128"/>
      <c r="G354" s="128"/>
      <c r="H354" s="128"/>
      <c r="I354" s="128"/>
      <c r="J354" s="128"/>
      <c r="K354" s="128"/>
      <c r="L354" s="128"/>
      <c r="M354" s="128"/>
      <c r="N354" s="128"/>
      <c r="O354" s="128"/>
      <c r="P354" s="128"/>
      <c r="Q354" s="128"/>
      <c r="R354" s="128"/>
      <c r="S354" s="128"/>
      <c r="T354" s="128"/>
    </row>
    <row r="355" spans="4:20" ht="15.6">
      <c r="D355" s="128"/>
      <c r="E355" s="128"/>
      <c r="F355" s="128"/>
      <c r="G355" s="128"/>
      <c r="H355" s="128"/>
      <c r="I355" s="128"/>
      <c r="J355" s="128"/>
      <c r="K355" s="128"/>
      <c r="L355" s="128"/>
      <c r="M355" s="128"/>
      <c r="N355" s="128"/>
      <c r="O355" s="128"/>
      <c r="P355" s="128"/>
      <c r="Q355" s="128"/>
      <c r="R355" s="128"/>
      <c r="S355" s="128"/>
      <c r="T355" s="128"/>
    </row>
    <row r="356" spans="4:20" ht="15.6">
      <c r="D356" s="128"/>
      <c r="E356" s="128"/>
      <c r="F356" s="128"/>
      <c r="G356" s="128"/>
      <c r="H356" s="128"/>
      <c r="I356" s="128"/>
      <c r="J356" s="128"/>
      <c r="K356" s="128"/>
      <c r="L356" s="128"/>
      <c r="M356" s="128"/>
      <c r="N356" s="128"/>
      <c r="O356" s="128"/>
      <c r="P356" s="128"/>
      <c r="Q356" s="128"/>
      <c r="R356" s="128"/>
      <c r="S356" s="128"/>
      <c r="T356" s="128"/>
    </row>
    <row r="357" spans="4:20" ht="15.6">
      <c r="D357" s="128"/>
      <c r="E357" s="128"/>
      <c r="F357" s="128"/>
      <c r="G357" s="128"/>
      <c r="H357" s="128"/>
      <c r="I357" s="128"/>
      <c r="J357" s="128"/>
      <c r="K357" s="128"/>
      <c r="L357" s="128"/>
      <c r="M357" s="128"/>
      <c r="N357" s="128"/>
      <c r="O357" s="128"/>
      <c r="P357" s="128"/>
      <c r="Q357" s="128"/>
      <c r="R357" s="128"/>
      <c r="S357" s="128"/>
      <c r="T357" s="128"/>
    </row>
    <row r="358" spans="4:20" ht="15.6">
      <c r="D358" s="128"/>
      <c r="E358" s="128"/>
      <c r="F358" s="128"/>
      <c r="G358" s="128"/>
      <c r="H358" s="128"/>
      <c r="I358" s="128"/>
      <c r="J358" s="128"/>
      <c r="K358" s="128"/>
      <c r="L358" s="128"/>
      <c r="M358" s="128"/>
      <c r="N358" s="128"/>
      <c r="O358" s="128"/>
      <c r="P358" s="128"/>
      <c r="Q358" s="128"/>
      <c r="R358" s="128"/>
      <c r="S358" s="128"/>
      <c r="T358" s="128"/>
    </row>
    <row r="359" spans="4:20" ht="15.6">
      <c r="D359" s="128"/>
      <c r="E359" s="128"/>
      <c r="F359" s="128"/>
      <c r="G359" s="128"/>
      <c r="H359" s="128"/>
      <c r="I359" s="128"/>
      <c r="J359" s="128"/>
      <c r="K359" s="128"/>
      <c r="L359" s="128"/>
      <c r="M359" s="128"/>
      <c r="N359" s="128"/>
      <c r="O359" s="128"/>
      <c r="P359" s="128"/>
      <c r="Q359" s="128"/>
      <c r="R359" s="128"/>
      <c r="S359" s="128"/>
      <c r="T359" s="128"/>
    </row>
    <row r="360" spans="4:20" ht="15.6">
      <c r="D360" s="128"/>
      <c r="E360" s="128"/>
      <c r="F360" s="128"/>
      <c r="G360" s="128"/>
      <c r="H360" s="128"/>
      <c r="I360" s="128"/>
      <c r="J360" s="128"/>
      <c r="K360" s="128"/>
      <c r="L360" s="128"/>
      <c r="M360" s="128"/>
      <c r="N360" s="128"/>
      <c r="O360" s="128"/>
      <c r="P360" s="128"/>
      <c r="Q360" s="128"/>
      <c r="R360" s="128"/>
      <c r="S360" s="128"/>
      <c r="T360" s="128"/>
    </row>
    <row r="361" spans="4:20" ht="15.6">
      <c r="D361" s="128"/>
      <c r="E361" s="128"/>
      <c r="F361" s="128"/>
      <c r="G361" s="128"/>
      <c r="H361" s="128"/>
      <c r="I361" s="128"/>
      <c r="J361" s="128"/>
      <c r="K361" s="128"/>
      <c r="L361" s="128"/>
      <c r="M361" s="128"/>
      <c r="N361" s="128"/>
      <c r="O361" s="128"/>
      <c r="P361" s="128"/>
      <c r="Q361" s="128"/>
      <c r="R361" s="128"/>
      <c r="S361" s="128"/>
      <c r="T361" s="128"/>
    </row>
    <row r="362" spans="4:20" ht="15.6">
      <c r="D362" s="128"/>
      <c r="E362" s="128"/>
      <c r="F362" s="128"/>
      <c r="G362" s="128"/>
      <c r="H362" s="128"/>
      <c r="I362" s="128"/>
      <c r="J362" s="128"/>
      <c r="K362" s="128"/>
      <c r="L362" s="128"/>
      <c r="M362" s="128"/>
      <c r="N362" s="128"/>
      <c r="O362" s="128"/>
      <c r="P362" s="128"/>
      <c r="Q362" s="128"/>
      <c r="R362" s="128"/>
      <c r="S362" s="128"/>
      <c r="T362" s="128"/>
    </row>
    <row r="363" spans="4:20" ht="15.6">
      <c r="D363" s="128"/>
      <c r="E363" s="128"/>
      <c r="F363" s="128"/>
      <c r="G363" s="128"/>
      <c r="H363" s="128"/>
      <c r="I363" s="128"/>
      <c r="J363" s="128"/>
      <c r="K363" s="128"/>
      <c r="L363" s="128"/>
      <c r="M363" s="128"/>
      <c r="N363" s="128"/>
      <c r="O363" s="128"/>
      <c r="P363" s="128"/>
      <c r="Q363" s="128"/>
      <c r="R363" s="128"/>
      <c r="S363" s="128"/>
      <c r="T363" s="128"/>
    </row>
    <row r="364" spans="4:20" ht="15.6">
      <c r="D364" s="128"/>
      <c r="E364" s="128"/>
      <c r="F364" s="128"/>
      <c r="G364" s="128"/>
      <c r="H364" s="128"/>
      <c r="I364" s="128"/>
      <c r="J364" s="128"/>
      <c r="K364" s="128"/>
      <c r="L364" s="128"/>
      <c r="M364" s="128"/>
      <c r="N364" s="128"/>
      <c r="O364" s="128"/>
      <c r="P364" s="128"/>
      <c r="Q364" s="128"/>
      <c r="R364" s="128"/>
      <c r="S364" s="128"/>
      <c r="T364" s="128"/>
    </row>
    <row r="365" spans="4:20" ht="15.6">
      <c r="D365" s="128"/>
      <c r="E365" s="128"/>
      <c r="F365" s="128"/>
      <c r="G365" s="128"/>
      <c r="H365" s="128"/>
      <c r="I365" s="128"/>
      <c r="J365" s="128"/>
      <c r="K365" s="128"/>
      <c r="L365" s="128"/>
      <c r="M365" s="128"/>
      <c r="N365" s="128"/>
      <c r="O365" s="128"/>
      <c r="P365" s="128"/>
      <c r="Q365" s="128"/>
      <c r="R365" s="128"/>
      <c r="S365" s="128"/>
      <c r="T365" s="128"/>
    </row>
    <row r="366" spans="4:20" ht="15.6">
      <c r="D366" s="128"/>
      <c r="E366" s="128"/>
      <c r="F366" s="128"/>
      <c r="G366" s="128"/>
      <c r="H366" s="128"/>
      <c r="I366" s="128"/>
      <c r="J366" s="128"/>
      <c r="K366" s="128"/>
      <c r="L366" s="128"/>
      <c r="M366" s="128"/>
      <c r="N366" s="128"/>
      <c r="O366" s="128"/>
      <c r="P366" s="128"/>
      <c r="Q366" s="128"/>
      <c r="R366" s="128"/>
      <c r="S366" s="128"/>
      <c r="T366" s="128"/>
    </row>
    <row r="367" spans="4:20" ht="15.6">
      <c r="D367" s="128"/>
      <c r="E367" s="128"/>
      <c r="F367" s="128"/>
      <c r="G367" s="128"/>
      <c r="H367" s="128"/>
      <c r="I367" s="128"/>
      <c r="J367" s="128"/>
      <c r="K367" s="128"/>
      <c r="L367" s="128"/>
      <c r="M367" s="128"/>
      <c r="N367" s="128"/>
      <c r="O367" s="128"/>
      <c r="P367" s="128"/>
      <c r="Q367" s="128"/>
      <c r="R367" s="128"/>
      <c r="S367" s="128"/>
      <c r="T367" s="128"/>
    </row>
    <row r="368" spans="4:20" ht="15.6">
      <c r="D368" s="128"/>
      <c r="E368" s="128"/>
      <c r="F368" s="128"/>
      <c r="G368" s="128"/>
      <c r="H368" s="128"/>
      <c r="I368" s="128"/>
      <c r="J368" s="128"/>
      <c r="K368" s="128"/>
      <c r="L368" s="128"/>
      <c r="M368" s="128"/>
      <c r="N368" s="128"/>
      <c r="O368" s="128"/>
      <c r="P368" s="128"/>
      <c r="Q368" s="128"/>
      <c r="R368" s="128"/>
      <c r="S368" s="128"/>
      <c r="T368" s="128"/>
    </row>
    <row r="369" spans="4:20" ht="15.6">
      <c r="D369" s="128"/>
      <c r="E369" s="128"/>
      <c r="F369" s="128"/>
      <c r="G369" s="128"/>
      <c r="H369" s="128"/>
      <c r="I369" s="128"/>
      <c r="J369" s="128"/>
      <c r="K369" s="128"/>
      <c r="L369" s="128"/>
      <c r="M369" s="128"/>
      <c r="N369" s="128"/>
      <c r="O369" s="128"/>
      <c r="P369" s="128"/>
      <c r="Q369" s="128"/>
      <c r="R369" s="128"/>
      <c r="S369" s="128"/>
      <c r="T369" s="128"/>
    </row>
    <row r="370" spans="4:20" ht="15.6">
      <c r="D370" s="128"/>
      <c r="E370" s="128"/>
      <c r="F370" s="128"/>
      <c r="G370" s="128"/>
      <c r="H370" s="128"/>
      <c r="I370" s="128"/>
      <c r="J370" s="128"/>
      <c r="K370" s="128"/>
      <c r="L370" s="128"/>
      <c r="M370" s="128"/>
      <c r="N370" s="128"/>
      <c r="O370" s="128"/>
      <c r="P370" s="128"/>
      <c r="Q370" s="128"/>
      <c r="R370" s="128"/>
      <c r="S370" s="128"/>
      <c r="T370" s="128"/>
    </row>
    <row r="371" spans="4:20" ht="15.6">
      <c r="D371" s="128"/>
      <c r="E371" s="128"/>
      <c r="F371" s="128"/>
      <c r="G371" s="128"/>
      <c r="H371" s="128"/>
      <c r="I371" s="128"/>
      <c r="J371" s="128"/>
      <c r="K371" s="128"/>
      <c r="L371" s="128"/>
      <c r="M371" s="128"/>
      <c r="N371" s="128"/>
      <c r="O371" s="128"/>
      <c r="P371" s="128"/>
      <c r="Q371" s="128"/>
      <c r="R371" s="128"/>
      <c r="S371" s="128"/>
      <c r="T371" s="128"/>
    </row>
    <row r="372" spans="4:20" ht="15.6">
      <c r="D372" s="128"/>
      <c r="E372" s="128"/>
      <c r="F372" s="128"/>
      <c r="G372" s="128"/>
      <c r="H372" s="128"/>
      <c r="I372" s="128"/>
      <c r="J372" s="128"/>
      <c r="K372" s="128"/>
      <c r="L372" s="128"/>
      <c r="M372" s="128"/>
      <c r="N372" s="128"/>
      <c r="O372" s="128"/>
      <c r="P372" s="128"/>
      <c r="Q372" s="128"/>
      <c r="R372" s="128"/>
      <c r="S372" s="128"/>
      <c r="T372" s="128"/>
    </row>
    <row r="373" spans="4:20" ht="15.6">
      <c r="D373" s="128"/>
      <c r="E373" s="128"/>
      <c r="F373" s="128"/>
      <c r="G373" s="128"/>
      <c r="H373" s="128"/>
      <c r="I373" s="128"/>
      <c r="J373" s="128"/>
      <c r="K373" s="128"/>
      <c r="L373" s="128"/>
      <c r="M373" s="128"/>
      <c r="N373" s="128"/>
      <c r="O373" s="128"/>
      <c r="P373" s="128"/>
      <c r="Q373" s="128"/>
      <c r="R373" s="128"/>
      <c r="S373" s="128"/>
      <c r="T373" s="128"/>
    </row>
    <row r="374" spans="4:20" ht="15.6">
      <c r="D374" s="128"/>
      <c r="E374" s="128"/>
      <c r="F374" s="128"/>
      <c r="G374" s="128"/>
      <c r="H374" s="128"/>
      <c r="I374" s="128"/>
      <c r="J374" s="128"/>
      <c r="K374" s="128"/>
      <c r="L374" s="128"/>
      <c r="M374" s="128"/>
      <c r="N374" s="128"/>
      <c r="O374" s="128"/>
      <c r="P374" s="128"/>
      <c r="Q374" s="128"/>
      <c r="R374" s="128"/>
      <c r="S374" s="128"/>
      <c r="T374" s="128"/>
    </row>
    <row r="375" spans="4:20" ht="15.6">
      <c r="D375" s="128"/>
      <c r="E375" s="128"/>
      <c r="F375" s="128"/>
      <c r="G375" s="128"/>
      <c r="H375" s="128"/>
      <c r="I375" s="128"/>
      <c r="J375" s="128"/>
      <c r="K375" s="128"/>
      <c r="L375" s="128"/>
      <c r="M375" s="128"/>
      <c r="N375" s="128"/>
      <c r="O375" s="128"/>
      <c r="P375" s="128"/>
      <c r="Q375" s="128"/>
      <c r="R375" s="128"/>
      <c r="S375" s="128"/>
      <c r="T375" s="128"/>
    </row>
    <row r="376" spans="4:20" ht="15.6">
      <c r="D376" s="128"/>
      <c r="E376" s="128"/>
      <c r="F376" s="128"/>
      <c r="G376" s="128"/>
      <c r="H376" s="128"/>
      <c r="I376" s="128"/>
      <c r="J376" s="128"/>
      <c r="K376" s="128"/>
      <c r="L376" s="128"/>
      <c r="M376" s="128"/>
      <c r="N376" s="128"/>
      <c r="O376" s="128"/>
      <c r="P376" s="128"/>
      <c r="Q376" s="128"/>
      <c r="R376" s="128"/>
      <c r="S376" s="128"/>
      <c r="T376" s="128"/>
    </row>
    <row r="377" spans="4:20" ht="15.6">
      <c r="D377" s="128"/>
      <c r="E377" s="128"/>
      <c r="F377" s="128"/>
      <c r="G377" s="128"/>
      <c r="H377" s="128"/>
      <c r="I377" s="128"/>
      <c r="J377" s="128"/>
      <c r="K377" s="128"/>
      <c r="L377" s="128"/>
      <c r="M377" s="128"/>
      <c r="N377" s="128"/>
      <c r="O377" s="128"/>
      <c r="P377" s="128"/>
      <c r="Q377" s="128"/>
      <c r="R377" s="128"/>
      <c r="S377" s="128"/>
      <c r="T377" s="128"/>
    </row>
    <row r="378" spans="4:20" ht="15.6">
      <c r="D378" s="128"/>
      <c r="E378" s="128"/>
      <c r="F378" s="128"/>
      <c r="G378" s="128"/>
      <c r="H378" s="128"/>
      <c r="I378" s="128"/>
      <c r="J378" s="128"/>
      <c r="K378" s="128"/>
      <c r="L378" s="128"/>
      <c r="M378" s="128"/>
      <c r="N378" s="128"/>
      <c r="O378" s="128"/>
      <c r="P378" s="128"/>
      <c r="Q378" s="128"/>
      <c r="R378" s="128"/>
      <c r="S378" s="128"/>
      <c r="T378" s="128"/>
    </row>
    <row r="379" spans="4:20" ht="15.6">
      <c r="D379" s="128"/>
      <c r="E379" s="128"/>
      <c r="F379" s="128"/>
      <c r="G379" s="128"/>
      <c r="H379" s="128"/>
      <c r="I379" s="128"/>
      <c r="J379" s="128"/>
      <c r="K379" s="128"/>
      <c r="L379" s="128"/>
      <c r="M379" s="128"/>
      <c r="N379" s="128"/>
      <c r="O379" s="128"/>
      <c r="P379" s="128"/>
      <c r="Q379" s="128"/>
      <c r="R379" s="128"/>
      <c r="S379" s="128"/>
      <c r="T379" s="128"/>
    </row>
    <row r="380" spans="4:20" ht="15.6">
      <c r="D380" s="128"/>
      <c r="E380" s="128"/>
      <c r="F380" s="128"/>
      <c r="G380" s="128"/>
      <c r="H380" s="128"/>
      <c r="I380" s="128"/>
      <c r="J380" s="128"/>
      <c r="K380" s="128"/>
      <c r="L380" s="128"/>
      <c r="M380" s="128"/>
      <c r="N380" s="128"/>
      <c r="O380" s="128"/>
      <c r="P380" s="128"/>
      <c r="Q380" s="128"/>
      <c r="R380" s="128"/>
      <c r="S380" s="128"/>
      <c r="T380" s="128"/>
    </row>
    <row r="381" spans="4:20" ht="15.6">
      <c r="D381" s="128"/>
      <c r="E381" s="128"/>
      <c r="F381" s="128"/>
      <c r="G381" s="128"/>
      <c r="H381" s="128"/>
      <c r="I381" s="128"/>
      <c r="J381" s="128"/>
      <c r="K381" s="128"/>
      <c r="L381" s="128"/>
      <c r="M381" s="128"/>
      <c r="N381" s="128"/>
      <c r="O381" s="128"/>
      <c r="P381" s="128"/>
      <c r="Q381" s="128"/>
      <c r="R381" s="128"/>
      <c r="S381" s="128"/>
      <c r="T381" s="128"/>
    </row>
    <row r="382" spans="4:20" ht="15.6">
      <c r="D382" s="128"/>
      <c r="E382" s="128"/>
      <c r="F382" s="128"/>
      <c r="G382" s="128"/>
      <c r="H382" s="128"/>
      <c r="I382" s="128"/>
      <c r="J382" s="128"/>
      <c r="K382" s="128"/>
      <c r="L382" s="128"/>
      <c r="M382" s="128"/>
      <c r="N382" s="128"/>
      <c r="O382" s="128"/>
      <c r="P382" s="128"/>
      <c r="Q382" s="128"/>
      <c r="R382" s="128"/>
      <c r="S382" s="128"/>
      <c r="T382" s="128"/>
    </row>
    <row r="383" spans="4:20" ht="15.6">
      <c r="D383" s="128"/>
      <c r="E383" s="128"/>
      <c r="F383" s="128"/>
      <c r="G383" s="128"/>
      <c r="H383" s="128"/>
      <c r="I383" s="128"/>
      <c r="J383" s="128"/>
      <c r="K383" s="128"/>
      <c r="L383" s="128"/>
      <c r="M383" s="128"/>
      <c r="N383" s="128"/>
      <c r="O383" s="128"/>
      <c r="P383" s="128"/>
      <c r="Q383" s="128"/>
      <c r="R383" s="128"/>
      <c r="S383" s="128"/>
      <c r="T383" s="128"/>
    </row>
    <row r="384" spans="4:20" ht="15.6">
      <c r="D384" s="128"/>
      <c r="E384" s="128"/>
      <c r="F384" s="128"/>
      <c r="G384" s="128"/>
      <c r="H384" s="128"/>
      <c r="I384" s="128"/>
      <c r="J384" s="128"/>
      <c r="K384" s="128"/>
      <c r="L384" s="128"/>
      <c r="M384" s="128"/>
      <c r="N384" s="128"/>
      <c r="O384" s="128"/>
      <c r="P384" s="128"/>
      <c r="Q384" s="128"/>
      <c r="R384" s="128"/>
      <c r="S384" s="128"/>
      <c r="T384" s="128"/>
    </row>
    <row r="385" spans="4:20" ht="15.6">
      <c r="D385" s="128"/>
      <c r="E385" s="128"/>
      <c r="F385" s="128"/>
      <c r="G385" s="128"/>
      <c r="H385" s="128"/>
      <c r="I385" s="128"/>
      <c r="J385" s="128"/>
      <c r="K385" s="128"/>
      <c r="L385" s="128"/>
      <c r="M385" s="128"/>
      <c r="N385" s="128"/>
      <c r="O385" s="128"/>
      <c r="P385" s="128"/>
      <c r="Q385" s="128"/>
      <c r="R385" s="128"/>
      <c r="S385" s="128"/>
      <c r="T385" s="128"/>
    </row>
    <row r="386" spans="4:20" ht="15.6">
      <c r="D386" s="128"/>
      <c r="E386" s="128"/>
      <c r="F386" s="128"/>
      <c r="G386" s="128"/>
      <c r="H386" s="128"/>
      <c r="I386" s="128"/>
      <c r="J386" s="128"/>
      <c r="K386" s="128"/>
      <c r="L386" s="128"/>
      <c r="M386" s="128"/>
      <c r="N386" s="128"/>
      <c r="O386" s="128"/>
      <c r="P386" s="128"/>
      <c r="Q386" s="128"/>
      <c r="R386" s="128"/>
      <c r="S386" s="128"/>
      <c r="T386" s="128"/>
    </row>
    <row r="387" spans="4:20" ht="15.6">
      <c r="D387" s="128"/>
      <c r="E387" s="128"/>
      <c r="F387" s="128"/>
      <c r="G387" s="128"/>
      <c r="H387" s="128"/>
      <c r="I387" s="128"/>
      <c r="J387" s="128"/>
      <c r="K387" s="128"/>
      <c r="L387" s="128"/>
      <c r="M387" s="128"/>
      <c r="N387" s="128"/>
      <c r="O387" s="128"/>
      <c r="P387" s="128"/>
      <c r="Q387" s="128"/>
      <c r="R387" s="128"/>
      <c r="S387" s="128"/>
      <c r="T387" s="128"/>
    </row>
    <row r="388" spans="4:20" ht="15.6">
      <c r="D388" s="128"/>
      <c r="E388" s="128"/>
      <c r="F388" s="128"/>
      <c r="G388" s="128"/>
      <c r="H388" s="128"/>
      <c r="I388" s="128"/>
      <c r="J388" s="128"/>
      <c r="K388" s="128"/>
      <c r="L388" s="128"/>
      <c r="M388" s="128"/>
      <c r="N388" s="128"/>
      <c r="O388" s="128"/>
      <c r="P388" s="128"/>
      <c r="Q388" s="128"/>
      <c r="R388" s="128"/>
      <c r="S388" s="128"/>
      <c r="T388" s="128"/>
    </row>
    <row r="389" spans="4:20" ht="15.6">
      <c r="D389" s="128"/>
      <c r="E389" s="128"/>
      <c r="F389" s="128"/>
      <c r="G389" s="128"/>
      <c r="H389" s="128"/>
      <c r="I389" s="128"/>
      <c r="J389" s="128"/>
      <c r="K389" s="128"/>
      <c r="L389" s="128"/>
      <c r="M389" s="128"/>
      <c r="N389" s="128"/>
      <c r="O389" s="128"/>
      <c r="P389" s="128"/>
      <c r="Q389" s="128"/>
      <c r="R389" s="128"/>
      <c r="S389" s="128"/>
      <c r="T389" s="128"/>
    </row>
    <row r="390" spans="4:20" ht="15.6">
      <c r="D390" s="128"/>
      <c r="E390" s="128"/>
      <c r="F390" s="128"/>
      <c r="G390" s="128"/>
      <c r="H390" s="128"/>
      <c r="I390" s="128"/>
      <c r="J390" s="128"/>
      <c r="K390" s="128"/>
      <c r="L390" s="128"/>
      <c r="M390" s="128"/>
      <c r="N390" s="128"/>
      <c r="O390" s="128"/>
      <c r="P390" s="128"/>
      <c r="Q390" s="128"/>
      <c r="R390" s="128"/>
      <c r="S390" s="128"/>
      <c r="T390" s="128"/>
    </row>
    <row r="391" spans="4:20" ht="15.6">
      <c r="D391" s="128"/>
      <c r="E391" s="128"/>
      <c r="F391" s="128"/>
      <c r="G391" s="128"/>
      <c r="H391" s="128"/>
      <c r="I391" s="128"/>
      <c r="J391" s="128"/>
      <c r="K391" s="128"/>
      <c r="L391" s="128"/>
      <c r="M391" s="128"/>
      <c r="N391" s="128"/>
      <c r="O391" s="128"/>
      <c r="P391" s="128"/>
      <c r="Q391" s="128"/>
      <c r="R391" s="128"/>
      <c r="S391" s="128"/>
      <c r="T391" s="128"/>
    </row>
    <row r="392" spans="4:20" ht="15.6">
      <c r="D392" s="128"/>
      <c r="E392" s="128"/>
      <c r="F392" s="128"/>
      <c r="G392" s="128"/>
      <c r="H392" s="128"/>
      <c r="I392" s="128"/>
      <c r="J392" s="128"/>
      <c r="K392" s="128"/>
      <c r="L392" s="128"/>
      <c r="M392" s="128"/>
      <c r="N392" s="128"/>
      <c r="O392" s="128"/>
      <c r="P392" s="128"/>
      <c r="Q392" s="128"/>
      <c r="R392" s="128"/>
      <c r="S392" s="128"/>
      <c r="T392" s="128"/>
    </row>
    <row r="393" spans="4:20" ht="15.6">
      <c r="D393" s="128"/>
      <c r="E393" s="128"/>
      <c r="F393" s="128"/>
      <c r="G393" s="128"/>
      <c r="H393" s="128"/>
      <c r="I393" s="128"/>
      <c r="J393" s="128"/>
      <c r="K393" s="128"/>
      <c r="L393" s="128"/>
      <c r="M393" s="128"/>
      <c r="N393" s="128"/>
      <c r="O393" s="128"/>
      <c r="P393" s="128"/>
      <c r="Q393" s="128"/>
      <c r="R393" s="128"/>
      <c r="S393" s="128"/>
      <c r="T393" s="128"/>
    </row>
    <row r="394" spans="4:20" ht="15.6">
      <c r="D394" s="128"/>
      <c r="E394" s="128"/>
      <c r="F394" s="128"/>
      <c r="G394" s="128"/>
      <c r="H394" s="128"/>
      <c r="I394" s="128"/>
      <c r="J394" s="128"/>
      <c r="K394" s="128"/>
      <c r="L394" s="128"/>
      <c r="M394" s="128"/>
      <c r="N394" s="128"/>
      <c r="O394" s="128"/>
      <c r="P394" s="128"/>
      <c r="Q394" s="128"/>
      <c r="R394" s="128"/>
      <c r="S394" s="128"/>
      <c r="T394" s="128"/>
    </row>
    <row r="395" spans="4:20" ht="15.6">
      <c r="D395" s="128"/>
      <c r="E395" s="128"/>
      <c r="F395" s="128"/>
      <c r="G395" s="128"/>
      <c r="H395" s="128"/>
      <c r="I395" s="128"/>
      <c r="J395" s="128"/>
      <c r="K395" s="128"/>
      <c r="L395" s="128"/>
      <c r="M395" s="128"/>
      <c r="N395" s="128"/>
      <c r="O395" s="128"/>
      <c r="P395" s="128"/>
      <c r="Q395" s="128"/>
      <c r="R395" s="128"/>
      <c r="S395" s="128"/>
      <c r="T395" s="128"/>
    </row>
    <row r="396" spans="4:20" ht="15.6">
      <c r="D396" s="128"/>
      <c r="E396" s="128"/>
      <c r="F396" s="128"/>
      <c r="G396" s="128"/>
      <c r="H396" s="128"/>
      <c r="I396" s="128"/>
      <c r="J396" s="128"/>
      <c r="K396" s="128"/>
      <c r="L396" s="128"/>
      <c r="M396" s="128"/>
      <c r="N396" s="128"/>
      <c r="O396" s="128"/>
      <c r="P396" s="128"/>
      <c r="Q396" s="128"/>
      <c r="R396" s="128"/>
      <c r="S396" s="128"/>
      <c r="T396" s="128"/>
    </row>
    <row r="397" spans="4:20" ht="15.6">
      <c r="D397" s="128"/>
      <c r="E397" s="128"/>
      <c r="F397" s="128"/>
      <c r="G397" s="128"/>
      <c r="H397" s="128"/>
      <c r="I397" s="128"/>
      <c r="J397" s="128"/>
      <c r="K397" s="128"/>
      <c r="L397" s="128"/>
      <c r="M397" s="128"/>
      <c r="N397" s="128"/>
      <c r="O397" s="128"/>
      <c r="P397" s="128"/>
      <c r="Q397" s="128"/>
      <c r="R397" s="128"/>
      <c r="S397" s="128"/>
      <c r="T397" s="128"/>
    </row>
    <row r="398" spans="4:20" ht="15.6">
      <c r="D398" s="128"/>
      <c r="E398" s="128"/>
      <c r="F398" s="128"/>
      <c r="G398" s="128"/>
      <c r="H398" s="128"/>
      <c r="I398" s="128"/>
      <c r="J398" s="128"/>
      <c r="K398" s="128"/>
      <c r="L398" s="128"/>
      <c r="M398" s="128"/>
      <c r="N398" s="128"/>
      <c r="O398" s="128"/>
      <c r="P398" s="128"/>
      <c r="Q398" s="128"/>
      <c r="R398" s="128"/>
      <c r="S398" s="128"/>
      <c r="T398" s="128"/>
    </row>
    <row r="399" spans="4:20" ht="15.6">
      <c r="D399" s="128"/>
      <c r="E399" s="128"/>
      <c r="F399" s="128"/>
      <c r="G399" s="128"/>
      <c r="H399" s="128"/>
      <c r="I399" s="128"/>
      <c r="J399" s="128"/>
      <c r="K399" s="128"/>
      <c r="L399" s="128"/>
      <c r="M399" s="128"/>
      <c r="N399" s="128"/>
      <c r="O399" s="128"/>
      <c r="P399" s="128"/>
      <c r="Q399" s="128"/>
      <c r="R399" s="128"/>
      <c r="S399" s="128"/>
      <c r="T399" s="128"/>
    </row>
    <row r="400" spans="4:20" ht="15.6">
      <c r="D400" s="128"/>
      <c r="E400" s="128"/>
      <c r="F400" s="128"/>
      <c r="G400" s="128"/>
      <c r="H400" s="128"/>
      <c r="I400" s="128"/>
      <c r="J400" s="128"/>
      <c r="K400" s="128"/>
      <c r="L400" s="128"/>
      <c r="M400" s="128"/>
      <c r="N400" s="128"/>
      <c r="O400" s="128"/>
      <c r="P400" s="128"/>
      <c r="Q400" s="128"/>
      <c r="R400" s="128"/>
      <c r="S400" s="128"/>
      <c r="T400" s="128"/>
    </row>
    <row r="401" spans="4:20" ht="15.6">
      <c r="D401" s="128"/>
      <c r="E401" s="128"/>
      <c r="F401" s="128"/>
      <c r="G401" s="128"/>
      <c r="H401" s="128"/>
      <c r="I401" s="128"/>
      <c r="J401" s="128"/>
      <c r="K401" s="128"/>
      <c r="L401" s="128"/>
      <c r="M401" s="128"/>
      <c r="N401" s="128"/>
      <c r="O401" s="128"/>
      <c r="P401" s="128"/>
      <c r="Q401" s="128"/>
      <c r="R401" s="128"/>
      <c r="S401" s="128"/>
      <c r="T401" s="128"/>
    </row>
    <row r="402" spans="4:20" ht="15.6">
      <c r="D402" s="128"/>
      <c r="E402" s="128"/>
      <c r="F402" s="128"/>
      <c r="G402" s="128"/>
      <c r="H402" s="128"/>
      <c r="I402" s="128"/>
      <c r="J402" s="128"/>
      <c r="K402" s="128"/>
      <c r="L402" s="128"/>
      <c r="M402" s="128"/>
      <c r="N402" s="128"/>
      <c r="O402" s="128"/>
      <c r="P402" s="128"/>
      <c r="Q402" s="128"/>
      <c r="R402" s="128"/>
      <c r="S402" s="128"/>
      <c r="T402" s="128"/>
    </row>
    <row r="403" spans="4:20" ht="15.6">
      <c r="D403" s="128"/>
      <c r="E403" s="128"/>
      <c r="F403" s="128"/>
      <c r="G403" s="128"/>
      <c r="H403" s="128"/>
      <c r="I403" s="128"/>
      <c r="J403" s="128"/>
      <c r="K403" s="128"/>
      <c r="L403" s="128"/>
      <c r="M403" s="128"/>
      <c r="N403" s="128"/>
      <c r="O403" s="128"/>
      <c r="P403" s="128"/>
      <c r="Q403" s="128"/>
      <c r="R403" s="128"/>
      <c r="S403" s="128"/>
      <c r="T403" s="128"/>
    </row>
    <row r="404" spans="4:20" ht="15.6">
      <c r="D404" s="128"/>
      <c r="E404" s="128"/>
      <c r="F404" s="128"/>
      <c r="G404" s="128"/>
      <c r="H404" s="128"/>
      <c r="I404" s="128"/>
      <c r="J404" s="128"/>
      <c r="K404" s="128"/>
      <c r="L404" s="128"/>
      <c r="M404" s="128"/>
      <c r="N404" s="128"/>
      <c r="O404" s="128"/>
      <c r="P404" s="128"/>
      <c r="Q404" s="128"/>
      <c r="R404" s="128"/>
      <c r="S404" s="128"/>
      <c r="T404" s="128"/>
    </row>
    <row r="405" spans="4:20" ht="15.6">
      <c r="D405" s="128"/>
      <c r="E405" s="128"/>
      <c r="F405" s="128"/>
      <c r="G405" s="128"/>
      <c r="H405" s="128"/>
      <c r="I405" s="128"/>
      <c r="J405" s="128"/>
      <c r="K405" s="128"/>
      <c r="L405" s="128"/>
      <c r="M405" s="128"/>
      <c r="N405" s="128"/>
      <c r="O405" s="128"/>
      <c r="P405" s="128"/>
      <c r="Q405" s="128"/>
      <c r="R405" s="128"/>
      <c r="S405" s="128"/>
      <c r="T405" s="128"/>
    </row>
    <row r="406" spans="4:20" ht="15.6">
      <c r="D406" s="128"/>
      <c r="E406" s="128"/>
      <c r="F406" s="128"/>
      <c r="G406" s="128"/>
      <c r="H406" s="128"/>
      <c r="I406" s="128"/>
      <c r="J406" s="128"/>
      <c r="K406" s="128"/>
      <c r="L406" s="128"/>
      <c r="M406" s="128"/>
      <c r="N406" s="128"/>
      <c r="O406" s="128"/>
      <c r="P406" s="128"/>
      <c r="Q406" s="128"/>
      <c r="R406" s="128"/>
      <c r="S406" s="128"/>
      <c r="T406" s="128"/>
    </row>
    <row r="407" spans="4:20" ht="15.6">
      <c r="D407" s="128"/>
      <c r="E407" s="128"/>
      <c r="F407" s="128"/>
      <c r="G407" s="128"/>
      <c r="H407" s="128"/>
      <c r="I407" s="128"/>
      <c r="J407" s="128"/>
      <c r="K407" s="128"/>
      <c r="L407" s="128"/>
      <c r="M407" s="128"/>
      <c r="N407" s="128"/>
      <c r="O407" s="128"/>
      <c r="P407" s="128"/>
      <c r="Q407" s="128"/>
      <c r="R407" s="128"/>
      <c r="S407" s="128"/>
      <c r="T407" s="128"/>
    </row>
    <row r="408" spans="4:20" ht="15.6">
      <c r="D408" s="128"/>
      <c r="E408" s="128"/>
      <c r="F408" s="128"/>
      <c r="G408" s="128"/>
      <c r="H408" s="128"/>
      <c r="I408" s="128"/>
      <c r="J408" s="128"/>
      <c r="K408" s="128"/>
      <c r="L408" s="128"/>
      <c r="M408" s="128"/>
      <c r="N408" s="128"/>
      <c r="O408" s="128"/>
      <c r="P408" s="128"/>
      <c r="Q408" s="128"/>
      <c r="R408" s="128"/>
      <c r="S408" s="128"/>
      <c r="T408" s="128"/>
    </row>
    <row r="409" spans="4:20" ht="15.6">
      <c r="D409" s="128"/>
      <c r="E409" s="128"/>
      <c r="F409" s="128"/>
      <c r="G409" s="128"/>
      <c r="H409" s="128"/>
      <c r="I409" s="128"/>
      <c r="J409" s="128"/>
      <c r="K409" s="128"/>
      <c r="L409" s="128"/>
      <c r="M409" s="128"/>
      <c r="N409" s="128"/>
      <c r="O409" s="128"/>
      <c r="P409" s="128"/>
      <c r="Q409" s="128"/>
      <c r="R409" s="128"/>
      <c r="S409" s="128"/>
      <c r="T409" s="128"/>
    </row>
    <row r="410" spans="4:20" ht="15.6">
      <c r="D410" s="128"/>
      <c r="E410" s="128"/>
      <c r="F410" s="128"/>
      <c r="G410" s="128"/>
      <c r="H410" s="128"/>
      <c r="I410" s="128"/>
      <c r="J410" s="128"/>
      <c r="K410" s="128"/>
      <c r="L410" s="128"/>
      <c r="M410" s="128"/>
      <c r="N410" s="128"/>
      <c r="O410" s="128"/>
      <c r="P410" s="128"/>
      <c r="Q410" s="128"/>
      <c r="R410" s="128"/>
      <c r="S410" s="128"/>
      <c r="T410" s="128"/>
    </row>
    <row r="411" spans="4:20" ht="15.6">
      <c r="D411" s="128"/>
      <c r="E411" s="128"/>
      <c r="F411" s="128"/>
      <c r="G411" s="128"/>
      <c r="H411" s="128"/>
      <c r="I411" s="128"/>
      <c r="J411" s="128"/>
      <c r="K411" s="128"/>
      <c r="L411" s="128"/>
      <c r="M411" s="128"/>
      <c r="N411" s="128"/>
      <c r="O411" s="128"/>
      <c r="P411" s="128"/>
      <c r="Q411" s="128"/>
      <c r="R411" s="128"/>
      <c r="S411" s="128"/>
      <c r="T411" s="128"/>
    </row>
    <row r="412" spans="4:20" ht="15.6">
      <c r="D412" s="128"/>
      <c r="E412" s="128"/>
      <c r="F412" s="128"/>
      <c r="G412" s="128"/>
      <c r="H412" s="128"/>
      <c r="I412" s="128"/>
      <c r="J412" s="128"/>
      <c r="K412" s="128"/>
      <c r="L412" s="128"/>
      <c r="M412" s="128"/>
      <c r="N412" s="128"/>
      <c r="O412" s="128"/>
      <c r="P412" s="128"/>
      <c r="Q412" s="128"/>
      <c r="R412" s="128"/>
      <c r="S412" s="128"/>
      <c r="T412" s="128"/>
    </row>
    <row r="413" spans="4:20" ht="15.6">
      <c r="D413" s="128"/>
      <c r="E413" s="128"/>
      <c r="F413" s="128"/>
      <c r="G413" s="128"/>
      <c r="H413" s="128"/>
      <c r="I413" s="128"/>
      <c r="J413" s="128"/>
      <c r="K413" s="128"/>
      <c r="L413" s="128"/>
      <c r="M413" s="128"/>
      <c r="N413" s="128"/>
      <c r="O413" s="128"/>
      <c r="P413" s="128"/>
      <c r="Q413" s="128"/>
      <c r="R413" s="128"/>
      <c r="S413" s="128"/>
      <c r="T413" s="128"/>
    </row>
    <row r="414" spans="4:20" ht="15.6">
      <c r="D414" s="128"/>
      <c r="E414" s="128"/>
      <c r="F414" s="128"/>
      <c r="G414" s="128"/>
      <c r="H414" s="128"/>
      <c r="I414" s="128"/>
      <c r="J414" s="128"/>
      <c r="K414" s="128"/>
      <c r="L414" s="128"/>
      <c r="M414" s="128"/>
      <c r="N414" s="128"/>
      <c r="O414" s="128"/>
      <c r="P414" s="128"/>
      <c r="Q414" s="128"/>
      <c r="R414" s="128"/>
      <c r="S414" s="128"/>
      <c r="T414" s="128"/>
    </row>
    <row r="415" spans="4:20" ht="15.6">
      <c r="D415" s="128"/>
      <c r="E415" s="128"/>
      <c r="F415" s="128"/>
      <c r="G415" s="128"/>
      <c r="H415" s="128"/>
      <c r="I415" s="128"/>
      <c r="J415" s="128"/>
      <c r="K415" s="128"/>
      <c r="L415" s="128"/>
      <c r="M415" s="128"/>
      <c r="N415" s="128"/>
      <c r="O415" s="128"/>
      <c r="P415" s="128"/>
      <c r="Q415" s="128"/>
      <c r="R415" s="128"/>
      <c r="S415" s="128"/>
      <c r="T415" s="128"/>
    </row>
    <row r="416" spans="4:20" ht="15.6">
      <c r="D416" s="128"/>
      <c r="E416" s="128"/>
      <c r="F416" s="128"/>
      <c r="G416" s="128"/>
      <c r="H416" s="128"/>
      <c r="I416" s="128"/>
      <c r="J416" s="128"/>
      <c r="K416" s="128"/>
      <c r="L416" s="128"/>
      <c r="M416" s="128"/>
      <c r="N416" s="128"/>
      <c r="O416" s="128"/>
      <c r="P416" s="128"/>
      <c r="Q416" s="128"/>
      <c r="R416" s="128"/>
      <c r="S416" s="128"/>
      <c r="T416" s="128"/>
    </row>
    <row r="417" spans="4:20" ht="15.6">
      <c r="D417" s="128"/>
      <c r="E417" s="128"/>
      <c r="F417" s="128"/>
      <c r="G417" s="128"/>
      <c r="H417" s="128"/>
      <c r="I417" s="128"/>
      <c r="J417" s="128"/>
      <c r="K417" s="128"/>
      <c r="L417" s="128"/>
      <c r="M417" s="128"/>
      <c r="N417" s="128"/>
      <c r="O417" s="128"/>
      <c r="P417" s="128"/>
      <c r="Q417" s="128"/>
      <c r="R417" s="128"/>
      <c r="S417" s="128"/>
      <c r="T417" s="128"/>
    </row>
    <row r="418" spans="4:20" ht="15.6">
      <c r="D418" s="128"/>
      <c r="E418" s="128"/>
      <c r="F418" s="128"/>
      <c r="G418" s="128"/>
      <c r="H418" s="128"/>
      <c r="I418" s="128"/>
      <c r="J418" s="128"/>
      <c r="K418" s="128"/>
      <c r="L418" s="128"/>
      <c r="M418" s="128"/>
      <c r="N418" s="128"/>
      <c r="O418" s="128"/>
      <c r="P418" s="128"/>
      <c r="Q418" s="128"/>
      <c r="R418" s="128"/>
      <c r="S418" s="128"/>
      <c r="T418" s="128"/>
    </row>
    <row r="419" spans="4:20" ht="15.6">
      <c r="D419" s="128"/>
      <c r="E419" s="128"/>
      <c r="F419" s="128"/>
      <c r="G419" s="128"/>
      <c r="H419" s="128"/>
      <c r="I419" s="128"/>
      <c r="J419" s="128"/>
      <c r="K419" s="128"/>
      <c r="L419" s="128"/>
      <c r="M419" s="128"/>
      <c r="N419" s="128"/>
      <c r="O419" s="128"/>
      <c r="P419" s="128"/>
      <c r="Q419" s="128"/>
      <c r="R419" s="128"/>
      <c r="S419" s="128"/>
      <c r="T419" s="128"/>
    </row>
    <row r="420" spans="4:20" ht="15.6">
      <c r="D420" s="128"/>
      <c r="E420" s="128"/>
      <c r="F420" s="128"/>
      <c r="G420" s="128"/>
      <c r="H420" s="128"/>
      <c r="I420" s="128"/>
      <c r="J420" s="128"/>
      <c r="K420" s="128"/>
      <c r="L420" s="128"/>
      <c r="M420" s="128"/>
      <c r="N420" s="128"/>
      <c r="O420" s="128"/>
      <c r="P420" s="128"/>
      <c r="Q420" s="128"/>
      <c r="R420" s="128"/>
      <c r="S420" s="128"/>
      <c r="T420" s="128"/>
    </row>
    <row r="421" spans="4:20" ht="15.6">
      <c r="D421" s="128"/>
      <c r="E421" s="128"/>
      <c r="F421" s="128"/>
      <c r="G421" s="128"/>
      <c r="H421" s="128"/>
      <c r="I421" s="128"/>
      <c r="J421" s="128"/>
      <c r="K421" s="128"/>
      <c r="L421" s="128"/>
      <c r="M421" s="128"/>
      <c r="N421" s="128"/>
      <c r="O421" s="128"/>
      <c r="P421" s="128"/>
      <c r="Q421" s="128"/>
      <c r="R421" s="128"/>
      <c r="S421" s="128"/>
      <c r="T421" s="128"/>
    </row>
    <row r="422" spans="4:20" ht="15.6">
      <c r="D422" s="128"/>
      <c r="E422" s="128"/>
      <c r="F422" s="128"/>
      <c r="G422" s="128"/>
      <c r="H422" s="128"/>
      <c r="I422" s="128"/>
      <c r="J422" s="128"/>
      <c r="K422" s="128"/>
      <c r="L422" s="128"/>
      <c r="M422" s="128"/>
      <c r="N422" s="128"/>
      <c r="O422" s="128"/>
      <c r="P422" s="128"/>
      <c r="Q422" s="128"/>
      <c r="R422" s="128"/>
      <c r="S422" s="128"/>
      <c r="T422" s="128"/>
    </row>
    <row r="423" spans="4:20" ht="15.6">
      <c r="D423" s="128"/>
      <c r="E423" s="128"/>
      <c r="F423" s="128"/>
      <c r="G423" s="128"/>
      <c r="H423" s="128"/>
      <c r="I423" s="128"/>
      <c r="J423" s="128"/>
      <c r="K423" s="128"/>
      <c r="L423" s="128"/>
      <c r="M423" s="128"/>
      <c r="N423" s="128"/>
      <c r="O423" s="128"/>
      <c r="P423" s="128"/>
      <c r="Q423" s="128"/>
      <c r="R423" s="128"/>
      <c r="S423" s="128"/>
      <c r="T423" s="128"/>
    </row>
    <row r="424" spans="4:20" ht="15.6">
      <c r="D424" s="128"/>
      <c r="E424" s="128"/>
      <c r="F424" s="128"/>
      <c r="G424" s="128"/>
      <c r="H424" s="128"/>
      <c r="I424" s="128"/>
      <c r="J424" s="128"/>
      <c r="K424" s="128"/>
      <c r="L424" s="128"/>
      <c r="M424" s="128"/>
      <c r="N424" s="128"/>
      <c r="O424" s="128"/>
      <c r="P424" s="128"/>
      <c r="Q424" s="128"/>
      <c r="R424" s="128"/>
      <c r="S424" s="128"/>
      <c r="T424" s="128"/>
    </row>
    <row r="425" spans="4:20" ht="15.6">
      <c r="D425" s="128"/>
      <c r="E425" s="128"/>
      <c r="F425" s="128"/>
      <c r="G425" s="128"/>
      <c r="H425" s="128"/>
      <c r="I425" s="128"/>
      <c r="J425" s="128"/>
      <c r="K425" s="128"/>
      <c r="L425" s="128"/>
      <c r="M425" s="128"/>
      <c r="N425" s="128"/>
      <c r="O425" s="128"/>
      <c r="P425" s="128"/>
      <c r="Q425" s="128"/>
      <c r="R425" s="128"/>
      <c r="S425" s="128"/>
      <c r="T425" s="128"/>
    </row>
    <row r="426" spans="4:20" ht="15.6">
      <c r="D426" s="128"/>
      <c r="E426" s="128"/>
      <c r="F426" s="128"/>
      <c r="G426" s="128"/>
      <c r="H426" s="128"/>
      <c r="I426" s="128"/>
      <c r="J426" s="128"/>
      <c r="K426" s="128"/>
      <c r="L426" s="128"/>
      <c r="M426" s="128"/>
      <c r="N426" s="128"/>
      <c r="O426" s="128"/>
      <c r="P426" s="128"/>
      <c r="Q426" s="128"/>
      <c r="R426" s="128"/>
      <c r="S426" s="128"/>
      <c r="T426" s="128"/>
    </row>
    <row r="427" spans="4:20" ht="15.6">
      <c r="D427" s="128"/>
      <c r="E427" s="128"/>
      <c r="F427" s="128"/>
      <c r="G427" s="128"/>
      <c r="H427" s="128"/>
      <c r="I427" s="128"/>
      <c r="J427" s="128"/>
      <c r="K427" s="128"/>
      <c r="L427" s="128"/>
      <c r="M427" s="128"/>
      <c r="N427" s="128"/>
      <c r="O427" s="128"/>
      <c r="P427" s="128"/>
      <c r="Q427" s="128"/>
      <c r="R427" s="128"/>
      <c r="S427" s="128"/>
      <c r="T427" s="128"/>
    </row>
    <row r="428" spans="4:20" ht="15.6">
      <c r="D428" s="128"/>
      <c r="E428" s="128"/>
      <c r="F428" s="128"/>
      <c r="G428" s="128"/>
      <c r="H428" s="128"/>
      <c r="I428" s="128"/>
      <c r="J428" s="128"/>
      <c r="K428" s="128"/>
      <c r="L428" s="128"/>
      <c r="M428" s="128"/>
      <c r="N428" s="128"/>
      <c r="O428" s="128"/>
      <c r="P428" s="128"/>
      <c r="Q428" s="128"/>
      <c r="R428" s="128"/>
      <c r="S428" s="128"/>
      <c r="T428" s="128"/>
    </row>
    <row r="429" spans="4:20" ht="15.6">
      <c r="D429" s="128"/>
      <c r="E429" s="128"/>
      <c r="F429" s="128"/>
      <c r="G429" s="128"/>
      <c r="H429" s="128"/>
      <c r="I429" s="128"/>
      <c r="J429" s="128"/>
      <c r="K429" s="128"/>
      <c r="L429" s="128"/>
      <c r="M429" s="128"/>
      <c r="N429" s="128"/>
      <c r="O429" s="128"/>
      <c r="P429" s="128"/>
      <c r="Q429" s="128"/>
      <c r="R429" s="128"/>
      <c r="S429" s="128"/>
      <c r="T429" s="128"/>
    </row>
    <row r="430" spans="4:20" ht="15.6">
      <c r="D430" s="128"/>
      <c r="E430" s="128"/>
      <c r="F430" s="128"/>
      <c r="G430" s="128"/>
      <c r="H430" s="128"/>
      <c r="I430" s="128"/>
      <c r="J430" s="128"/>
      <c r="K430" s="128"/>
      <c r="L430" s="128"/>
      <c r="M430" s="128"/>
      <c r="N430" s="128"/>
      <c r="O430" s="128"/>
      <c r="P430" s="128"/>
      <c r="Q430" s="128"/>
      <c r="R430" s="128"/>
      <c r="S430" s="128"/>
      <c r="T430" s="128"/>
    </row>
    <row r="431" spans="4:20" ht="15.6">
      <c r="D431" s="128"/>
      <c r="E431" s="128"/>
      <c r="F431" s="128"/>
      <c r="G431" s="128"/>
      <c r="H431" s="128"/>
      <c r="I431" s="128"/>
      <c r="J431" s="128"/>
      <c r="K431" s="128"/>
      <c r="L431" s="128"/>
      <c r="M431" s="128"/>
      <c r="N431" s="128"/>
      <c r="O431" s="128"/>
      <c r="P431" s="128"/>
      <c r="Q431" s="128"/>
      <c r="R431" s="128"/>
      <c r="S431" s="128"/>
      <c r="T431" s="128"/>
    </row>
    <row r="432" spans="4:20" ht="15.6">
      <c r="D432" s="128"/>
      <c r="E432" s="128"/>
      <c r="F432" s="128"/>
      <c r="G432" s="128"/>
      <c r="H432" s="128"/>
      <c r="I432" s="128"/>
      <c r="J432" s="128"/>
      <c r="K432" s="128"/>
      <c r="L432" s="128"/>
      <c r="M432" s="128"/>
      <c r="N432" s="128"/>
      <c r="O432" s="128"/>
      <c r="P432" s="128"/>
      <c r="Q432" s="128"/>
      <c r="R432" s="128"/>
      <c r="S432" s="128"/>
      <c r="T432" s="128"/>
    </row>
    <row r="433" spans="4:20" ht="15.6">
      <c r="D433" s="128"/>
      <c r="E433" s="128"/>
      <c r="F433" s="128"/>
      <c r="G433" s="128"/>
      <c r="H433" s="128"/>
      <c r="I433" s="128"/>
      <c r="J433" s="128"/>
      <c r="K433" s="128"/>
      <c r="L433" s="128"/>
      <c r="M433" s="128"/>
      <c r="N433" s="128"/>
      <c r="O433" s="128"/>
      <c r="P433" s="128"/>
      <c r="Q433" s="128"/>
      <c r="R433" s="128"/>
      <c r="S433" s="128"/>
      <c r="T433" s="128"/>
    </row>
    <row r="434" spans="4:20" ht="15.6">
      <c r="D434" s="128"/>
      <c r="E434" s="128"/>
      <c r="F434" s="128"/>
      <c r="G434" s="128"/>
      <c r="H434" s="128"/>
      <c r="I434" s="128"/>
      <c r="J434" s="128"/>
      <c r="K434" s="128"/>
      <c r="L434" s="128"/>
      <c r="M434" s="128"/>
      <c r="N434" s="128"/>
      <c r="O434" s="128"/>
      <c r="P434" s="128"/>
      <c r="Q434" s="128"/>
      <c r="R434" s="128"/>
      <c r="S434" s="128"/>
      <c r="T434" s="128"/>
    </row>
    <row r="435" spans="4:20" ht="15.6">
      <c r="D435" s="128"/>
      <c r="E435" s="128"/>
      <c r="F435" s="128"/>
      <c r="G435" s="128"/>
      <c r="H435" s="128"/>
      <c r="I435" s="128"/>
      <c r="J435" s="128"/>
      <c r="K435" s="128"/>
      <c r="L435" s="128"/>
      <c r="M435" s="128"/>
      <c r="N435" s="128"/>
      <c r="O435" s="128"/>
      <c r="P435" s="128"/>
      <c r="Q435" s="128"/>
      <c r="R435" s="128"/>
      <c r="S435" s="128"/>
      <c r="T435" s="128"/>
    </row>
    <row r="436" spans="4:20" ht="15.6">
      <c r="D436" s="128"/>
      <c r="E436" s="128"/>
      <c r="F436" s="128"/>
      <c r="G436" s="128"/>
      <c r="H436" s="128"/>
      <c r="I436" s="128"/>
      <c r="J436" s="128"/>
      <c r="K436" s="128"/>
      <c r="L436" s="128"/>
      <c r="M436" s="128"/>
      <c r="N436" s="128"/>
      <c r="O436" s="128"/>
      <c r="P436" s="128"/>
      <c r="Q436" s="128"/>
      <c r="R436" s="128"/>
      <c r="S436" s="128"/>
      <c r="T436" s="128"/>
    </row>
    <row r="437" spans="4:20" ht="15.6">
      <c r="D437" s="128"/>
      <c r="E437" s="128"/>
      <c r="F437" s="128"/>
      <c r="G437" s="128"/>
      <c r="H437" s="128"/>
      <c r="I437" s="128"/>
      <c r="J437" s="128"/>
      <c r="K437" s="128"/>
      <c r="L437" s="128"/>
      <c r="M437" s="128"/>
      <c r="N437" s="128"/>
      <c r="O437" s="128"/>
      <c r="P437" s="128"/>
      <c r="Q437" s="128"/>
      <c r="R437" s="128"/>
      <c r="S437" s="128"/>
      <c r="T437" s="128"/>
    </row>
    <row r="438" spans="4:20" ht="15.6">
      <c r="D438" s="128"/>
      <c r="E438" s="128"/>
      <c r="F438" s="128"/>
      <c r="G438" s="128"/>
      <c r="H438" s="128"/>
      <c r="I438" s="128"/>
      <c r="J438" s="128"/>
      <c r="K438" s="128"/>
      <c r="L438" s="128"/>
      <c r="M438" s="128"/>
      <c r="N438" s="128"/>
      <c r="O438" s="128"/>
      <c r="P438" s="128"/>
      <c r="Q438" s="128"/>
      <c r="R438" s="128"/>
      <c r="S438" s="128"/>
      <c r="T438" s="128"/>
    </row>
    <row r="439" spans="4:20" ht="15.6">
      <c r="D439" s="128"/>
      <c r="E439" s="128"/>
      <c r="F439" s="128"/>
      <c r="G439" s="128"/>
      <c r="H439" s="128"/>
      <c r="I439" s="128"/>
      <c r="J439" s="128"/>
      <c r="K439" s="128"/>
      <c r="L439" s="128"/>
      <c r="M439" s="128"/>
      <c r="N439" s="128"/>
      <c r="O439" s="128"/>
      <c r="P439" s="128"/>
      <c r="Q439" s="128"/>
      <c r="R439" s="128"/>
      <c r="S439" s="128"/>
      <c r="T439" s="128"/>
    </row>
    <row r="440" spans="4:20" ht="15.6">
      <c r="D440" s="128"/>
      <c r="E440" s="128"/>
      <c r="F440" s="128"/>
      <c r="G440" s="128"/>
      <c r="H440" s="128"/>
      <c r="I440" s="128"/>
      <c r="J440" s="128"/>
      <c r="K440" s="128"/>
      <c r="L440" s="128"/>
      <c r="M440" s="128"/>
      <c r="N440" s="128"/>
      <c r="O440" s="128"/>
      <c r="P440" s="128"/>
      <c r="Q440" s="128"/>
      <c r="R440" s="128"/>
      <c r="S440" s="128"/>
      <c r="T440" s="128"/>
    </row>
    <row r="441" spans="4:20" ht="15.6">
      <c r="D441" s="128"/>
      <c r="E441" s="128"/>
      <c r="F441" s="128"/>
      <c r="G441" s="128"/>
      <c r="H441" s="128"/>
      <c r="I441" s="128"/>
      <c r="J441" s="128"/>
      <c r="K441" s="128"/>
      <c r="L441" s="128"/>
      <c r="M441" s="128"/>
      <c r="N441" s="128"/>
      <c r="O441" s="128"/>
      <c r="P441" s="128"/>
      <c r="Q441" s="128"/>
      <c r="R441" s="128"/>
      <c r="S441" s="128"/>
      <c r="T441" s="128"/>
    </row>
    <row r="442" spans="4:20" ht="15.6">
      <c r="D442" s="128"/>
      <c r="E442" s="128"/>
      <c r="F442" s="128"/>
      <c r="G442" s="128"/>
      <c r="H442" s="128"/>
      <c r="I442" s="128"/>
      <c r="J442" s="128"/>
      <c r="K442" s="128"/>
      <c r="L442" s="128"/>
      <c r="M442" s="128"/>
      <c r="N442" s="128"/>
      <c r="O442" s="128"/>
      <c r="P442" s="128"/>
      <c r="Q442" s="128"/>
      <c r="R442" s="128"/>
      <c r="S442" s="128"/>
      <c r="T442" s="128"/>
    </row>
    <row r="443" spans="4:20" ht="15.6">
      <c r="D443" s="128"/>
      <c r="E443" s="128"/>
      <c r="F443" s="128"/>
      <c r="G443" s="128"/>
      <c r="H443" s="128"/>
      <c r="I443" s="128"/>
      <c r="J443" s="128"/>
      <c r="K443" s="128"/>
      <c r="L443" s="128"/>
      <c r="M443" s="128"/>
      <c r="N443" s="128"/>
      <c r="O443" s="128"/>
      <c r="P443" s="128"/>
      <c r="Q443" s="128"/>
      <c r="R443" s="128"/>
      <c r="S443" s="128"/>
      <c r="T443" s="128"/>
    </row>
    <row r="444" spans="4:20" ht="15.6">
      <c r="D444" s="128"/>
      <c r="E444" s="128"/>
      <c r="F444" s="128"/>
      <c r="G444" s="128"/>
      <c r="H444" s="128"/>
      <c r="I444" s="128"/>
      <c r="J444" s="128"/>
      <c r="K444" s="128"/>
      <c r="L444" s="128"/>
      <c r="M444" s="128"/>
      <c r="N444" s="128"/>
      <c r="O444" s="128"/>
      <c r="P444" s="128"/>
      <c r="Q444" s="128"/>
      <c r="R444" s="128"/>
      <c r="S444" s="128"/>
      <c r="T444" s="128"/>
    </row>
    <row r="445" spans="4:20" ht="15.6">
      <c r="D445" s="128"/>
      <c r="E445" s="128"/>
      <c r="F445" s="128"/>
      <c r="G445" s="128"/>
      <c r="H445" s="128"/>
      <c r="I445" s="128"/>
      <c r="J445" s="128"/>
      <c r="K445" s="128"/>
      <c r="L445" s="128"/>
      <c r="M445" s="128"/>
      <c r="N445" s="128"/>
      <c r="O445" s="128"/>
      <c r="P445" s="128"/>
      <c r="Q445" s="128"/>
      <c r="R445" s="128"/>
      <c r="S445" s="128"/>
      <c r="T445" s="128"/>
    </row>
    <row r="446" spans="4:20" ht="15.6">
      <c r="D446" s="128"/>
      <c r="E446" s="128"/>
      <c r="F446" s="128"/>
      <c r="G446" s="128"/>
      <c r="H446" s="128"/>
      <c r="I446" s="128"/>
      <c r="J446" s="128"/>
      <c r="K446" s="128"/>
      <c r="L446" s="128"/>
      <c r="M446" s="128"/>
      <c r="N446" s="128"/>
      <c r="O446" s="128"/>
      <c r="P446" s="128"/>
      <c r="Q446" s="128"/>
      <c r="R446" s="128"/>
      <c r="S446" s="128"/>
      <c r="T446" s="128"/>
    </row>
    <row r="447" spans="4:20" ht="15.6">
      <c r="D447" s="128"/>
      <c r="E447" s="128"/>
      <c r="F447" s="128"/>
      <c r="G447" s="128"/>
      <c r="H447" s="128"/>
      <c r="I447" s="128"/>
      <c r="J447" s="128"/>
      <c r="K447" s="128"/>
      <c r="L447" s="128"/>
      <c r="M447" s="128"/>
      <c r="N447" s="128"/>
      <c r="O447" s="128"/>
      <c r="P447" s="128"/>
      <c r="Q447" s="128"/>
      <c r="R447" s="128"/>
      <c r="S447" s="128"/>
      <c r="T447" s="128"/>
    </row>
    <row r="448" spans="4:20" ht="15.6">
      <c r="D448" s="128"/>
      <c r="E448" s="128"/>
      <c r="F448" s="128"/>
      <c r="G448" s="128"/>
      <c r="H448" s="128"/>
      <c r="I448" s="128"/>
      <c r="J448" s="128"/>
      <c r="K448" s="128"/>
      <c r="L448" s="128"/>
      <c r="M448" s="128"/>
      <c r="N448" s="128"/>
      <c r="O448" s="128"/>
      <c r="P448" s="128"/>
      <c r="Q448" s="128"/>
      <c r="R448" s="128"/>
      <c r="S448" s="128"/>
      <c r="T448" s="128"/>
    </row>
    <row r="449" spans="4:20" ht="15.6">
      <c r="D449" s="128"/>
      <c r="E449" s="128"/>
      <c r="F449" s="128"/>
      <c r="G449" s="128"/>
      <c r="H449" s="128"/>
      <c r="I449" s="128"/>
      <c r="J449" s="128"/>
      <c r="K449" s="128"/>
      <c r="L449" s="128"/>
      <c r="M449" s="128"/>
      <c r="N449" s="128"/>
      <c r="O449" s="128"/>
      <c r="P449" s="128"/>
      <c r="Q449" s="128"/>
      <c r="R449" s="128"/>
      <c r="S449" s="128"/>
      <c r="T449" s="128"/>
    </row>
    <row r="450" spans="4:20" ht="15.6">
      <c r="D450" s="128"/>
      <c r="E450" s="128"/>
      <c r="F450" s="128"/>
      <c r="G450" s="128"/>
      <c r="H450" s="128"/>
      <c r="I450" s="128"/>
      <c r="J450" s="128"/>
      <c r="K450" s="128"/>
      <c r="L450" s="128"/>
      <c r="M450" s="128"/>
      <c r="N450" s="128"/>
      <c r="O450" s="128"/>
      <c r="P450" s="128"/>
      <c r="Q450" s="128"/>
      <c r="R450" s="128"/>
      <c r="S450" s="128"/>
      <c r="T450" s="128"/>
    </row>
    <row r="451" spans="4:20" ht="15.6">
      <c r="D451" s="128"/>
      <c r="E451" s="128"/>
      <c r="F451" s="128"/>
      <c r="G451" s="128"/>
      <c r="H451" s="128"/>
      <c r="I451" s="128"/>
      <c r="J451" s="128"/>
      <c r="K451" s="128"/>
      <c r="L451" s="128"/>
      <c r="M451" s="128"/>
      <c r="N451" s="128"/>
      <c r="O451" s="128"/>
      <c r="P451" s="128"/>
      <c r="Q451" s="128"/>
      <c r="R451" s="128"/>
      <c r="S451" s="128"/>
      <c r="T451" s="128"/>
    </row>
    <row r="452" spans="4:20" ht="15.6">
      <c r="D452" s="128"/>
      <c r="E452" s="128"/>
      <c r="F452" s="128"/>
      <c r="G452" s="128"/>
      <c r="H452" s="128"/>
      <c r="I452" s="128"/>
      <c r="J452" s="128"/>
      <c r="K452" s="128"/>
      <c r="L452" s="128"/>
      <c r="M452" s="128"/>
      <c r="N452" s="128"/>
      <c r="O452" s="128"/>
      <c r="P452" s="128"/>
      <c r="Q452" s="128"/>
      <c r="R452" s="128"/>
      <c r="S452" s="128"/>
      <c r="T452" s="128"/>
    </row>
    <row r="453" spans="4:20" ht="15.6">
      <c r="D453" s="128"/>
      <c r="E453" s="128"/>
      <c r="F453" s="128"/>
      <c r="G453" s="128"/>
      <c r="H453" s="128"/>
      <c r="I453" s="128"/>
      <c r="J453" s="128"/>
      <c r="K453" s="128"/>
      <c r="L453" s="128"/>
      <c r="M453" s="128"/>
      <c r="N453" s="128"/>
      <c r="O453" s="128"/>
      <c r="P453" s="128"/>
      <c r="Q453" s="128"/>
      <c r="R453" s="128"/>
      <c r="S453" s="128"/>
      <c r="T453" s="128"/>
    </row>
    <row r="454" spans="4:20" ht="15.6">
      <c r="D454" s="128"/>
      <c r="E454" s="128"/>
      <c r="F454" s="128"/>
      <c r="G454" s="128"/>
      <c r="H454" s="128"/>
      <c r="I454" s="128"/>
      <c r="J454" s="128"/>
      <c r="K454" s="128"/>
      <c r="L454" s="128"/>
      <c r="M454" s="128"/>
      <c r="N454" s="128"/>
      <c r="O454" s="128"/>
      <c r="P454" s="128"/>
      <c r="Q454" s="128"/>
      <c r="R454" s="128"/>
      <c r="S454" s="128"/>
      <c r="T454" s="128"/>
    </row>
    <row r="455" spans="4:20" ht="15.6">
      <c r="D455" s="128"/>
      <c r="E455" s="128"/>
      <c r="F455" s="128"/>
      <c r="G455" s="128"/>
      <c r="H455" s="128"/>
      <c r="I455" s="128"/>
      <c r="J455" s="128"/>
      <c r="K455" s="128"/>
      <c r="L455" s="128"/>
      <c r="M455" s="128"/>
      <c r="N455" s="128"/>
      <c r="O455" s="128"/>
      <c r="P455" s="128"/>
      <c r="Q455" s="128"/>
      <c r="R455" s="128"/>
      <c r="S455" s="128"/>
      <c r="T455" s="128"/>
    </row>
    <row r="456" spans="4:20" ht="15.6">
      <c r="D456" s="128"/>
      <c r="E456" s="128"/>
      <c r="F456" s="128"/>
      <c r="G456" s="128"/>
      <c r="H456" s="128"/>
      <c r="I456" s="128"/>
      <c r="J456" s="128"/>
      <c r="K456" s="128"/>
      <c r="L456" s="128"/>
      <c r="M456" s="128"/>
      <c r="N456" s="128"/>
      <c r="O456" s="128"/>
      <c r="P456" s="128"/>
      <c r="Q456" s="128"/>
      <c r="R456" s="128"/>
      <c r="S456" s="128"/>
      <c r="T456" s="128"/>
    </row>
    <row r="457" spans="4:20" ht="15.6">
      <c r="D457" s="128"/>
      <c r="E457" s="128"/>
      <c r="F457" s="128"/>
      <c r="G457" s="128"/>
      <c r="H457" s="128"/>
      <c r="I457" s="128"/>
      <c r="J457" s="128"/>
      <c r="K457" s="128"/>
      <c r="L457" s="128"/>
      <c r="M457" s="128"/>
      <c r="N457" s="128"/>
      <c r="O457" s="128"/>
      <c r="P457" s="128"/>
      <c r="Q457" s="128"/>
      <c r="R457" s="128"/>
      <c r="S457" s="128"/>
      <c r="T457" s="128"/>
    </row>
    <row r="458" spans="4:20" ht="15.6">
      <c r="D458" s="128"/>
      <c r="E458" s="128"/>
      <c r="F458" s="128"/>
      <c r="G458" s="128"/>
      <c r="H458" s="128"/>
      <c r="I458" s="128"/>
      <c r="J458" s="128"/>
      <c r="K458" s="128"/>
      <c r="L458" s="128"/>
      <c r="M458" s="128"/>
      <c r="N458" s="128"/>
      <c r="O458" s="128"/>
      <c r="P458" s="128"/>
      <c r="Q458" s="128"/>
      <c r="R458" s="128"/>
      <c r="S458" s="128"/>
      <c r="T458" s="128"/>
    </row>
    <row r="459" spans="4:20" ht="15.6">
      <c r="D459" s="128"/>
      <c r="E459" s="128"/>
      <c r="F459" s="128"/>
      <c r="G459" s="128"/>
      <c r="H459" s="128"/>
      <c r="I459" s="128"/>
      <c r="J459" s="128"/>
      <c r="K459" s="128"/>
      <c r="L459" s="128"/>
      <c r="M459" s="128"/>
      <c r="N459" s="128"/>
      <c r="O459" s="128"/>
      <c r="P459" s="128"/>
      <c r="Q459" s="128"/>
      <c r="R459" s="128"/>
      <c r="S459" s="128"/>
      <c r="T459" s="128"/>
    </row>
    <row r="460" spans="4:20" ht="15.6">
      <c r="D460" s="128"/>
      <c r="E460" s="128"/>
      <c r="F460" s="128"/>
      <c r="G460" s="128"/>
      <c r="H460" s="128"/>
      <c r="I460" s="128"/>
      <c r="J460" s="128"/>
      <c r="K460" s="128"/>
      <c r="L460" s="128"/>
      <c r="M460" s="128"/>
      <c r="N460" s="128"/>
      <c r="O460" s="128"/>
      <c r="P460" s="128"/>
      <c r="Q460" s="128"/>
      <c r="R460" s="128"/>
      <c r="S460" s="128"/>
      <c r="T460" s="128"/>
    </row>
    <row r="461" spans="4:20" ht="15.6">
      <c r="D461" s="128"/>
      <c r="E461" s="128"/>
      <c r="F461" s="128"/>
      <c r="G461" s="128"/>
      <c r="H461" s="128"/>
      <c r="I461" s="128"/>
      <c r="J461" s="128"/>
      <c r="K461" s="128"/>
      <c r="L461" s="128"/>
      <c r="M461" s="128"/>
      <c r="N461" s="128"/>
      <c r="O461" s="128"/>
      <c r="P461" s="128"/>
      <c r="Q461" s="128"/>
      <c r="R461" s="128"/>
      <c r="S461" s="128"/>
      <c r="T461" s="128"/>
    </row>
    <row r="462" spans="4:20" ht="15.6">
      <c r="D462" s="128"/>
      <c r="E462" s="128"/>
      <c r="F462" s="128"/>
      <c r="G462" s="128"/>
      <c r="H462" s="128"/>
      <c r="I462" s="128"/>
      <c r="J462" s="128"/>
      <c r="K462" s="128"/>
      <c r="L462" s="128"/>
      <c r="M462" s="128"/>
      <c r="N462" s="128"/>
      <c r="O462" s="128"/>
      <c r="P462" s="128"/>
      <c r="Q462" s="128"/>
      <c r="R462" s="128"/>
      <c r="S462" s="128"/>
      <c r="T462" s="128"/>
    </row>
    <row r="463" spans="4:20" ht="15.6">
      <c r="D463" s="128"/>
      <c r="E463" s="128"/>
      <c r="F463" s="128"/>
      <c r="G463" s="128"/>
      <c r="H463" s="128"/>
      <c r="I463" s="128"/>
      <c r="J463" s="128"/>
      <c r="K463" s="128"/>
      <c r="L463" s="128"/>
      <c r="M463" s="128"/>
      <c r="N463" s="128"/>
      <c r="O463" s="128"/>
      <c r="P463" s="128"/>
      <c r="Q463" s="128"/>
      <c r="R463" s="128"/>
      <c r="S463" s="128"/>
      <c r="T463" s="128"/>
    </row>
    <row r="464" spans="4:20" ht="15.6">
      <c r="D464" s="128"/>
      <c r="E464" s="128"/>
      <c r="F464" s="128"/>
      <c r="G464" s="128"/>
      <c r="H464" s="128"/>
      <c r="I464" s="128"/>
      <c r="J464" s="128"/>
      <c r="K464" s="128"/>
      <c r="L464" s="128"/>
      <c r="M464" s="128"/>
      <c r="N464" s="128"/>
      <c r="O464" s="128"/>
      <c r="P464" s="128"/>
      <c r="Q464" s="128"/>
      <c r="R464" s="128"/>
      <c r="S464" s="128"/>
      <c r="T464" s="128"/>
    </row>
    <row r="465" spans="4:20" ht="15.6">
      <c r="D465" s="128"/>
      <c r="E465" s="128"/>
      <c r="F465" s="128"/>
      <c r="G465" s="128"/>
      <c r="H465" s="128"/>
      <c r="I465" s="128"/>
      <c r="J465" s="128"/>
      <c r="K465" s="128"/>
      <c r="L465" s="128"/>
      <c r="M465" s="128"/>
      <c r="N465" s="128"/>
      <c r="O465" s="128"/>
      <c r="P465" s="128"/>
      <c r="Q465" s="128"/>
      <c r="R465" s="128"/>
      <c r="S465" s="128"/>
      <c r="T465" s="128"/>
    </row>
    <row r="466" spans="4:20" ht="15.6">
      <c r="D466" s="128"/>
      <c r="E466" s="128"/>
      <c r="F466" s="128"/>
      <c r="G466" s="128"/>
      <c r="H466" s="128"/>
      <c r="I466" s="128"/>
      <c r="J466" s="128"/>
      <c r="K466" s="128"/>
      <c r="L466" s="128"/>
      <c r="M466" s="128"/>
      <c r="N466" s="128"/>
      <c r="O466" s="128"/>
      <c r="P466" s="128"/>
      <c r="Q466" s="128"/>
      <c r="R466" s="128"/>
      <c r="S466" s="128"/>
      <c r="T466" s="128"/>
    </row>
    <row r="467" spans="4:20" ht="15.6">
      <c r="D467" s="128"/>
      <c r="E467" s="128"/>
      <c r="F467" s="128"/>
      <c r="G467" s="128"/>
      <c r="H467" s="128"/>
      <c r="I467" s="128"/>
      <c r="J467" s="128"/>
      <c r="K467" s="128"/>
      <c r="L467" s="128"/>
      <c r="M467" s="128"/>
      <c r="N467" s="128"/>
      <c r="O467" s="128"/>
      <c r="P467" s="128"/>
      <c r="Q467" s="128"/>
      <c r="R467" s="128"/>
      <c r="S467" s="128"/>
      <c r="T467" s="128"/>
    </row>
    <row r="468" spans="4:20" ht="15.6">
      <c r="D468" s="128"/>
      <c r="E468" s="128"/>
      <c r="F468" s="128"/>
      <c r="G468" s="128"/>
      <c r="H468" s="128"/>
      <c r="I468" s="128"/>
      <c r="J468" s="128"/>
      <c r="K468" s="128"/>
      <c r="L468" s="128"/>
      <c r="M468" s="128"/>
      <c r="N468" s="128"/>
      <c r="O468" s="128"/>
      <c r="P468" s="128"/>
      <c r="Q468" s="128"/>
      <c r="R468" s="128"/>
      <c r="S468" s="128"/>
      <c r="T468" s="128"/>
    </row>
    <row r="469" spans="4:20" ht="15.6">
      <c r="D469" s="128"/>
      <c r="E469" s="128"/>
      <c r="F469" s="128"/>
      <c r="G469" s="128"/>
      <c r="H469" s="128"/>
      <c r="I469" s="128"/>
      <c r="J469" s="128"/>
      <c r="K469" s="128"/>
      <c r="L469" s="128"/>
      <c r="M469" s="128"/>
      <c r="N469" s="128"/>
      <c r="O469" s="128"/>
      <c r="P469" s="128"/>
      <c r="Q469" s="128"/>
      <c r="R469" s="128"/>
      <c r="S469" s="128"/>
      <c r="T469" s="128"/>
    </row>
    <row r="470" spans="4:20" ht="15.6">
      <c r="D470" s="128"/>
      <c r="E470" s="128"/>
      <c r="F470" s="128"/>
      <c r="G470" s="128"/>
      <c r="H470" s="128"/>
      <c r="I470" s="128"/>
      <c r="J470" s="128"/>
      <c r="K470" s="128"/>
      <c r="L470" s="128"/>
      <c r="M470" s="128"/>
      <c r="N470" s="128"/>
      <c r="O470" s="128"/>
      <c r="P470" s="128"/>
      <c r="Q470" s="128"/>
      <c r="R470" s="128"/>
      <c r="S470" s="128"/>
      <c r="T470" s="128"/>
    </row>
    <row r="471" spans="4:20" ht="15.6">
      <c r="D471" s="128"/>
      <c r="E471" s="128"/>
      <c r="F471" s="128"/>
      <c r="G471" s="128"/>
      <c r="H471" s="128"/>
      <c r="I471" s="128"/>
      <c r="J471" s="128"/>
      <c r="K471" s="128"/>
      <c r="L471" s="128"/>
      <c r="M471" s="128"/>
      <c r="N471" s="128"/>
      <c r="O471" s="128"/>
      <c r="P471" s="128"/>
      <c r="Q471" s="128"/>
      <c r="R471" s="128"/>
      <c r="S471" s="128"/>
      <c r="T471" s="128"/>
    </row>
    <row r="472" spans="4:20" ht="15.6">
      <c r="D472" s="128"/>
      <c r="E472" s="128"/>
      <c r="F472" s="128"/>
      <c r="G472" s="128"/>
      <c r="H472" s="128"/>
      <c r="I472" s="128"/>
      <c r="J472" s="128"/>
      <c r="K472" s="128"/>
      <c r="L472" s="128"/>
      <c r="M472" s="128"/>
      <c r="N472" s="128"/>
      <c r="O472" s="128"/>
      <c r="P472" s="128"/>
      <c r="Q472" s="128"/>
      <c r="R472" s="128"/>
      <c r="S472" s="128"/>
      <c r="T472" s="128"/>
    </row>
    <row r="473" spans="4:20" ht="15.6">
      <c r="D473" s="128"/>
      <c r="E473" s="128"/>
      <c r="F473" s="128"/>
      <c r="G473" s="128"/>
      <c r="H473" s="128"/>
      <c r="I473" s="128"/>
      <c r="J473" s="128"/>
      <c r="K473" s="128"/>
      <c r="L473" s="128"/>
      <c r="M473" s="128"/>
      <c r="N473" s="128"/>
      <c r="O473" s="128"/>
      <c r="P473" s="128"/>
      <c r="Q473" s="128"/>
      <c r="R473" s="128"/>
      <c r="S473" s="128"/>
      <c r="T473" s="128"/>
    </row>
    <row r="474" spans="4:20" ht="15.6">
      <c r="D474" s="128"/>
      <c r="E474" s="128"/>
      <c r="F474" s="128"/>
      <c r="G474" s="128"/>
      <c r="H474" s="128"/>
      <c r="I474" s="128"/>
      <c r="J474" s="128"/>
      <c r="K474" s="128"/>
      <c r="L474" s="128"/>
      <c r="M474" s="128"/>
      <c r="N474" s="128"/>
      <c r="O474" s="128"/>
      <c r="P474" s="128"/>
      <c r="Q474" s="128"/>
      <c r="R474" s="128"/>
      <c r="S474" s="128"/>
      <c r="T474" s="128"/>
    </row>
    <row r="475" spans="4:20" ht="15.6">
      <c r="D475" s="128"/>
      <c r="E475" s="128"/>
      <c r="F475" s="128"/>
      <c r="G475" s="128"/>
      <c r="H475" s="128"/>
      <c r="I475" s="128"/>
      <c r="J475" s="128"/>
      <c r="K475" s="128"/>
      <c r="L475" s="128"/>
      <c r="M475" s="128"/>
      <c r="N475" s="128"/>
      <c r="O475" s="128"/>
      <c r="P475" s="128"/>
      <c r="Q475" s="128"/>
      <c r="R475" s="128"/>
      <c r="S475" s="128"/>
      <c r="T475" s="128"/>
    </row>
    <row r="476" spans="4:20" ht="15.6">
      <c r="D476" s="128"/>
      <c r="E476" s="128"/>
      <c r="F476" s="128"/>
      <c r="G476" s="128"/>
      <c r="H476" s="128"/>
      <c r="I476" s="128"/>
      <c r="J476" s="128"/>
      <c r="K476" s="128"/>
      <c r="L476" s="128"/>
      <c r="M476" s="128"/>
      <c r="N476" s="128"/>
      <c r="O476" s="128"/>
      <c r="P476" s="128"/>
      <c r="Q476" s="128"/>
      <c r="R476" s="128"/>
      <c r="S476" s="128"/>
      <c r="T476" s="128"/>
    </row>
    <row r="477" spans="4:20" ht="15.6">
      <c r="D477" s="128"/>
      <c r="E477" s="128"/>
      <c r="F477" s="128"/>
      <c r="G477" s="128"/>
      <c r="H477" s="128"/>
      <c r="I477" s="128"/>
      <c r="J477" s="128"/>
      <c r="K477" s="128"/>
      <c r="L477" s="128"/>
      <c r="M477" s="128"/>
      <c r="N477" s="128"/>
      <c r="O477" s="128"/>
      <c r="P477" s="128"/>
      <c r="Q477" s="128"/>
      <c r="R477" s="128"/>
      <c r="S477" s="128"/>
      <c r="T477" s="128"/>
    </row>
    <row r="478" spans="4:20" ht="15.6">
      <c r="D478" s="128"/>
      <c r="E478" s="128"/>
      <c r="F478" s="128"/>
      <c r="G478" s="128"/>
      <c r="H478" s="128"/>
      <c r="I478" s="128"/>
      <c r="J478" s="128"/>
      <c r="K478" s="128"/>
      <c r="L478" s="128"/>
      <c r="M478" s="128"/>
      <c r="N478" s="128"/>
      <c r="O478" s="128"/>
      <c r="P478" s="128"/>
      <c r="Q478" s="128"/>
      <c r="R478" s="128"/>
      <c r="S478" s="128"/>
      <c r="T478" s="128"/>
    </row>
    <row r="479" spans="4:20" ht="15.6">
      <c r="D479" s="128"/>
      <c r="E479" s="128"/>
      <c r="F479" s="128"/>
      <c r="G479" s="128"/>
      <c r="H479" s="128"/>
      <c r="I479" s="128"/>
      <c r="J479" s="128"/>
      <c r="K479" s="128"/>
      <c r="L479" s="128"/>
      <c r="M479" s="128"/>
      <c r="N479" s="128"/>
      <c r="O479" s="128"/>
      <c r="P479" s="128"/>
      <c r="Q479" s="128"/>
      <c r="R479" s="128"/>
      <c r="S479" s="128"/>
      <c r="T479" s="128"/>
    </row>
    <row r="480" spans="4:20" ht="15.6">
      <c r="D480" s="128"/>
      <c r="E480" s="128"/>
      <c r="F480" s="128"/>
      <c r="G480" s="128"/>
      <c r="H480" s="128"/>
      <c r="I480" s="128"/>
      <c r="J480" s="128"/>
      <c r="K480" s="128"/>
      <c r="L480" s="128"/>
      <c r="M480" s="128"/>
      <c r="N480" s="128"/>
      <c r="O480" s="128"/>
      <c r="P480" s="128"/>
      <c r="Q480" s="128"/>
      <c r="R480" s="128"/>
      <c r="S480" s="128"/>
      <c r="T480" s="128"/>
    </row>
    <row r="481" spans="4:20" ht="15.6">
      <c r="D481" s="128"/>
      <c r="E481" s="128"/>
      <c r="F481" s="128"/>
      <c r="G481" s="128"/>
      <c r="H481" s="128"/>
      <c r="I481" s="128"/>
      <c r="J481" s="128"/>
      <c r="K481" s="128"/>
      <c r="L481" s="128"/>
      <c r="M481" s="128"/>
      <c r="N481" s="128"/>
      <c r="O481" s="128"/>
      <c r="P481" s="128"/>
      <c r="Q481" s="128"/>
      <c r="R481" s="128"/>
      <c r="S481" s="128"/>
      <c r="T481" s="128"/>
    </row>
    <row r="482" spans="4:20" ht="15.6">
      <c r="D482" s="128"/>
      <c r="E482" s="128"/>
      <c r="F482" s="128"/>
      <c r="G482" s="128"/>
      <c r="H482" s="128"/>
      <c r="I482" s="128"/>
      <c r="J482" s="128"/>
      <c r="K482" s="128"/>
      <c r="L482" s="128"/>
      <c r="M482" s="128"/>
      <c r="N482" s="128"/>
      <c r="O482" s="128"/>
      <c r="P482" s="128"/>
      <c r="Q482" s="128"/>
      <c r="R482" s="128"/>
      <c r="S482" s="128"/>
      <c r="T482" s="128"/>
    </row>
    <row r="483" spans="4:20" ht="15.6">
      <c r="D483" s="128"/>
      <c r="E483" s="128"/>
      <c r="F483" s="128"/>
      <c r="G483" s="128"/>
      <c r="H483" s="128"/>
      <c r="I483" s="128"/>
      <c r="J483" s="128"/>
      <c r="K483" s="128"/>
      <c r="L483" s="128"/>
      <c r="M483" s="128"/>
      <c r="N483" s="128"/>
      <c r="O483" s="128"/>
      <c r="P483" s="128"/>
      <c r="Q483" s="128"/>
      <c r="R483" s="128"/>
      <c r="S483" s="128"/>
      <c r="T483" s="128"/>
    </row>
    <row r="484" spans="4:20" ht="15.6">
      <c r="D484" s="128"/>
      <c r="E484" s="128"/>
      <c r="F484" s="128"/>
      <c r="G484" s="128"/>
      <c r="H484" s="128"/>
      <c r="I484" s="128"/>
      <c r="J484" s="128"/>
      <c r="K484" s="128"/>
      <c r="L484" s="128"/>
      <c r="M484" s="128"/>
      <c r="N484" s="128"/>
      <c r="O484" s="128"/>
      <c r="P484" s="128"/>
      <c r="Q484" s="128"/>
      <c r="R484" s="128"/>
      <c r="S484" s="128"/>
      <c r="T484" s="128"/>
    </row>
    <row r="485" spans="4:20" ht="15.6">
      <c r="D485" s="128"/>
      <c r="E485" s="128"/>
      <c r="F485" s="128"/>
      <c r="G485" s="128"/>
      <c r="H485" s="128"/>
      <c r="I485" s="128"/>
      <c r="J485" s="128"/>
      <c r="K485" s="128"/>
      <c r="L485" s="128"/>
      <c r="M485" s="128"/>
      <c r="N485" s="128"/>
      <c r="O485" s="128"/>
      <c r="P485" s="128"/>
      <c r="Q485" s="128"/>
      <c r="R485" s="128"/>
      <c r="S485" s="128"/>
      <c r="T485" s="128"/>
    </row>
    <row r="486" spans="4:20" ht="15.6">
      <c r="D486" s="128"/>
      <c r="E486" s="128"/>
      <c r="F486" s="128"/>
      <c r="G486" s="128"/>
      <c r="H486" s="128"/>
      <c r="I486" s="128"/>
      <c r="J486" s="128"/>
      <c r="K486" s="128"/>
      <c r="L486" s="128"/>
      <c r="M486" s="128"/>
      <c r="N486" s="128"/>
      <c r="O486" s="128"/>
      <c r="P486" s="128"/>
      <c r="Q486" s="128"/>
      <c r="R486" s="128"/>
      <c r="S486" s="128"/>
      <c r="T486" s="128"/>
    </row>
    <row r="487" spans="4:20" ht="15.6">
      <c r="D487" s="128"/>
      <c r="E487" s="128"/>
      <c r="F487" s="128"/>
      <c r="G487" s="128"/>
      <c r="H487" s="128"/>
      <c r="I487" s="128"/>
      <c r="J487" s="128"/>
      <c r="K487" s="128"/>
      <c r="L487" s="128"/>
      <c r="M487" s="128"/>
      <c r="N487" s="128"/>
      <c r="O487" s="128"/>
      <c r="P487" s="128"/>
      <c r="Q487" s="128"/>
      <c r="R487" s="128"/>
      <c r="S487" s="128"/>
      <c r="T487" s="128"/>
    </row>
    <row r="488" spans="4:20" ht="15.6">
      <c r="D488" s="128"/>
      <c r="E488" s="128"/>
      <c r="F488" s="128"/>
      <c r="G488" s="128"/>
      <c r="H488" s="128"/>
      <c r="I488" s="128"/>
      <c r="J488" s="128"/>
      <c r="K488" s="128"/>
      <c r="L488" s="128"/>
      <c r="M488" s="128"/>
      <c r="N488" s="128"/>
      <c r="O488" s="128"/>
      <c r="P488" s="128"/>
      <c r="Q488" s="128"/>
      <c r="R488" s="128"/>
      <c r="S488" s="128"/>
      <c r="T488" s="128"/>
    </row>
    <row r="489" spans="4:20" ht="15.6">
      <c r="D489" s="128"/>
      <c r="E489" s="128"/>
      <c r="F489" s="128"/>
      <c r="G489" s="128"/>
      <c r="H489" s="128"/>
      <c r="I489" s="128"/>
      <c r="J489" s="128"/>
      <c r="K489" s="128"/>
      <c r="L489" s="128"/>
      <c r="M489" s="128"/>
      <c r="N489" s="128"/>
      <c r="O489" s="128"/>
      <c r="P489" s="128"/>
      <c r="Q489" s="128"/>
      <c r="R489" s="128"/>
      <c r="S489" s="128"/>
      <c r="T489" s="128"/>
    </row>
    <row r="490" spans="4:20" ht="15.6">
      <c r="D490" s="128"/>
      <c r="E490" s="128"/>
      <c r="F490" s="128"/>
      <c r="G490" s="128"/>
      <c r="H490" s="128"/>
      <c r="I490" s="128"/>
      <c r="J490" s="128"/>
      <c r="K490" s="128"/>
      <c r="L490" s="128"/>
      <c r="M490" s="128"/>
      <c r="N490" s="128"/>
      <c r="O490" s="128"/>
      <c r="P490" s="128"/>
      <c r="Q490" s="128"/>
      <c r="R490" s="128"/>
      <c r="S490" s="128"/>
      <c r="T490" s="128"/>
    </row>
    <row r="491" spans="4:20" ht="15.6">
      <c r="D491" s="128"/>
      <c r="E491" s="128"/>
      <c r="F491" s="128"/>
      <c r="G491" s="128"/>
      <c r="H491" s="128"/>
      <c r="I491" s="128"/>
      <c r="J491" s="128"/>
      <c r="K491" s="128"/>
      <c r="L491" s="128"/>
      <c r="M491" s="128"/>
      <c r="N491" s="128"/>
      <c r="O491" s="128"/>
      <c r="P491" s="128"/>
      <c r="Q491" s="128"/>
      <c r="R491" s="128"/>
      <c r="S491" s="128"/>
      <c r="T491" s="128"/>
    </row>
    <row r="492" spans="4:20" ht="15.6">
      <c r="D492" s="128"/>
      <c r="E492" s="128"/>
      <c r="F492" s="128"/>
      <c r="G492" s="128"/>
      <c r="H492" s="128"/>
      <c r="I492" s="128"/>
      <c r="J492" s="128"/>
      <c r="K492" s="128"/>
      <c r="L492" s="128"/>
      <c r="M492" s="128"/>
      <c r="N492" s="128"/>
      <c r="O492" s="128"/>
      <c r="P492" s="128"/>
      <c r="Q492" s="128"/>
      <c r="R492" s="128"/>
      <c r="S492" s="128"/>
      <c r="T492" s="128"/>
    </row>
    <row r="493" spans="4:20" ht="15.6">
      <c r="D493" s="128"/>
      <c r="E493" s="128"/>
      <c r="F493" s="128"/>
      <c r="G493" s="128"/>
      <c r="H493" s="128"/>
      <c r="I493" s="128"/>
      <c r="J493" s="128"/>
      <c r="K493" s="128"/>
      <c r="L493" s="128"/>
      <c r="M493" s="128"/>
      <c r="N493" s="128"/>
      <c r="O493" s="128"/>
      <c r="P493" s="128"/>
      <c r="Q493" s="128"/>
      <c r="R493" s="128"/>
      <c r="S493" s="128"/>
      <c r="T493" s="128"/>
    </row>
    <row r="494" spans="4:20" ht="15.6">
      <c r="D494" s="128"/>
      <c r="E494" s="128"/>
      <c r="F494" s="128"/>
      <c r="G494" s="128"/>
      <c r="H494" s="128"/>
      <c r="I494" s="128"/>
      <c r="J494" s="128"/>
      <c r="K494" s="128"/>
      <c r="L494" s="128"/>
      <c r="M494" s="128"/>
      <c r="N494" s="128"/>
      <c r="O494" s="128"/>
      <c r="P494" s="128"/>
      <c r="Q494" s="128"/>
      <c r="R494" s="128"/>
      <c r="S494" s="128"/>
      <c r="T494" s="128"/>
    </row>
    <row r="495" spans="4:20" ht="15.6">
      <c r="D495" s="128"/>
      <c r="E495" s="128"/>
      <c r="F495" s="128"/>
      <c r="G495" s="128"/>
      <c r="H495" s="128"/>
      <c r="I495" s="128"/>
      <c r="J495" s="128"/>
      <c r="K495" s="128"/>
      <c r="L495" s="128"/>
      <c r="M495" s="128"/>
      <c r="N495" s="128"/>
      <c r="O495" s="128"/>
      <c r="P495" s="128"/>
      <c r="Q495" s="128"/>
      <c r="R495" s="128"/>
      <c r="S495" s="128"/>
      <c r="T495" s="128"/>
    </row>
    <row r="496" spans="4:20" ht="15.6">
      <c r="D496" s="128"/>
      <c r="E496" s="128"/>
      <c r="F496" s="128"/>
      <c r="G496" s="128"/>
      <c r="H496" s="128"/>
      <c r="I496" s="128"/>
      <c r="J496" s="128"/>
      <c r="K496" s="128"/>
      <c r="L496" s="128"/>
      <c r="M496" s="128"/>
      <c r="N496" s="128"/>
      <c r="O496" s="128"/>
      <c r="P496" s="128"/>
      <c r="Q496" s="128"/>
      <c r="R496" s="128"/>
      <c r="S496" s="128"/>
      <c r="T496" s="128"/>
    </row>
    <row r="497" spans="4:20" ht="15.6">
      <c r="D497" s="128"/>
      <c r="E497" s="128"/>
      <c r="F497" s="128"/>
      <c r="G497" s="128"/>
      <c r="H497" s="128"/>
      <c r="I497" s="128"/>
      <c r="J497" s="128"/>
      <c r="K497" s="128"/>
      <c r="L497" s="128"/>
      <c r="M497" s="128"/>
      <c r="N497" s="128"/>
      <c r="O497" s="128"/>
      <c r="P497" s="128"/>
      <c r="Q497" s="128"/>
      <c r="R497" s="128"/>
      <c r="S497" s="128"/>
      <c r="T497" s="128"/>
    </row>
    <row r="498" spans="4:20" ht="15.6">
      <c r="D498" s="128"/>
      <c r="E498" s="128"/>
      <c r="F498" s="128"/>
      <c r="G498" s="128"/>
      <c r="H498" s="128"/>
      <c r="I498" s="128"/>
      <c r="J498" s="128"/>
      <c r="K498" s="128"/>
      <c r="L498" s="128"/>
      <c r="M498" s="128"/>
      <c r="N498" s="128"/>
      <c r="O498" s="128"/>
      <c r="P498" s="128"/>
      <c r="Q498" s="128"/>
      <c r="R498" s="128"/>
      <c r="S498" s="128"/>
      <c r="T498" s="128"/>
    </row>
    <row r="499" spans="4:20" ht="15.6">
      <c r="D499" s="128"/>
      <c r="E499" s="128"/>
      <c r="F499" s="128"/>
      <c r="G499" s="128"/>
      <c r="H499" s="128"/>
      <c r="I499" s="128"/>
      <c r="J499" s="128"/>
      <c r="K499" s="128"/>
      <c r="L499" s="128"/>
      <c r="M499" s="128"/>
      <c r="N499" s="128"/>
      <c r="O499" s="128"/>
      <c r="P499" s="128"/>
      <c r="Q499" s="128"/>
      <c r="R499" s="128"/>
      <c r="S499" s="128"/>
      <c r="T499" s="128"/>
    </row>
    <row r="500" spans="4:20" ht="15.6">
      <c r="D500" s="128"/>
      <c r="E500" s="128"/>
      <c r="F500" s="128"/>
      <c r="G500" s="128"/>
      <c r="H500" s="128"/>
      <c r="I500" s="128"/>
      <c r="J500" s="128"/>
      <c r="K500" s="128"/>
      <c r="L500" s="128"/>
      <c r="M500" s="128"/>
      <c r="N500" s="128"/>
      <c r="O500" s="128"/>
      <c r="P500" s="128"/>
      <c r="Q500" s="128"/>
      <c r="R500" s="128"/>
      <c r="S500" s="128"/>
      <c r="T500" s="128"/>
    </row>
    <row r="501" spans="4:20" ht="15.6">
      <c r="D501" s="128"/>
      <c r="E501" s="128"/>
      <c r="F501" s="128"/>
      <c r="G501" s="128"/>
      <c r="H501" s="128"/>
      <c r="I501" s="128"/>
      <c r="J501" s="128"/>
      <c r="K501" s="128"/>
      <c r="L501" s="128"/>
      <c r="M501" s="128"/>
      <c r="N501" s="128"/>
      <c r="O501" s="128"/>
      <c r="P501" s="128"/>
      <c r="Q501" s="128"/>
      <c r="R501" s="128"/>
      <c r="S501" s="128"/>
      <c r="T501" s="128"/>
    </row>
    <row r="502" spans="4:20" ht="15.6">
      <c r="D502" s="128"/>
      <c r="E502" s="128"/>
      <c r="F502" s="128"/>
      <c r="G502" s="128"/>
      <c r="H502" s="128"/>
      <c r="I502" s="128"/>
      <c r="J502" s="128"/>
      <c r="K502" s="128"/>
      <c r="L502" s="128"/>
      <c r="M502" s="128"/>
      <c r="N502" s="128"/>
      <c r="O502" s="128"/>
      <c r="P502" s="128"/>
      <c r="Q502" s="128"/>
      <c r="R502" s="128"/>
      <c r="S502" s="128"/>
      <c r="T502" s="128"/>
    </row>
    <row r="503" spans="4:20" ht="15.6">
      <c r="D503" s="128"/>
      <c r="E503" s="128"/>
      <c r="F503" s="128"/>
      <c r="G503" s="128"/>
      <c r="H503" s="128"/>
      <c r="I503" s="128"/>
      <c r="J503" s="128"/>
      <c r="K503" s="128"/>
      <c r="L503" s="128"/>
      <c r="M503" s="128"/>
      <c r="N503" s="128"/>
      <c r="O503" s="128"/>
      <c r="P503" s="128"/>
      <c r="Q503" s="128"/>
      <c r="R503" s="128"/>
      <c r="S503" s="128"/>
      <c r="T503" s="128"/>
    </row>
    <row r="504" spans="4:20" ht="15.6">
      <c r="D504" s="128"/>
      <c r="E504" s="128"/>
      <c r="F504" s="128"/>
      <c r="G504" s="128"/>
      <c r="H504" s="128"/>
      <c r="I504" s="128"/>
      <c r="J504" s="128"/>
      <c r="K504" s="128"/>
      <c r="L504" s="128"/>
      <c r="M504" s="128"/>
      <c r="N504" s="128"/>
      <c r="O504" s="128"/>
      <c r="P504" s="128"/>
      <c r="Q504" s="128"/>
      <c r="R504" s="128"/>
      <c r="S504" s="128"/>
      <c r="T504" s="128"/>
    </row>
    <row r="505" spans="4:20" ht="15.6">
      <c r="D505" s="128"/>
      <c r="E505" s="128"/>
      <c r="F505" s="128"/>
      <c r="G505" s="128"/>
      <c r="H505" s="128"/>
      <c r="I505" s="128"/>
      <c r="J505" s="128"/>
      <c r="K505" s="128"/>
      <c r="L505" s="128"/>
      <c r="M505" s="128"/>
      <c r="N505" s="128"/>
      <c r="O505" s="128"/>
      <c r="P505" s="128"/>
      <c r="Q505" s="128"/>
      <c r="R505" s="128"/>
      <c r="S505" s="128"/>
      <c r="T505" s="128"/>
    </row>
    <row r="506" spans="4:20" ht="15.6">
      <c r="D506" s="128"/>
      <c r="E506" s="128"/>
      <c r="F506" s="128"/>
      <c r="G506" s="128"/>
      <c r="H506" s="128"/>
      <c r="I506" s="128"/>
      <c r="J506" s="128"/>
      <c r="K506" s="128"/>
      <c r="L506" s="128"/>
      <c r="M506" s="128"/>
      <c r="N506" s="128"/>
      <c r="O506" s="128"/>
      <c r="P506" s="128"/>
      <c r="Q506" s="128"/>
      <c r="R506" s="128"/>
      <c r="S506" s="128"/>
      <c r="T506" s="128"/>
    </row>
    <row r="507" spans="4:20" ht="15.6">
      <c r="D507" s="128"/>
      <c r="E507" s="128"/>
      <c r="F507" s="128"/>
      <c r="G507" s="128"/>
      <c r="H507" s="128"/>
      <c r="I507" s="128"/>
      <c r="J507" s="128"/>
      <c r="K507" s="128"/>
      <c r="L507" s="128"/>
      <c r="M507" s="128"/>
      <c r="N507" s="128"/>
      <c r="O507" s="128"/>
      <c r="P507" s="128"/>
      <c r="Q507" s="128"/>
      <c r="R507" s="128"/>
      <c r="S507" s="128"/>
      <c r="T507" s="128"/>
    </row>
    <row r="508" spans="4:20" ht="15.6">
      <c r="D508" s="128"/>
      <c r="E508" s="128"/>
      <c r="F508" s="128"/>
      <c r="G508" s="128"/>
      <c r="H508" s="128"/>
      <c r="I508" s="128"/>
      <c r="J508" s="128"/>
      <c r="K508" s="128"/>
      <c r="L508" s="128"/>
      <c r="M508" s="128"/>
      <c r="N508" s="128"/>
      <c r="O508" s="128"/>
      <c r="P508" s="128"/>
      <c r="Q508" s="128"/>
      <c r="R508" s="128"/>
      <c r="S508" s="128"/>
      <c r="T508" s="128"/>
    </row>
    <row r="509" spans="4:20" ht="15.6">
      <c r="D509" s="128"/>
      <c r="E509" s="128"/>
      <c r="F509" s="128"/>
      <c r="G509" s="128"/>
      <c r="H509" s="128"/>
      <c r="I509" s="128"/>
      <c r="J509" s="128"/>
      <c r="K509" s="128"/>
      <c r="L509" s="128"/>
      <c r="M509" s="128"/>
      <c r="N509" s="128"/>
      <c r="O509" s="128"/>
      <c r="P509" s="128"/>
      <c r="Q509" s="128"/>
      <c r="R509" s="128"/>
      <c r="S509" s="128"/>
      <c r="T509" s="128"/>
    </row>
    <row r="510" spans="4:20" ht="15.6">
      <c r="D510" s="128"/>
      <c r="E510" s="128"/>
      <c r="F510" s="128"/>
      <c r="G510" s="128"/>
      <c r="H510" s="128"/>
      <c r="I510" s="128"/>
      <c r="J510" s="128"/>
      <c r="K510" s="128"/>
      <c r="L510" s="128"/>
      <c r="M510" s="128"/>
      <c r="N510" s="128"/>
      <c r="O510" s="128"/>
      <c r="P510" s="128"/>
      <c r="Q510" s="128"/>
      <c r="R510" s="128"/>
      <c r="S510" s="128"/>
      <c r="T510" s="128"/>
    </row>
    <row r="511" spans="4:20" ht="15.6">
      <c r="D511" s="128"/>
      <c r="E511" s="128"/>
      <c r="F511" s="128"/>
      <c r="G511" s="128"/>
      <c r="H511" s="128"/>
      <c r="I511" s="128"/>
      <c r="J511" s="128"/>
      <c r="K511" s="128"/>
      <c r="L511" s="128"/>
      <c r="M511" s="128"/>
      <c r="N511" s="128"/>
      <c r="O511" s="128"/>
      <c r="P511" s="128"/>
      <c r="Q511" s="128"/>
      <c r="R511" s="128"/>
      <c r="S511" s="128"/>
      <c r="T511" s="128"/>
    </row>
    <row r="512" spans="4:20" ht="15.6">
      <c r="D512" s="128"/>
      <c r="E512" s="128"/>
      <c r="F512" s="128"/>
      <c r="G512" s="128"/>
      <c r="H512" s="128"/>
      <c r="I512" s="128"/>
      <c r="J512" s="128"/>
      <c r="K512" s="128"/>
      <c r="L512" s="128"/>
      <c r="M512" s="128"/>
      <c r="N512" s="128"/>
      <c r="O512" s="128"/>
      <c r="P512" s="128"/>
      <c r="Q512" s="128"/>
      <c r="R512" s="128"/>
      <c r="S512" s="128"/>
      <c r="T512" s="128"/>
    </row>
    <row r="513" spans="4:20" ht="15.6">
      <c r="D513" s="128"/>
      <c r="E513" s="128"/>
      <c r="F513" s="128"/>
      <c r="G513" s="128"/>
      <c r="H513" s="128"/>
      <c r="I513" s="128"/>
      <c r="J513" s="128"/>
      <c r="K513" s="128"/>
      <c r="L513" s="128"/>
      <c r="M513" s="128"/>
      <c r="N513" s="128"/>
      <c r="O513" s="128"/>
      <c r="P513" s="128"/>
      <c r="Q513" s="128"/>
      <c r="R513" s="128"/>
      <c r="S513" s="128"/>
      <c r="T513" s="128"/>
    </row>
    <row r="514" spans="4:20" ht="15.6">
      <c r="D514" s="128"/>
      <c r="E514" s="128"/>
      <c r="F514" s="128"/>
      <c r="G514" s="128"/>
      <c r="H514" s="128"/>
      <c r="I514" s="128"/>
      <c r="J514" s="128"/>
      <c r="K514" s="128"/>
      <c r="L514" s="128"/>
      <c r="M514" s="128"/>
      <c r="N514" s="128"/>
      <c r="O514" s="128"/>
      <c r="P514" s="128"/>
      <c r="Q514" s="128"/>
      <c r="R514" s="128"/>
      <c r="S514" s="128"/>
      <c r="T514" s="128"/>
    </row>
    <row r="515" spans="4:20" ht="15.6">
      <c r="D515" s="128"/>
      <c r="E515" s="128"/>
      <c r="F515" s="128"/>
      <c r="G515" s="128"/>
      <c r="H515" s="128"/>
      <c r="I515" s="128"/>
      <c r="J515" s="128"/>
      <c r="K515" s="128"/>
      <c r="L515" s="128"/>
      <c r="M515" s="128"/>
      <c r="N515" s="128"/>
      <c r="O515" s="128"/>
      <c r="P515" s="128"/>
      <c r="Q515" s="128"/>
      <c r="R515" s="128"/>
      <c r="S515" s="128"/>
      <c r="T515" s="128"/>
    </row>
    <row r="516" spans="4:20" ht="15.6">
      <c r="D516" s="128"/>
      <c r="E516" s="128"/>
      <c r="F516" s="128"/>
      <c r="G516" s="128"/>
      <c r="H516" s="128"/>
      <c r="I516" s="128"/>
      <c r="J516" s="128"/>
      <c r="K516" s="128"/>
      <c r="L516" s="128"/>
      <c r="M516" s="128"/>
      <c r="N516" s="128"/>
      <c r="O516" s="128"/>
      <c r="P516" s="128"/>
      <c r="Q516" s="128"/>
      <c r="R516" s="128"/>
      <c r="S516" s="128"/>
      <c r="T516" s="128"/>
    </row>
    <row r="517" spans="4:20" ht="15.6">
      <c r="D517" s="128"/>
      <c r="E517" s="128"/>
      <c r="F517" s="128"/>
      <c r="G517" s="128"/>
      <c r="H517" s="128"/>
      <c r="I517" s="128"/>
      <c r="J517" s="128"/>
      <c r="K517" s="128"/>
      <c r="L517" s="128"/>
      <c r="M517" s="128"/>
      <c r="N517" s="128"/>
      <c r="O517" s="128"/>
      <c r="P517" s="128"/>
      <c r="Q517" s="128"/>
      <c r="R517" s="128"/>
      <c r="S517" s="128"/>
      <c r="T517" s="128"/>
    </row>
    <row r="518" spans="4:20" ht="15.6">
      <c r="D518" s="128"/>
      <c r="E518" s="128"/>
      <c r="F518" s="128"/>
      <c r="G518" s="128"/>
      <c r="H518" s="128"/>
      <c r="I518" s="128"/>
      <c r="J518" s="128"/>
      <c r="K518" s="128"/>
      <c r="L518" s="128"/>
      <c r="M518" s="128"/>
      <c r="N518" s="128"/>
      <c r="O518" s="128"/>
      <c r="P518" s="128"/>
      <c r="Q518" s="128"/>
      <c r="R518" s="128"/>
      <c r="S518" s="128"/>
      <c r="T518" s="128"/>
    </row>
    <row r="519" spans="4:20" ht="15.6">
      <c r="D519" s="128"/>
      <c r="E519" s="128"/>
      <c r="F519" s="128"/>
      <c r="G519" s="128"/>
      <c r="H519" s="128"/>
      <c r="I519" s="128"/>
      <c r="J519" s="128"/>
      <c r="K519" s="128"/>
      <c r="L519" s="128"/>
      <c r="M519" s="128"/>
      <c r="N519" s="128"/>
      <c r="O519" s="128"/>
      <c r="P519" s="128"/>
      <c r="Q519" s="128"/>
      <c r="R519" s="128"/>
      <c r="S519" s="128"/>
      <c r="T519" s="128"/>
    </row>
    <row r="520" spans="4:20" ht="15.6">
      <c r="D520" s="128"/>
      <c r="E520" s="128"/>
      <c r="F520" s="128"/>
      <c r="G520" s="128"/>
      <c r="H520" s="128"/>
      <c r="I520" s="128"/>
      <c r="J520" s="128"/>
      <c r="K520" s="128"/>
      <c r="L520" s="128"/>
      <c r="M520" s="128"/>
      <c r="N520" s="128"/>
      <c r="O520" s="128"/>
      <c r="P520" s="128"/>
      <c r="Q520" s="128"/>
      <c r="R520" s="128"/>
      <c r="S520" s="128"/>
      <c r="T520" s="128"/>
    </row>
    <row r="521" spans="4:20" ht="15.6">
      <c r="D521" s="128"/>
      <c r="E521" s="128"/>
      <c r="F521" s="128"/>
      <c r="G521" s="128"/>
      <c r="H521" s="128"/>
      <c r="I521" s="128"/>
      <c r="J521" s="128"/>
      <c r="K521" s="128"/>
      <c r="L521" s="128"/>
      <c r="M521" s="128"/>
      <c r="N521" s="128"/>
      <c r="O521" s="128"/>
      <c r="P521" s="128"/>
      <c r="Q521" s="128"/>
      <c r="R521" s="128"/>
      <c r="S521" s="128"/>
      <c r="T521" s="128"/>
    </row>
    <row r="522" spans="4:20" ht="15.6">
      <c r="D522" s="128"/>
      <c r="E522" s="128"/>
      <c r="F522" s="128"/>
      <c r="G522" s="128"/>
      <c r="H522" s="128"/>
      <c r="I522" s="128"/>
      <c r="J522" s="128"/>
      <c r="K522" s="128"/>
      <c r="L522" s="128"/>
      <c r="M522" s="128"/>
      <c r="N522" s="128"/>
      <c r="O522" s="128"/>
      <c r="P522" s="128"/>
      <c r="Q522" s="128"/>
      <c r="R522" s="128"/>
      <c r="S522" s="128"/>
      <c r="T522" s="128"/>
    </row>
    <row r="523" spans="4:20" ht="15.6">
      <c r="D523" s="128"/>
      <c r="E523" s="128"/>
      <c r="F523" s="128"/>
      <c r="G523" s="128"/>
      <c r="H523" s="128"/>
      <c r="I523" s="128"/>
      <c r="J523" s="128"/>
      <c r="K523" s="128"/>
      <c r="L523" s="128"/>
      <c r="M523" s="128"/>
      <c r="N523" s="128"/>
      <c r="O523" s="128"/>
      <c r="P523" s="128"/>
      <c r="Q523" s="128"/>
      <c r="R523" s="128"/>
      <c r="S523" s="128"/>
      <c r="T523" s="128"/>
    </row>
    <row r="524" spans="4:20" ht="15.6">
      <c r="D524" s="128"/>
      <c r="E524" s="128"/>
      <c r="F524" s="128"/>
      <c r="G524" s="128"/>
      <c r="H524" s="128"/>
      <c r="I524" s="128"/>
      <c r="J524" s="128"/>
      <c r="K524" s="128"/>
      <c r="L524" s="128"/>
      <c r="M524" s="128"/>
      <c r="N524" s="128"/>
      <c r="O524" s="128"/>
      <c r="P524" s="128"/>
      <c r="Q524" s="128"/>
      <c r="R524" s="128"/>
      <c r="S524" s="128"/>
      <c r="T524" s="128"/>
    </row>
    <row r="525" spans="4:20" ht="15.6">
      <c r="D525" s="128"/>
      <c r="E525" s="128"/>
      <c r="F525" s="128"/>
      <c r="G525" s="128"/>
      <c r="H525" s="128"/>
      <c r="I525" s="128"/>
      <c r="J525" s="128"/>
      <c r="K525" s="128"/>
      <c r="L525" s="128"/>
      <c r="M525" s="128"/>
      <c r="N525" s="128"/>
      <c r="O525" s="128"/>
      <c r="P525" s="128"/>
      <c r="Q525" s="128"/>
      <c r="R525" s="128"/>
      <c r="S525" s="128"/>
      <c r="T525" s="128"/>
    </row>
    <row r="526" spans="4:20" ht="15.6">
      <c r="D526" s="128"/>
      <c r="E526" s="128"/>
      <c r="F526" s="128"/>
      <c r="G526" s="128"/>
      <c r="H526" s="128"/>
      <c r="I526" s="128"/>
      <c r="J526" s="128"/>
      <c r="K526" s="128"/>
      <c r="L526" s="128"/>
      <c r="M526" s="128"/>
      <c r="N526" s="128"/>
      <c r="O526" s="128"/>
      <c r="P526" s="128"/>
      <c r="Q526" s="128"/>
      <c r="R526" s="128"/>
      <c r="S526" s="128"/>
      <c r="T526" s="128"/>
    </row>
    <row r="527" spans="4:20" ht="15.6">
      <c r="D527" s="128"/>
      <c r="E527" s="128"/>
      <c r="F527" s="128"/>
      <c r="G527" s="128"/>
      <c r="H527" s="128"/>
      <c r="I527" s="128"/>
      <c r="J527" s="128"/>
      <c r="K527" s="128"/>
      <c r="L527" s="128"/>
      <c r="M527" s="128"/>
      <c r="N527" s="128"/>
      <c r="O527" s="128"/>
      <c r="P527" s="128"/>
      <c r="Q527" s="128"/>
      <c r="R527" s="128"/>
      <c r="S527" s="128"/>
      <c r="T527" s="128"/>
    </row>
    <row r="528" spans="4:20" ht="15.6">
      <c r="D528" s="128"/>
      <c r="E528" s="128"/>
      <c r="F528" s="128"/>
      <c r="G528" s="128"/>
      <c r="H528" s="128"/>
      <c r="I528" s="128"/>
      <c r="J528" s="128"/>
      <c r="K528" s="128"/>
      <c r="L528" s="128"/>
      <c r="M528" s="128"/>
      <c r="N528" s="128"/>
      <c r="O528" s="128"/>
      <c r="P528" s="128"/>
      <c r="Q528" s="128"/>
      <c r="R528" s="128"/>
      <c r="S528" s="128"/>
      <c r="T528" s="128"/>
    </row>
    <row r="529" spans="4:20" ht="15.6">
      <c r="D529" s="128"/>
      <c r="E529" s="128"/>
      <c r="F529" s="128"/>
      <c r="G529" s="128"/>
      <c r="H529" s="128"/>
      <c r="I529" s="128"/>
      <c r="J529" s="128"/>
      <c r="K529" s="128"/>
      <c r="L529" s="128"/>
      <c r="M529" s="128"/>
      <c r="N529" s="128"/>
      <c r="O529" s="128"/>
      <c r="P529" s="128"/>
      <c r="Q529" s="128"/>
      <c r="R529" s="128"/>
      <c r="S529" s="128"/>
      <c r="T529" s="128"/>
    </row>
    <row r="530" spans="4:20" ht="15.6">
      <c r="D530" s="128"/>
      <c r="E530" s="128"/>
      <c r="F530" s="128"/>
      <c r="G530" s="128"/>
      <c r="H530" s="128"/>
      <c r="I530" s="128"/>
      <c r="J530" s="128"/>
      <c r="K530" s="128"/>
      <c r="L530" s="128"/>
      <c r="M530" s="128"/>
      <c r="N530" s="128"/>
      <c r="O530" s="128"/>
      <c r="P530" s="128"/>
      <c r="Q530" s="128"/>
      <c r="R530" s="128"/>
      <c r="S530" s="128"/>
      <c r="T530" s="128"/>
    </row>
    <row r="531" spans="4:20" ht="15.6">
      <c r="D531" s="128"/>
      <c r="E531" s="128"/>
      <c r="F531" s="128"/>
      <c r="G531" s="128"/>
      <c r="H531" s="128"/>
      <c r="I531" s="128"/>
      <c r="J531" s="128"/>
      <c r="K531" s="128"/>
      <c r="L531" s="128"/>
      <c r="M531" s="128"/>
      <c r="N531" s="128"/>
      <c r="O531" s="128"/>
      <c r="P531" s="128"/>
      <c r="Q531" s="128"/>
      <c r="R531" s="128"/>
      <c r="S531" s="128"/>
      <c r="T531" s="128"/>
    </row>
    <row r="532" spans="4:20" ht="15.6">
      <c r="D532" s="128"/>
      <c r="E532" s="128"/>
      <c r="F532" s="128"/>
      <c r="G532" s="128"/>
      <c r="H532" s="128"/>
      <c r="I532" s="128"/>
      <c r="J532" s="128"/>
      <c r="K532" s="128"/>
      <c r="L532" s="128"/>
      <c r="M532" s="128"/>
      <c r="N532" s="128"/>
      <c r="O532" s="128"/>
      <c r="P532" s="128"/>
      <c r="Q532" s="128"/>
      <c r="R532" s="128"/>
      <c r="S532" s="128"/>
      <c r="T532" s="128"/>
    </row>
    <row r="533" spans="4:20" ht="15.6">
      <c r="D533" s="128"/>
      <c r="E533" s="128"/>
      <c r="F533" s="128"/>
      <c r="G533" s="128"/>
      <c r="H533" s="128"/>
      <c r="I533" s="128"/>
      <c r="J533" s="128"/>
      <c r="K533" s="128"/>
      <c r="L533" s="128"/>
      <c r="M533" s="128"/>
      <c r="N533" s="128"/>
      <c r="O533" s="128"/>
      <c r="P533" s="128"/>
      <c r="Q533" s="128"/>
      <c r="R533" s="128"/>
      <c r="S533" s="128"/>
      <c r="T533" s="128"/>
    </row>
    <row r="534" spans="4:20" ht="15.6">
      <c r="D534" s="128"/>
      <c r="E534" s="128"/>
      <c r="F534" s="128"/>
      <c r="G534" s="128"/>
      <c r="H534" s="128"/>
      <c r="I534" s="128"/>
      <c r="J534" s="128"/>
      <c r="K534" s="128"/>
      <c r="L534" s="128"/>
      <c r="M534" s="128"/>
      <c r="N534" s="128"/>
      <c r="O534" s="128"/>
      <c r="P534" s="128"/>
      <c r="Q534" s="128"/>
      <c r="R534" s="128"/>
      <c r="S534" s="128"/>
      <c r="T534" s="128"/>
    </row>
    <row r="535" spans="4:20" ht="15.6">
      <c r="D535" s="128"/>
      <c r="E535" s="128"/>
      <c r="F535" s="128"/>
      <c r="G535" s="128"/>
      <c r="H535" s="128"/>
      <c r="I535" s="128"/>
      <c r="J535" s="128"/>
      <c r="K535" s="128"/>
      <c r="L535" s="128"/>
      <c r="M535" s="128"/>
      <c r="N535" s="128"/>
      <c r="O535" s="128"/>
      <c r="P535" s="128"/>
      <c r="Q535" s="128"/>
      <c r="R535" s="128"/>
      <c r="S535" s="128"/>
      <c r="T535" s="128"/>
    </row>
    <row r="536" spans="4:20" ht="15.6">
      <c r="D536" s="128"/>
      <c r="E536" s="128"/>
      <c r="F536" s="128"/>
      <c r="G536" s="128"/>
      <c r="H536" s="128"/>
      <c r="I536" s="128"/>
      <c r="J536" s="128"/>
      <c r="K536" s="128"/>
      <c r="L536" s="128"/>
      <c r="M536" s="128"/>
      <c r="N536" s="128"/>
      <c r="O536" s="128"/>
      <c r="P536" s="128"/>
      <c r="Q536" s="128"/>
      <c r="R536" s="128"/>
      <c r="S536" s="128"/>
      <c r="T536" s="128"/>
    </row>
    <row r="537" spans="4:20" ht="15.6">
      <c r="D537" s="128"/>
      <c r="E537" s="128"/>
      <c r="F537" s="128"/>
      <c r="G537" s="128"/>
      <c r="H537" s="128"/>
      <c r="I537" s="128"/>
      <c r="J537" s="128"/>
      <c r="K537" s="128"/>
      <c r="L537" s="128"/>
      <c r="M537" s="128"/>
      <c r="N537" s="128"/>
      <c r="O537" s="128"/>
      <c r="P537" s="128"/>
      <c r="Q537" s="128"/>
      <c r="R537" s="128"/>
      <c r="S537" s="128"/>
      <c r="T537" s="128"/>
    </row>
    <row r="538" spans="4:20" ht="15.6">
      <c r="D538" s="128"/>
      <c r="E538" s="128"/>
      <c r="F538" s="128"/>
      <c r="G538" s="128"/>
      <c r="H538" s="128"/>
      <c r="I538" s="128"/>
      <c r="J538" s="128"/>
      <c r="K538" s="128"/>
      <c r="L538" s="128"/>
      <c r="M538" s="128"/>
      <c r="N538" s="128"/>
      <c r="O538" s="128"/>
      <c r="P538" s="128"/>
      <c r="Q538" s="128"/>
      <c r="R538" s="128"/>
      <c r="S538" s="128"/>
      <c r="T538" s="128"/>
    </row>
    <row r="539" spans="4:20" ht="15.6">
      <c r="D539" s="128"/>
      <c r="E539" s="128"/>
      <c r="F539" s="128"/>
      <c r="G539" s="128"/>
      <c r="H539" s="128"/>
      <c r="I539" s="128"/>
      <c r="J539" s="128"/>
      <c r="K539" s="128"/>
      <c r="L539" s="128"/>
      <c r="M539" s="128"/>
      <c r="N539" s="128"/>
      <c r="O539" s="128"/>
      <c r="P539" s="128"/>
      <c r="Q539" s="128"/>
      <c r="R539" s="128"/>
      <c r="S539" s="128"/>
      <c r="T539" s="128"/>
    </row>
    <row r="540" spans="4:20" ht="15.6">
      <c r="D540" s="128"/>
      <c r="E540" s="128"/>
      <c r="F540" s="128"/>
      <c r="G540" s="128"/>
      <c r="H540" s="128"/>
      <c r="I540" s="128"/>
      <c r="J540" s="128"/>
      <c r="K540" s="128"/>
      <c r="L540" s="128"/>
      <c r="M540" s="128"/>
      <c r="N540" s="128"/>
      <c r="O540" s="128"/>
      <c r="P540" s="128"/>
      <c r="Q540" s="128"/>
      <c r="R540" s="128"/>
      <c r="S540" s="128"/>
      <c r="T540" s="128"/>
    </row>
    <row r="541" spans="4:20" ht="15.6">
      <c r="D541" s="128"/>
      <c r="E541" s="128"/>
      <c r="F541" s="128"/>
      <c r="G541" s="128"/>
      <c r="H541" s="128"/>
      <c r="I541" s="128"/>
      <c r="J541" s="128"/>
      <c r="K541" s="128"/>
      <c r="L541" s="128"/>
      <c r="M541" s="128"/>
      <c r="N541" s="128"/>
      <c r="O541" s="128"/>
      <c r="P541" s="128"/>
      <c r="Q541" s="128"/>
      <c r="R541" s="128"/>
      <c r="S541" s="128"/>
      <c r="T541" s="128"/>
    </row>
    <row r="542" spans="4:20" ht="15.6">
      <c r="D542" s="128"/>
      <c r="E542" s="128"/>
      <c r="F542" s="128"/>
      <c r="G542" s="128"/>
      <c r="H542" s="128"/>
      <c r="I542" s="128"/>
      <c r="J542" s="128"/>
      <c r="K542" s="128"/>
      <c r="L542" s="128"/>
      <c r="M542" s="128"/>
      <c r="N542" s="128"/>
      <c r="O542" s="128"/>
      <c r="P542" s="128"/>
      <c r="Q542" s="128"/>
      <c r="R542" s="128"/>
      <c r="S542" s="128"/>
      <c r="T542" s="128"/>
    </row>
    <row r="543" spans="4:20" ht="15.6">
      <c r="D543" s="128"/>
      <c r="E543" s="128"/>
      <c r="F543" s="128"/>
      <c r="G543" s="128"/>
      <c r="H543" s="128"/>
      <c r="I543" s="128"/>
      <c r="J543" s="128"/>
      <c r="K543" s="128"/>
      <c r="L543" s="128"/>
      <c r="M543" s="128"/>
      <c r="N543" s="128"/>
      <c r="O543" s="128"/>
      <c r="P543" s="128"/>
      <c r="Q543" s="128"/>
      <c r="R543" s="128"/>
      <c r="S543" s="128"/>
      <c r="T543" s="128"/>
    </row>
    <row r="544" spans="4:20" ht="15.6">
      <c r="D544" s="128"/>
      <c r="E544" s="128"/>
      <c r="F544" s="128"/>
      <c r="G544" s="128"/>
      <c r="H544" s="128"/>
      <c r="I544" s="128"/>
      <c r="J544" s="128"/>
      <c r="K544" s="128"/>
      <c r="L544" s="128"/>
      <c r="M544" s="128"/>
      <c r="N544" s="128"/>
      <c r="O544" s="128"/>
      <c r="P544" s="128"/>
      <c r="Q544" s="128"/>
      <c r="R544" s="128"/>
      <c r="S544" s="128"/>
      <c r="T544" s="128"/>
    </row>
    <row r="545" spans="4:20" ht="15.6">
      <c r="D545" s="128"/>
      <c r="E545" s="128"/>
      <c r="F545" s="128"/>
      <c r="G545" s="128"/>
      <c r="H545" s="128"/>
      <c r="I545" s="128"/>
      <c r="J545" s="128"/>
      <c r="K545" s="128"/>
      <c r="L545" s="128"/>
      <c r="M545" s="128"/>
      <c r="N545" s="128"/>
      <c r="O545" s="128"/>
      <c r="P545" s="128"/>
      <c r="Q545" s="128"/>
      <c r="R545" s="128"/>
      <c r="S545" s="128"/>
      <c r="T545" s="128"/>
    </row>
    <row r="546" spans="4:20" ht="15.6">
      <c r="D546" s="128"/>
      <c r="E546" s="128"/>
      <c r="F546" s="128"/>
      <c r="G546" s="128"/>
      <c r="H546" s="128"/>
      <c r="I546" s="128"/>
      <c r="J546" s="128"/>
      <c r="K546" s="128"/>
      <c r="L546" s="128"/>
      <c r="M546" s="128"/>
      <c r="N546" s="128"/>
      <c r="O546" s="128"/>
      <c r="P546" s="128"/>
      <c r="Q546" s="128"/>
      <c r="R546" s="128"/>
      <c r="S546" s="128"/>
      <c r="T546" s="128"/>
    </row>
    <row r="547" spans="4:20" ht="15.6">
      <c r="D547" s="128"/>
      <c r="E547" s="128"/>
      <c r="F547" s="128"/>
      <c r="G547" s="128"/>
      <c r="H547" s="128"/>
      <c r="I547" s="128"/>
      <c r="J547" s="128"/>
      <c r="K547" s="128"/>
      <c r="L547" s="128"/>
      <c r="M547" s="128"/>
      <c r="N547" s="128"/>
      <c r="O547" s="128"/>
      <c r="P547" s="128"/>
      <c r="Q547" s="128"/>
      <c r="R547" s="128"/>
      <c r="S547" s="128"/>
      <c r="T547" s="128"/>
    </row>
    <row r="548" spans="4:20" ht="15.6">
      <c r="D548" s="128"/>
      <c r="E548" s="128"/>
      <c r="F548" s="128"/>
      <c r="G548" s="128"/>
      <c r="H548" s="128"/>
      <c r="I548" s="128"/>
      <c r="J548" s="128"/>
      <c r="K548" s="128"/>
      <c r="L548" s="128"/>
      <c r="M548" s="128"/>
      <c r="N548" s="128"/>
      <c r="O548" s="128"/>
      <c r="P548" s="128"/>
      <c r="Q548" s="128"/>
      <c r="R548" s="128"/>
      <c r="S548" s="128"/>
      <c r="T548" s="128"/>
    </row>
    <row r="549" spans="4:20" ht="15.6">
      <c r="D549" s="128"/>
      <c r="E549" s="128"/>
      <c r="F549" s="128"/>
      <c r="G549" s="128"/>
      <c r="H549" s="128"/>
      <c r="I549" s="128"/>
      <c r="J549" s="128"/>
      <c r="K549" s="128"/>
      <c r="L549" s="128"/>
      <c r="M549" s="128"/>
      <c r="N549" s="128"/>
      <c r="O549" s="128"/>
      <c r="P549" s="128"/>
      <c r="Q549" s="128"/>
      <c r="R549" s="128"/>
      <c r="S549" s="128"/>
      <c r="T549" s="128"/>
    </row>
    <row r="550" spans="4:20" ht="15.6">
      <c r="D550" s="128"/>
      <c r="E550" s="128"/>
      <c r="F550" s="128"/>
      <c r="G550" s="128"/>
      <c r="H550" s="128"/>
      <c r="I550" s="128"/>
      <c r="J550" s="128"/>
      <c r="K550" s="128"/>
      <c r="L550" s="128"/>
      <c r="M550" s="128"/>
      <c r="N550" s="128"/>
      <c r="O550" s="128"/>
      <c r="P550" s="128"/>
      <c r="Q550" s="128"/>
      <c r="R550" s="128"/>
      <c r="S550" s="128"/>
      <c r="T550" s="128"/>
    </row>
    <row r="551" spans="4:20" ht="15.6">
      <c r="D551" s="128"/>
      <c r="E551" s="128"/>
      <c r="F551" s="128"/>
      <c r="G551" s="128"/>
      <c r="H551" s="128"/>
      <c r="I551" s="128"/>
      <c r="J551" s="128"/>
      <c r="K551" s="128"/>
      <c r="L551" s="128"/>
      <c r="M551" s="128"/>
      <c r="N551" s="128"/>
      <c r="O551" s="128"/>
      <c r="P551" s="128"/>
      <c r="Q551" s="128"/>
      <c r="R551" s="128"/>
      <c r="S551" s="128"/>
      <c r="T551" s="128"/>
    </row>
    <row r="552" spans="4:20" ht="15.6">
      <c r="D552" s="128"/>
      <c r="E552" s="128"/>
      <c r="F552" s="128"/>
      <c r="G552" s="128"/>
      <c r="H552" s="128"/>
      <c r="I552" s="128"/>
      <c r="J552" s="128"/>
      <c r="K552" s="128"/>
      <c r="L552" s="128"/>
      <c r="M552" s="128"/>
      <c r="N552" s="128"/>
      <c r="O552" s="128"/>
      <c r="P552" s="128"/>
      <c r="Q552" s="128"/>
      <c r="R552" s="128"/>
      <c r="S552" s="128"/>
      <c r="T552" s="128"/>
    </row>
    <row r="553" spans="4:20" ht="15.6">
      <c r="D553" s="128"/>
      <c r="E553" s="128"/>
      <c r="F553" s="128"/>
      <c r="G553" s="128"/>
      <c r="H553" s="128"/>
      <c r="I553" s="128"/>
      <c r="J553" s="128"/>
      <c r="K553" s="128"/>
      <c r="L553" s="128"/>
      <c r="M553" s="128"/>
      <c r="N553" s="128"/>
      <c r="O553" s="128"/>
      <c r="P553" s="128"/>
      <c r="Q553" s="128"/>
      <c r="R553" s="128"/>
      <c r="S553" s="128"/>
      <c r="T553" s="128"/>
    </row>
    <row r="554" spans="4:20" ht="15.6">
      <c r="D554" s="128"/>
      <c r="E554" s="128"/>
      <c r="F554" s="128"/>
      <c r="G554" s="128"/>
      <c r="H554" s="128"/>
      <c r="I554" s="128"/>
      <c r="J554" s="128"/>
      <c r="K554" s="128"/>
      <c r="L554" s="128"/>
      <c r="M554" s="128"/>
      <c r="N554" s="128"/>
      <c r="O554" s="128"/>
      <c r="P554" s="128"/>
      <c r="Q554" s="128"/>
      <c r="R554" s="128"/>
      <c r="S554" s="128"/>
      <c r="T554" s="128"/>
    </row>
    <row r="555" spans="4:20" ht="15.6">
      <c r="D555" s="128"/>
      <c r="E555" s="128"/>
      <c r="F555" s="128"/>
      <c r="G555" s="128"/>
      <c r="H555" s="128"/>
      <c r="I555" s="128"/>
      <c r="J555" s="128"/>
      <c r="K555" s="128"/>
      <c r="L555" s="128"/>
      <c r="M555" s="128"/>
      <c r="N555" s="128"/>
      <c r="O555" s="128"/>
      <c r="P555" s="128"/>
      <c r="Q555" s="128"/>
      <c r="R555" s="128"/>
      <c r="S555" s="128"/>
      <c r="T555" s="128"/>
    </row>
    <row r="556" spans="4:20" ht="15.6">
      <c r="D556" s="128"/>
      <c r="E556" s="128"/>
      <c r="F556" s="128"/>
      <c r="G556" s="128"/>
      <c r="H556" s="128"/>
      <c r="I556" s="128"/>
      <c r="J556" s="128"/>
      <c r="K556" s="128"/>
      <c r="L556" s="128"/>
      <c r="M556" s="128"/>
      <c r="N556" s="128"/>
      <c r="O556" s="128"/>
      <c r="P556" s="128"/>
      <c r="Q556" s="128"/>
      <c r="R556" s="128"/>
      <c r="S556" s="128"/>
      <c r="T556" s="128"/>
    </row>
    <row r="557" spans="4:20" ht="15.6">
      <c r="D557" s="128"/>
      <c r="E557" s="128"/>
      <c r="F557" s="128"/>
      <c r="G557" s="128"/>
      <c r="H557" s="128"/>
      <c r="I557" s="128"/>
      <c r="J557" s="128"/>
      <c r="K557" s="128"/>
      <c r="L557" s="128"/>
      <c r="M557" s="128"/>
      <c r="N557" s="128"/>
      <c r="O557" s="128"/>
      <c r="P557" s="128"/>
      <c r="Q557" s="128"/>
      <c r="R557" s="128"/>
      <c r="S557" s="128"/>
      <c r="T557" s="128"/>
    </row>
    <row r="558" spans="4:20" ht="15.6">
      <c r="D558" s="128"/>
      <c r="E558" s="128"/>
      <c r="F558" s="128"/>
      <c r="G558" s="128"/>
      <c r="H558" s="128"/>
      <c r="I558" s="128"/>
      <c r="J558" s="128"/>
      <c r="K558" s="128"/>
      <c r="L558" s="128"/>
      <c r="M558" s="128"/>
      <c r="N558" s="128"/>
      <c r="O558" s="128"/>
      <c r="P558" s="128"/>
      <c r="Q558" s="128"/>
      <c r="R558" s="128"/>
      <c r="S558" s="128"/>
      <c r="T558" s="128"/>
    </row>
    <row r="559" spans="4:20" ht="15.6">
      <c r="D559" s="128"/>
      <c r="E559" s="128"/>
      <c r="F559" s="128"/>
      <c r="G559" s="128"/>
      <c r="H559" s="128"/>
      <c r="I559" s="128"/>
      <c r="J559" s="128"/>
      <c r="K559" s="128"/>
      <c r="L559" s="128"/>
      <c r="M559" s="128"/>
      <c r="N559" s="128"/>
      <c r="O559" s="128"/>
      <c r="P559" s="128"/>
      <c r="Q559" s="128"/>
      <c r="R559" s="128"/>
      <c r="S559" s="128"/>
      <c r="T559" s="128"/>
    </row>
    <row r="560" spans="4:20" ht="15.6">
      <c r="D560" s="128"/>
      <c r="E560" s="128"/>
      <c r="F560" s="128"/>
      <c r="G560" s="128"/>
      <c r="H560" s="128"/>
      <c r="I560" s="128"/>
      <c r="J560" s="128"/>
      <c r="K560" s="128"/>
      <c r="L560" s="128"/>
      <c r="M560" s="128"/>
      <c r="N560" s="128"/>
      <c r="O560" s="128"/>
      <c r="P560" s="128"/>
      <c r="Q560" s="128"/>
      <c r="R560" s="128"/>
      <c r="S560" s="128"/>
      <c r="T560" s="128"/>
    </row>
    <row r="561" spans="4:20" ht="15.6">
      <c r="D561" s="128"/>
      <c r="E561" s="128"/>
      <c r="F561" s="128"/>
      <c r="G561" s="128"/>
      <c r="H561" s="128"/>
      <c r="I561" s="128"/>
      <c r="J561" s="128"/>
      <c r="K561" s="128"/>
      <c r="L561" s="128"/>
      <c r="M561" s="128"/>
      <c r="N561" s="128"/>
      <c r="O561" s="128"/>
      <c r="P561" s="128"/>
      <c r="Q561" s="128"/>
      <c r="R561" s="128"/>
      <c r="S561" s="128"/>
      <c r="T561" s="128"/>
    </row>
    <row r="562" spans="4:20" ht="15.6">
      <c r="D562" s="128"/>
      <c r="E562" s="128"/>
      <c r="F562" s="128"/>
      <c r="G562" s="128"/>
      <c r="H562" s="128"/>
      <c r="I562" s="128"/>
      <c r="J562" s="128"/>
      <c r="K562" s="128"/>
      <c r="L562" s="128"/>
      <c r="M562" s="128"/>
      <c r="N562" s="128"/>
      <c r="O562" s="128"/>
      <c r="P562" s="128"/>
      <c r="Q562" s="128"/>
      <c r="R562" s="128"/>
      <c r="S562" s="128"/>
      <c r="T562" s="128"/>
    </row>
    <row r="563" spans="4:20" ht="15.6">
      <c r="D563" s="128"/>
      <c r="E563" s="128"/>
      <c r="F563" s="128"/>
      <c r="G563" s="128"/>
      <c r="H563" s="128"/>
      <c r="I563" s="128"/>
      <c r="J563" s="128"/>
      <c r="K563" s="128"/>
      <c r="L563" s="128"/>
      <c r="M563" s="128"/>
      <c r="N563" s="128"/>
      <c r="O563" s="128"/>
      <c r="P563" s="128"/>
      <c r="Q563" s="128"/>
      <c r="R563" s="128"/>
      <c r="S563" s="128"/>
      <c r="T563" s="128"/>
    </row>
    <row r="564" spans="4:20" ht="15.6">
      <c r="D564" s="128"/>
      <c r="E564" s="128"/>
      <c r="F564" s="128"/>
      <c r="G564" s="128"/>
      <c r="H564" s="128"/>
      <c r="I564" s="128"/>
      <c r="J564" s="128"/>
      <c r="K564" s="128"/>
      <c r="L564" s="128"/>
      <c r="M564" s="128"/>
      <c r="N564" s="128"/>
      <c r="O564" s="128"/>
      <c r="P564" s="128"/>
      <c r="Q564" s="128"/>
      <c r="R564" s="128"/>
      <c r="S564" s="128"/>
      <c r="T564" s="128"/>
    </row>
    <row r="565" spans="4:20" ht="15.6">
      <c r="D565" s="128"/>
      <c r="E565" s="128"/>
      <c r="F565" s="128"/>
      <c r="G565" s="128"/>
      <c r="H565" s="128"/>
      <c r="I565" s="128"/>
      <c r="J565" s="128"/>
      <c r="K565" s="128"/>
      <c r="L565" s="128"/>
      <c r="M565" s="128"/>
      <c r="N565" s="128"/>
      <c r="O565" s="128"/>
      <c r="P565" s="128"/>
      <c r="Q565" s="128"/>
      <c r="R565" s="128"/>
      <c r="S565" s="128"/>
      <c r="T565" s="128"/>
    </row>
    <row r="566" spans="4:20" ht="15.6">
      <c r="D566" s="128"/>
      <c r="E566" s="128"/>
      <c r="F566" s="128"/>
      <c r="G566" s="128"/>
      <c r="H566" s="128"/>
      <c r="I566" s="128"/>
      <c r="J566" s="128"/>
      <c r="K566" s="128"/>
      <c r="L566" s="128"/>
      <c r="M566" s="128"/>
      <c r="N566" s="128"/>
      <c r="O566" s="128"/>
      <c r="P566" s="128"/>
      <c r="Q566" s="128"/>
      <c r="R566" s="128"/>
      <c r="S566" s="128"/>
      <c r="T566" s="128"/>
    </row>
    <row r="567" spans="4:20" ht="15.6">
      <c r="D567" s="128"/>
      <c r="E567" s="128"/>
      <c r="F567" s="128"/>
      <c r="G567" s="128"/>
      <c r="H567" s="128"/>
      <c r="I567" s="128"/>
      <c r="J567" s="128"/>
      <c r="K567" s="128"/>
      <c r="L567" s="128"/>
      <c r="M567" s="128"/>
      <c r="N567" s="128"/>
      <c r="O567" s="128"/>
      <c r="P567" s="128"/>
      <c r="Q567" s="128"/>
      <c r="R567" s="128"/>
      <c r="S567" s="128"/>
      <c r="T567" s="128"/>
    </row>
    <row r="568" spans="4:20" ht="15.6">
      <c r="D568" s="128"/>
      <c r="E568" s="128"/>
      <c r="F568" s="128"/>
      <c r="G568" s="128"/>
      <c r="H568" s="128"/>
      <c r="I568" s="128"/>
      <c r="J568" s="128"/>
      <c r="K568" s="128"/>
      <c r="L568" s="128"/>
      <c r="M568" s="128"/>
      <c r="N568" s="128"/>
      <c r="O568" s="128"/>
      <c r="P568" s="128"/>
      <c r="Q568" s="128"/>
      <c r="R568" s="128"/>
      <c r="S568" s="128"/>
      <c r="T568" s="128"/>
    </row>
    <row r="569" spans="4:20" ht="15.6">
      <c r="D569" s="128"/>
      <c r="E569" s="128"/>
      <c r="F569" s="128"/>
      <c r="G569" s="128"/>
      <c r="H569" s="128"/>
      <c r="I569" s="128"/>
      <c r="J569" s="128"/>
      <c r="K569" s="128"/>
      <c r="L569" s="128"/>
      <c r="M569" s="128"/>
      <c r="N569" s="128"/>
      <c r="O569" s="128"/>
      <c r="P569" s="128"/>
      <c r="Q569" s="128"/>
      <c r="R569" s="128"/>
      <c r="S569" s="128"/>
      <c r="T569" s="128"/>
    </row>
    <row r="570" spans="4:20" ht="15.6">
      <c r="D570" s="128"/>
      <c r="E570" s="128"/>
      <c r="F570" s="128"/>
      <c r="G570" s="128"/>
      <c r="H570" s="128"/>
      <c r="I570" s="128"/>
      <c r="J570" s="128"/>
      <c r="K570" s="128"/>
      <c r="L570" s="128"/>
      <c r="M570" s="128"/>
      <c r="N570" s="128"/>
      <c r="O570" s="128"/>
      <c r="P570" s="128"/>
      <c r="Q570" s="128"/>
      <c r="R570" s="128"/>
      <c r="S570" s="128"/>
      <c r="T570" s="128"/>
    </row>
    <row r="571" spans="4:20" ht="15.6">
      <c r="D571" s="128"/>
      <c r="E571" s="128"/>
      <c r="F571" s="128"/>
      <c r="G571" s="128"/>
      <c r="H571" s="128"/>
      <c r="I571" s="128"/>
      <c r="J571" s="128"/>
      <c r="K571" s="128"/>
      <c r="L571" s="128"/>
      <c r="M571" s="128"/>
      <c r="N571" s="128"/>
      <c r="O571" s="128"/>
      <c r="P571" s="128"/>
      <c r="Q571" s="128"/>
      <c r="R571" s="128"/>
      <c r="S571" s="128"/>
      <c r="T571" s="128"/>
    </row>
    <row r="572" spans="4:20" ht="15.6">
      <c r="D572" s="128"/>
      <c r="E572" s="128"/>
      <c r="F572" s="128"/>
      <c r="G572" s="128"/>
      <c r="H572" s="128"/>
      <c r="I572" s="128"/>
      <c r="J572" s="128"/>
      <c r="K572" s="128"/>
      <c r="L572" s="128"/>
      <c r="M572" s="128"/>
      <c r="N572" s="128"/>
      <c r="O572" s="128"/>
      <c r="P572" s="128"/>
      <c r="Q572" s="128"/>
      <c r="R572" s="128"/>
      <c r="S572" s="128"/>
      <c r="T572" s="128"/>
    </row>
    <row r="573" spans="4:20" ht="15.6">
      <c r="D573" s="128"/>
      <c r="E573" s="128"/>
      <c r="F573" s="128"/>
      <c r="G573" s="128"/>
      <c r="H573" s="128"/>
      <c r="I573" s="128"/>
      <c r="J573" s="128"/>
      <c r="K573" s="128"/>
      <c r="L573" s="128"/>
      <c r="M573" s="128"/>
      <c r="N573" s="128"/>
      <c r="O573" s="128"/>
      <c r="P573" s="128"/>
      <c r="Q573" s="128"/>
      <c r="R573" s="128"/>
      <c r="S573" s="128"/>
      <c r="T573" s="128"/>
    </row>
    <row r="574" spans="4:20" ht="15.6">
      <c r="D574" s="128"/>
      <c r="E574" s="128"/>
      <c r="F574" s="128"/>
      <c r="G574" s="128"/>
      <c r="H574" s="128"/>
      <c r="I574" s="128"/>
      <c r="J574" s="128"/>
      <c r="K574" s="128"/>
      <c r="L574" s="128"/>
      <c r="M574" s="128"/>
      <c r="N574" s="128"/>
      <c r="O574" s="128"/>
      <c r="P574" s="128"/>
      <c r="Q574" s="128"/>
      <c r="R574" s="128"/>
      <c r="S574" s="128"/>
      <c r="T574" s="128"/>
    </row>
    <row r="575" spans="4:20" ht="15.6">
      <c r="D575" s="128"/>
      <c r="E575" s="128"/>
      <c r="F575" s="128"/>
      <c r="G575" s="128"/>
      <c r="H575" s="128"/>
      <c r="I575" s="128"/>
      <c r="J575" s="128"/>
      <c r="K575" s="128"/>
      <c r="L575" s="128"/>
      <c r="M575" s="128"/>
      <c r="N575" s="128"/>
      <c r="O575" s="128"/>
      <c r="P575" s="128"/>
      <c r="Q575" s="128"/>
      <c r="R575" s="128"/>
      <c r="S575" s="128"/>
      <c r="T575" s="128"/>
    </row>
    <row r="576" spans="4:20" ht="15.6">
      <c r="D576" s="128"/>
      <c r="E576" s="128"/>
      <c r="F576" s="128"/>
      <c r="G576" s="128"/>
      <c r="H576" s="128"/>
      <c r="I576" s="128"/>
      <c r="J576" s="128"/>
      <c r="K576" s="128"/>
      <c r="L576" s="128"/>
      <c r="M576" s="128"/>
      <c r="N576" s="128"/>
      <c r="O576" s="128"/>
      <c r="P576" s="128"/>
      <c r="Q576" s="128"/>
      <c r="R576" s="128"/>
      <c r="S576" s="128"/>
      <c r="T576" s="128"/>
    </row>
    <row r="577" spans="4:20" ht="15.6">
      <c r="D577" s="128"/>
      <c r="E577" s="128"/>
      <c r="F577" s="128"/>
      <c r="G577" s="128"/>
      <c r="H577" s="128"/>
      <c r="I577" s="128"/>
      <c r="J577" s="128"/>
      <c r="K577" s="128"/>
      <c r="L577" s="128"/>
      <c r="M577" s="128"/>
      <c r="N577" s="128"/>
      <c r="O577" s="128"/>
      <c r="P577" s="128"/>
      <c r="Q577" s="128"/>
      <c r="R577" s="128"/>
      <c r="S577" s="128"/>
      <c r="T577" s="128"/>
    </row>
    <row r="578" spans="4:20" ht="15.6">
      <c r="D578" s="128"/>
      <c r="E578" s="128"/>
      <c r="F578" s="128"/>
      <c r="G578" s="128"/>
      <c r="H578" s="128"/>
      <c r="I578" s="128"/>
      <c r="J578" s="128"/>
      <c r="K578" s="128"/>
      <c r="L578" s="128"/>
      <c r="M578" s="128"/>
      <c r="N578" s="128"/>
      <c r="O578" s="128"/>
      <c r="P578" s="128"/>
      <c r="Q578" s="128"/>
      <c r="R578" s="128"/>
      <c r="S578" s="128"/>
      <c r="T578" s="128"/>
    </row>
    <row r="579" spans="4:20" ht="15.6">
      <c r="D579" s="128"/>
      <c r="E579" s="128"/>
      <c r="F579" s="128"/>
      <c r="G579" s="128"/>
      <c r="H579" s="128"/>
      <c r="I579" s="128"/>
      <c r="J579" s="128"/>
      <c r="K579" s="128"/>
      <c r="L579" s="128"/>
      <c r="M579" s="128"/>
      <c r="N579" s="128"/>
      <c r="O579" s="128"/>
      <c r="P579" s="128"/>
      <c r="Q579" s="128"/>
      <c r="R579" s="128"/>
      <c r="S579" s="128"/>
      <c r="T579" s="128"/>
    </row>
    <row r="580" spans="4:20" ht="15.6">
      <c r="D580" s="128"/>
      <c r="E580" s="128"/>
      <c r="F580" s="128"/>
      <c r="G580" s="128"/>
      <c r="H580" s="128"/>
      <c r="I580" s="128"/>
      <c r="J580" s="128"/>
      <c r="K580" s="128"/>
      <c r="L580" s="128"/>
      <c r="M580" s="128"/>
      <c r="N580" s="128"/>
      <c r="O580" s="128"/>
      <c r="P580" s="128"/>
      <c r="Q580" s="128"/>
      <c r="R580" s="128"/>
      <c r="S580" s="128"/>
      <c r="T580" s="128"/>
    </row>
    <row r="581" spans="4:20" ht="15.6">
      <c r="D581" s="128"/>
      <c r="E581" s="128"/>
      <c r="F581" s="128"/>
      <c r="G581" s="128"/>
      <c r="H581" s="128"/>
      <c r="I581" s="128"/>
      <c r="J581" s="128"/>
      <c r="K581" s="128"/>
      <c r="L581" s="128"/>
      <c r="M581" s="128"/>
      <c r="N581" s="128"/>
      <c r="O581" s="128"/>
      <c r="P581" s="128"/>
      <c r="Q581" s="128"/>
      <c r="R581" s="128"/>
      <c r="S581" s="128"/>
      <c r="T581" s="128"/>
    </row>
    <row r="582" spans="4:20" ht="15.6">
      <c r="D582" s="128"/>
      <c r="E582" s="128"/>
      <c r="F582" s="128"/>
      <c r="G582" s="128"/>
      <c r="H582" s="128"/>
      <c r="I582" s="128"/>
      <c r="J582" s="128"/>
      <c r="K582" s="128"/>
      <c r="L582" s="128"/>
      <c r="M582" s="128"/>
      <c r="N582" s="128"/>
      <c r="O582" s="128"/>
      <c r="P582" s="128"/>
      <c r="Q582" s="128"/>
      <c r="R582" s="128"/>
      <c r="S582" s="128"/>
      <c r="T582" s="128"/>
    </row>
    <row r="583" spans="4:20" ht="15.6">
      <c r="D583" s="128"/>
      <c r="E583" s="128"/>
      <c r="F583" s="128"/>
      <c r="G583" s="128"/>
      <c r="H583" s="128"/>
      <c r="I583" s="128"/>
      <c r="J583" s="128"/>
      <c r="K583" s="128"/>
      <c r="L583" s="128"/>
      <c r="M583" s="128"/>
      <c r="N583" s="128"/>
      <c r="O583" s="128"/>
      <c r="P583" s="128"/>
      <c r="Q583" s="128"/>
      <c r="R583" s="128"/>
      <c r="S583" s="128"/>
      <c r="T583" s="128"/>
    </row>
    <row r="584" spans="4:20" ht="15.6">
      <c r="D584" s="128"/>
      <c r="E584" s="128"/>
      <c r="F584" s="128"/>
      <c r="G584" s="128"/>
      <c r="H584" s="128"/>
      <c r="I584" s="128"/>
      <c r="J584" s="128"/>
      <c r="K584" s="128"/>
      <c r="L584" s="128"/>
      <c r="M584" s="128"/>
      <c r="N584" s="128"/>
      <c r="O584" s="128"/>
      <c r="P584" s="128"/>
      <c r="Q584" s="128"/>
      <c r="R584" s="128"/>
      <c r="S584" s="128"/>
      <c r="T584" s="128"/>
    </row>
    <row r="585" spans="4:20" ht="15.6">
      <c r="D585" s="128"/>
      <c r="E585" s="128"/>
      <c r="F585" s="128"/>
      <c r="G585" s="128"/>
      <c r="H585" s="128"/>
      <c r="I585" s="128"/>
      <c r="J585" s="128"/>
      <c r="K585" s="128"/>
      <c r="L585" s="128"/>
      <c r="M585" s="128"/>
      <c r="N585" s="128"/>
      <c r="O585" s="128"/>
      <c r="P585" s="128"/>
      <c r="Q585" s="128"/>
      <c r="R585" s="128"/>
      <c r="S585" s="128"/>
      <c r="T585" s="128"/>
    </row>
    <row r="586" spans="4:20" ht="15.6">
      <c r="D586" s="128"/>
      <c r="E586" s="128"/>
      <c r="F586" s="128"/>
      <c r="G586" s="128"/>
      <c r="H586" s="128"/>
      <c r="I586" s="128"/>
      <c r="J586" s="128"/>
      <c r="K586" s="128"/>
      <c r="L586" s="128"/>
      <c r="M586" s="128"/>
      <c r="N586" s="128"/>
      <c r="O586" s="128"/>
      <c r="P586" s="128"/>
      <c r="Q586" s="128"/>
      <c r="R586" s="128"/>
      <c r="S586" s="128"/>
      <c r="T586" s="128"/>
    </row>
    <row r="587" spans="4:20" ht="15.6">
      <c r="D587" s="128"/>
      <c r="E587" s="128"/>
      <c r="F587" s="128"/>
      <c r="G587" s="128"/>
      <c r="H587" s="128"/>
      <c r="I587" s="128"/>
      <c r="J587" s="128"/>
      <c r="K587" s="128"/>
      <c r="L587" s="128"/>
      <c r="M587" s="128"/>
      <c r="N587" s="128"/>
      <c r="O587" s="128"/>
      <c r="P587" s="128"/>
      <c r="Q587" s="128"/>
      <c r="R587" s="128"/>
      <c r="S587" s="128"/>
      <c r="T587" s="128"/>
    </row>
    <row r="588" spans="4:20" ht="15.6">
      <c r="D588" s="128"/>
      <c r="E588" s="128"/>
      <c r="F588" s="128"/>
      <c r="G588" s="128"/>
      <c r="H588" s="128"/>
      <c r="I588" s="128"/>
      <c r="J588" s="128"/>
      <c r="K588" s="128"/>
      <c r="L588" s="128"/>
      <c r="M588" s="128"/>
      <c r="N588" s="128"/>
      <c r="O588" s="128"/>
      <c r="P588" s="128"/>
      <c r="Q588" s="128"/>
      <c r="R588" s="128"/>
      <c r="S588" s="128"/>
      <c r="T588" s="128"/>
    </row>
    <row r="589" spans="4:20" ht="15.6">
      <c r="D589" s="128"/>
      <c r="E589" s="128"/>
      <c r="F589" s="128"/>
      <c r="G589" s="128"/>
      <c r="H589" s="128"/>
      <c r="I589" s="128"/>
      <c r="J589" s="128"/>
      <c r="K589" s="128"/>
      <c r="L589" s="128"/>
      <c r="M589" s="128"/>
      <c r="N589" s="128"/>
      <c r="O589" s="128"/>
      <c r="P589" s="128"/>
      <c r="Q589" s="128"/>
      <c r="R589" s="128"/>
      <c r="S589" s="128"/>
      <c r="T589" s="128"/>
    </row>
    <row r="590" spans="4:20" ht="15.6">
      <c r="D590" s="128"/>
      <c r="E590" s="128"/>
      <c r="F590" s="128"/>
      <c r="G590" s="128"/>
      <c r="H590" s="128"/>
      <c r="I590" s="128"/>
      <c r="J590" s="128"/>
      <c r="K590" s="128"/>
      <c r="L590" s="128"/>
      <c r="M590" s="128"/>
      <c r="N590" s="128"/>
      <c r="O590" s="128"/>
      <c r="P590" s="128"/>
      <c r="Q590" s="128"/>
      <c r="R590" s="128"/>
      <c r="S590" s="128"/>
      <c r="T590" s="128"/>
    </row>
    <row r="591" spans="4:20" ht="15.6">
      <c r="D591" s="128"/>
      <c r="E591" s="128"/>
      <c r="F591" s="128"/>
      <c r="G591" s="128"/>
      <c r="H591" s="128"/>
      <c r="I591" s="128"/>
      <c r="J591" s="128"/>
      <c r="K591" s="128"/>
      <c r="L591" s="128"/>
      <c r="M591" s="128"/>
      <c r="N591" s="128"/>
      <c r="O591" s="128"/>
      <c r="P591" s="128"/>
      <c r="Q591" s="128"/>
      <c r="R591" s="128"/>
      <c r="S591" s="128"/>
      <c r="T591" s="128"/>
    </row>
    <row r="592" spans="4:20" ht="15.6">
      <c r="D592" s="128"/>
      <c r="E592" s="128"/>
      <c r="F592" s="128"/>
      <c r="G592" s="128"/>
      <c r="H592" s="128"/>
      <c r="I592" s="128"/>
      <c r="J592" s="128"/>
      <c r="K592" s="128"/>
      <c r="L592" s="128"/>
      <c r="M592" s="128"/>
      <c r="N592" s="128"/>
      <c r="O592" s="128"/>
      <c r="P592" s="128"/>
      <c r="Q592" s="128"/>
      <c r="R592" s="128"/>
      <c r="S592" s="128"/>
      <c r="T592" s="128"/>
    </row>
    <row r="593" spans="4:20" ht="15.6">
      <c r="D593" s="128"/>
      <c r="E593" s="128"/>
      <c r="F593" s="128"/>
      <c r="G593" s="128"/>
      <c r="H593" s="128"/>
      <c r="I593" s="128"/>
      <c r="J593" s="128"/>
      <c r="K593" s="128"/>
      <c r="L593" s="128"/>
      <c r="M593" s="128"/>
      <c r="N593" s="128"/>
      <c r="O593" s="128"/>
      <c r="P593" s="128"/>
      <c r="Q593" s="128"/>
      <c r="R593" s="128"/>
      <c r="S593" s="128"/>
      <c r="T593" s="128"/>
    </row>
    <row r="594" spans="4:20" ht="15.6">
      <c r="D594" s="128"/>
      <c r="E594" s="128"/>
      <c r="F594" s="128"/>
      <c r="G594" s="128"/>
      <c r="H594" s="128"/>
      <c r="I594" s="128"/>
      <c r="J594" s="128"/>
      <c r="K594" s="128"/>
      <c r="L594" s="128"/>
      <c r="M594" s="128"/>
      <c r="N594" s="128"/>
      <c r="O594" s="128"/>
      <c r="P594" s="128"/>
      <c r="Q594" s="128"/>
      <c r="R594" s="128"/>
      <c r="S594" s="128"/>
      <c r="T594" s="128"/>
    </row>
    <row r="595" spans="4:20" ht="15.6">
      <c r="D595" s="128"/>
      <c r="E595" s="128"/>
      <c r="F595" s="128"/>
      <c r="G595" s="128"/>
      <c r="H595" s="128"/>
      <c r="I595" s="128"/>
      <c r="J595" s="128"/>
      <c r="K595" s="128"/>
      <c r="L595" s="128"/>
      <c r="M595" s="128"/>
      <c r="N595" s="128"/>
      <c r="O595" s="128"/>
      <c r="P595" s="128"/>
      <c r="Q595" s="128"/>
      <c r="R595" s="128"/>
      <c r="S595" s="128"/>
      <c r="T595" s="128"/>
    </row>
    <row r="596" spans="4:20" ht="15.6">
      <c r="D596" s="128"/>
      <c r="E596" s="128"/>
      <c r="F596" s="128"/>
      <c r="G596" s="128"/>
      <c r="H596" s="128"/>
      <c r="I596" s="128"/>
      <c r="J596" s="128"/>
      <c r="K596" s="128"/>
      <c r="L596" s="128"/>
      <c r="M596" s="128"/>
      <c r="N596" s="128"/>
      <c r="O596" s="128"/>
      <c r="P596" s="128"/>
      <c r="Q596" s="128"/>
      <c r="R596" s="128"/>
      <c r="S596" s="128"/>
      <c r="T596" s="128"/>
    </row>
    <row r="597" spans="4:20" ht="15.6">
      <c r="D597" s="128"/>
      <c r="E597" s="128"/>
      <c r="F597" s="128"/>
      <c r="G597" s="128"/>
      <c r="H597" s="128"/>
      <c r="I597" s="128"/>
      <c r="J597" s="128"/>
      <c r="K597" s="128"/>
      <c r="L597" s="128"/>
      <c r="M597" s="128"/>
      <c r="N597" s="128"/>
      <c r="O597" s="128"/>
      <c r="P597" s="128"/>
      <c r="Q597" s="128"/>
      <c r="R597" s="128"/>
      <c r="S597" s="128"/>
      <c r="T597" s="128"/>
    </row>
    <row r="598" spans="4:20" ht="15.6">
      <c r="D598" s="128"/>
      <c r="E598" s="128"/>
      <c r="F598" s="128"/>
      <c r="G598" s="128"/>
      <c r="H598" s="128"/>
      <c r="I598" s="128"/>
      <c r="J598" s="128"/>
      <c r="K598" s="128"/>
      <c r="L598" s="128"/>
      <c r="M598" s="128"/>
      <c r="N598" s="128"/>
      <c r="O598" s="128"/>
      <c r="P598" s="128"/>
      <c r="Q598" s="128"/>
      <c r="R598" s="128"/>
      <c r="S598" s="128"/>
      <c r="T598" s="128"/>
    </row>
    <row r="599" spans="4:20" ht="15.6">
      <c r="D599" s="128"/>
      <c r="E599" s="128"/>
      <c r="F599" s="128"/>
      <c r="G599" s="128"/>
      <c r="H599" s="128"/>
      <c r="I599" s="128"/>
      <c r="J599" s="128"/>
      <c r="K599" s="128"/>
      <c r="L599" s="128"/>
      <c r="M599" s="128"/>
      <c r="N599" s="128"/>
      <c r="O599" s="128"/>
      <c r="P599" s="128"/>
      <c r="Q599" s="128"/>
      <c r="R599" s="128"/>
      <c r="S599" s="128"/>
      <c r="T599" s="128"/>
    </row>
    <row r="600" spans="4:20" ht="15.6">
      <c r="D600" s="128"/>
      <c r="E600" s="128"/>
      <c r="F600" s="128"/>
      <c r="G600" s="128"/>
      <c r="H600" s="128"/>
      <c r="I600" s="128"/>
      <c r="J600" s="128"/>
      <c r="K600" s="128"/>
      <c r="L600" s="128"/>
      <c r="M600" s="128"/>
      <c r="N600" s="128"/>
      <c r="O600" s="128"/>
      <c r="P600" s="128"/>
      <c r="Q600" s="128"/>
      <c r="R600" s="128"/>
      <c r="S600" s="128"/>
      <c r="T600" s="128"/>
    </row>
    <row r="601" spans="4:20" ht="15.6">
      <c r="D601" s="128"/>
      <c r="E601" s="128"/>
      <c r="F601" s="128"/>
      <c r="G601" s="128"/>
      <c r="H601" s="128"/>
      <c r="I601" s="128"/>
      <c r="J601" s="128"/>
      <c r="K601" s="128"/>
      <c r="L601" s="128"/>
      <c r="M601" s="128"/>
      <c r="N601" s="128"/>
      <c r="O601" s="128"/>
      <c r="P601" s="128"/>
      <c r="Q601" s="128"/>
      <c r="R601" s="128"/>
      <c r="S601" s="128"/>
      <c r="T601" s="128"/>
    </row>
    <row r="602" spans="4:20" ht="15.6">
      <c r="D602" s="128"/>
      <c r="E602" s="128"/>
      <c r="F602" s="128"/>
      <c r="G602" s="128"/>
      <c r="H602" s="128"/>
      <c r="I602" s="128"/>
      <c r="J602" s="128"/>
      <c r="K602" s="128"/>
      <c r="L602" s="128"/>
      <c r="M602" s="128"/>
      <c r="N602" s="128"/>
      <c r="O602" s="128"/>
      <c r="P602" s="128"/>
      <c r="Q602" s="128"/>
      <c r="R602" s="128"/>
      <c r="S602" s="128"/>
      <c r="T602" s="128"/>
    </row>
    <row r="603" spans="4:20" ht="15.6">
      <c r="D603" s="128"/>
      <c r="E603" s="128"/>
      <c r="F603" s="128"/>
      <c r="G603" s="128"/>
      <c r="H603" s="128"/>
      <c r="I603" s="128"/>
      <c r="J603" s="128"/>
      <c r="K603" s="128"/>
      <c r="L603" s="128"/>
      <c r="M603" s="128"/>
      <c r="N603" s="128"/>
      <c r="O603" s="128"/>
      <c r="P603" s="128"/>
      <c r="Q603" s="128"/>
      <c r="R603" s="128"/>
      <c r="S603" s="128"/>
      <c r="T603" s="128"/>
    </row>
    <row r="604" spans="4:20" ht="15.6">
      <c r="D604" s="128"/>
      <c r="E604" s="128"/>
      <c r="F604" s="128"/>
      <c r="G604" s="128"/>
      <c r="H604" s="128"/>
      <c r="I604" s="128"/>
      <c r="J604" s="128"/>
      <c r="K604" s="128"/>
      <c r="L604" s="128"/>
      <c r="M604" s="128"/>
      <c r="N604" s="128"/>
      <c r="O604" s="128"/>
      <c r="P604" s="128"/>
      <c r="Q604" s="128"/>
      <c r="R604" s="128"/>
      <c r="S604" s="128"/>
      <c r="T604" s="128"/>
    </row>
    <row r="605" spans="4:20" ht="15.6">
      <c r="D605" s="128"/>
      <c r="E605" s="128"/>
      <c r="F605" s="128"/>
      <c r="G605" s="128"/>
      <c r="H605" s="128"/>
      <c r="I605" s="128"/>
      <c r="J605" s="128"/>
      <c r="K605" s="128"/>
      <c r="L605" s="128"/>
      <c r="M605" s="128"/>
      <c r="N605" s="128"/>
      <c r="O605" s="128"/>
      <c r="P605" s="128"/>
      <c r="Q605" s="128"/>
      <c r="R605" s="128"/>
      <c r="S605" s="128"/>
      <c r="T605" s="128"/>
    </row>
    <row r="606" spans="4:20" ht="15.6">
      <c r="D606" s="128"/>
      <c r="E606" s="128"/>
      <c r="F606" s="128"/>
      <c r="G606" s="128"/>
      <c r="H606" s="128"/>
      <c r="I606" s="128"/>
      <c r="J606" s="128"/>
      <c r="K606" s="128"/>
      <c r="L606" s="128"/>
      <c r="M606" s="128"/>
      <c r="N606" s="128"/>
      <c r="O606" s="128"/>
      <c r="P606" s="128"/>
      <c r="Q606" s="128"/>
      <c r="R606" s="128"/>
      <c r="S606" s="128"/>
      <c r="T606" s="128"/>
    </row>
    <row r="607" spans="4:20" ht="15.6">
      <c r="D607" s="128"/>
      <c r="E607" s="128"/>
      <c r="F607" s="128"/>
      <c r="G607" s="128"/>
      <c r="H607" s="128"/>
      <c r="I607" s="128"/>
      <c r="J607" s="128"/>
      <c r="K607" s="128"/>
      <c r="L607" s="128"/>
      <c r="M607" s="128"/>
      <c r="N607" s="128"/>
      <c r="O607" s="128"/>
      <c r="P607" s="128"/>
      <c r="Q607" s="128"/>
      <c r="R607" s="128"/>
      <c r="S607" s="128"/>
      <c r="T607" s="128"/>
    </row>
    <row r="608" spans="4:20" ht="15.6">
      <c r="D608" s="128"/>
      <c r="E608" s="128"/>
      <c r="F608" s="128"/>
      <c r="G608" s="128"/>
      <c r="H608" s="128"/>
      <c r="I608" s="128"/>
      <c r="J608" s="128"/>
      <c r="K608" s="128"/>
      <c r="L608" s="128"/>
      <c r="M608" s="128"/>
      <c r="N608" s="128"/>
      <c r="O608" s="128"/>
      <c r="P608" s="128"/>
      <c r="Q608" s="128"/>
      <c r="R608" s="128"/>
      <c r="S608" s="128"/>
      <c r="T608" s="128"/>
    </row>
    <row r="609" spans="4:20" ht="15.6">
      <c r="D609" s="128"/>
      <c r="E609" s="128"/>
      <c r="F609" s="128"/>
      <c r="G609" s="128"/>
      <c r="H609" s="128"/>
      <c r="I609" s="128"/>
      <c r="J609" s="128"/>
      <c r="K609" s="128"/>
      <c r="L609" s="128"/>
      <c r="M609" s="128"/>
      <c r="N609" s="128"/>
      <c r="O609" s="128"/>
      <c r="P609" s="128"/>
      <c r="Q609" s="128"/>
      <c r="R609" s="128"/>
      <c r="S609" s="128"/>
      <c r="T609" s="128"/>
    </row>
    <row r="610" spans="4:20" ht="15.6">
      <c r="D610" s="128"/>
      <c r="E610" s="128"/>
      <c r="F610" s="128"/>
      <c r="G610" s="128"/>
      <c r="H610" s="128"/>
      <c r="I610" s="128"/>
      <c r="J610" s="128"/>
      <c r="K610" s="128"/>
      <c r="L610" s="128"/>
      <c r="M610" s="128"/>
      <c r="N610" s="128"/>
      <c r="O610" s="128"/>
      <c r="P610" s="128"/>
      <c r="Q610" s="128"/>
      <c r="R610" s="128"/>
      <c r="S610" s="128"/>
      <c r="T610" s="128"/>
    </row>
    <row r="611" spans="4:20" ht="15.6">
      <c r="D611" s="128"/>
      <c r="E611" s="128"/>
      <c r="F611" s="128"/>
      <c r="G611" s="128"/>
      <c r="H611" s="128"/>
      <c r="I611" s="128"/>
      <c r="J611" s="128"/>
      <c r="K611" s="128"/>
      <c r="L611" s="128"/>
      <c r="M611" s="128"/>
      <c r="N611" s="128"/>
      <c r="O611" s="128"/>
      <c r="P611" s="128"/>
      <c r="Q611" s="128"/>
      <c r="R611" s="128"/>
      <c r="S611" s="128"/>
      <c r="T611" s="128"/>
    </row>
    <row r="612" spans="4:20" ht="15.6">
      <c r="D612" s="128"/>
      <c r="E612" s="128"/>
      <c r="F612" s="128"/>
      <c r="G612" s="128"/>
      <c r="H612" s="128"/>
      <c r="I612" s="128"/>
      <c r="J612" s="128"/>
      <c r="K612" s="128"/>
      <c r="L612" s="128"/>
      <c r="M612" s="128"/>
      <c r="N612" s="128"/>
      <c r="O612" s="128"/>
      <c r="P612" s="128"/>
      <c r="Q612" s="128"/>
      <c r="R612" s="128"/>
      <c r="S612" s="128"/>
      <c r="T612" s="128"/>
    </row>
    <row r="613" spans="4:20" ht="15.6">
      <c r="D613" s="128"/>
      <c r="E613" s="128"/>
      <c r="F613" s="128"/>
      <c r="G613" s="128"/>
      <c r="H613" s="128"/>
      <c r="I613" s="128"/>
      <c r="J613" s="128"/>
      <c r="K613" s="128"/>
      <c r="L613" s="128"/>
      <c r="M613" s="128"/>
      <c r="N613" s="128"/>
      <c r="O613" s="128"/>
      <c r="P613" s="128"/>
      <c r="Q613" s="128"/>
      <c r="R613" s="128"/>
      <c r="S613" s="128"/>
      <c r="T613" s="128"/>
    </row>
    <row r="614" spans="4:20" ht="15.6">
      <c r="D614" s="128"/>
      <c r="E614" s="128"/>
      <c r="F614" s="128"/>
      <c r="G614" s="128"/>
      <c r="H614" s="128"/>
      <c r="I614" s="128"/>
      <c r="J614" s="128"/>
      <c r="K614" s="128"/>
      <c r="L614" s="128"/>
      <c r="M614" s="128"/>
      <c r="N614" s="128"/>
      <c r="O614" s="128"/>
      <c r="P614" s="128"/>
      <c r="Q614" s="128"/>
      <c r="R614" s="128"/>
      <c r="S614" s="128"/>
      <c r="T614" s="128"/>
    </row>
    <row r="615" spans="4:20" ht="15.6">
      <c r="D615" s="128"/>
      <c r="E615" s="128"/>
      <c r="F615" s="128"/>
      <c r="G615" s="128"/>
      <c r="H615" s="128"/>
      <c r="I615" s="128"/>
      <c r="J615" s="128"/>
      <c r="K615" s="128"/>
      <c r="L615" s="128"/>
      <c r="M615" s="128"/>
      <c r="N615" s="128"/>
      <c r="O615" s="128"/>
      <c r="P615" s="128"/>
      <c r="Q615" s="128"/>
      <c r="R615" s="128"/>
      <c r="S615" s="128"/>
      <c r="T615" s="128"/>
    </row>
    <row r="616" spans="4:20" ht="15.6">
      <c r="D616" s="128"/>
      <c r="E616" s="128"/>
      <c r="F616" s="128"/>
      <c r="G616" s="128"/>
      <c r="H616" s="128"/>
      <c r="I616" s="128"/>
      <c r="J616" s="128"/>
      <c r="K616" s="128"/>
      <c r="L616" s="128"/>
      <c r="M616" s="128"/>
      <c r="N616" s="128"/>
      <c r="O616" s="128"/>
      <c r="P616" s="128"/>
      <c r="Q616" s="128"/>
      <c r="R616" s="128"/>
      <c r="S616" s="128"/>
      <c r="T616" s="128"/>
    </row>
    <row r="617" spans="4:20" ht="15.6">
      <c r="D617" s="128"/>
      <c r="E617" s="128"/>
      <c r="F617" s="128"/>
      <c r="G617" s="128"/>
      <c r="H617" s="128"/>
      <c r="I617" s="128"/>
      <c r="J617" s="128"/>
      <c r="K617" s="128"/>
      <c r="L617" s="128"/>
      <c r="M617" s="128"/>
      <c r="N617" s="128"/>
      <c r="O617" s="128"/>
      <c r="P617" s="128"/>
      <c r="Q617" s="128"/>
      <c r="R617" s="128"/>
      <c r="S617" s="128"/>
      <c r="T617" s="128"/>
    </row>
    <row r="618" spans="4:20" ht="15.6">
      <c r="D618" s="128"/>
      <c r="E618" s="128"/>
      <c r="F618" s="128"/>
      <c r="G618" s="128"/>
      <c r="H618" s="128"/>
      <c r="I618" s="128"/>
      <c r="J618" s="128"/>
      <c r="K618" s="128"/>
      <c r="L618" s="128"/>
      <c r="M618" s="128"/>
      <c r="N618" s="128"/>
      <c r="O618" s="128"/>
      <c r="P618" s="128"/>
      <c r="Q618" s="128"/>
      <c r="R618" s="128"/>
      <c r="S618" s="128"/>
      <c r="T618" s="128"/>
    </row>
    <row r="619" spans="4:20" ht="15.6">
      <c r="D619" s="128"/>
      <c r="E619" s="128"/>
      <c r="F619" s="128"/>
      <c r="G619" s="128"/>
      <c r="H619" s="128"/>
      <c r="I619" s="128"/>
      <c r="J619" s="128"/>
      <c r="K619" s="128"/>
      <c r="L619" s="128"/>
      <c r="M619" s="128"/>
      <c r="N619" s="128"/>
      <c r="O619" s="128"/>
      <c r="P619" s="128"/>
      <c r="Q619" s="128"/>
      <c r="R619" s="128"/>
      <c r="S619" s="128"/>
      <c r="T619" s="128"/>
    </row>
    <row r="620" spans="4:20" ht="15.6">
      <c r="D620" s="128"/>
      <c r="E620" s="128"/>
      <c r="F620" s="128"/>
      <c r="G620" s="128"/>
      <c r="H620" s="128"/>
      <c r="I620" s="128"/>
      <c r="J620" s="128"/>
      <c r="K620" s="128"/>
      <c r="L620" s="128"/>
      <c r="M620" s="128"/>
      <c r="N620" s="128"/>
      <c r="O620" s="128"/>
      <c r="P620" s="128"/>
      <c r="Q620" s="128"/>
      <c r="R620" s="128"/>
      <c r="S620" s="128"/>
      <c r="T620" s="128"/>
    </row>
    <row r="621" spans="4:20" ht="15.6">
      <c r="D621" s="128"/>
      <c r="E621" s="128"/>
      <c r="F621" s="128"/>
      <c r="G621" s="128"/>
      <c r="H621" s="128"/>
      <c r="I621" s="128"/>
      <c r="J621" s="128"/>
      <c r="K621" s="128"/>
      <c r="L621" s="128"/>
      <c r="M621" s="128"/>
      <c r="N621" s="128"/>
      <c r="O621" s="128"/>
      <c r="P621" s="128"/>
      <c r="Q621" s="128"/>
      <c r="R621" s="128"/>
      <c r="S621" s="128"/>
      <c r="T621" s="128"/>
    </row>
    <row r="622" spans="4:20" ht="15.6">
      <c r="D622" s="128"/>
      <c r="E622" s="128"/>
      <c r="F622" s="128"/>
      <c r="G622" s="128"/>
      <c r="H622" s="128"/>
      <c r="I622" s="128"/>
      <c r="J622" s="128"/>
      <c r="K622" s="128"/>
      <c r="L622" s="128"/>
      <c r="M622" s="128"/>
      <c r="N622" s="128"/>
      <c r="O622" s="128"/>
      <c r="P622" s="128"/>
      <c r="Q622" s="128"/>
      <c r="R622" s="128"/>
      <c r="S622" s="128"/>
      <c r="T622" s="128"/>
    </row>
    <row r="623" spans="4:20" ht="15.6">
      <c r="D623" s="128"/>
      <c r="E623" s="128"/>
      <c r="F623" s="128"/>
      <c r="G623" s="128"/>
      <c r="H623" s="128"/>
      <c r="I623" s="128"/>
      <c r="J623" s="128"/>
      <c r="K623" s="128"/>
      <c r="L623" s="128"/>
      <c r="M623" s="128"/>
      <c r="N623" s="128"/>
      <c r="O623" s="128"/>
      <c r="P623" s="128"/>
      <c r="Q623" s="128"/>
      <c r="R623" s="128"/>
      <c r="S623" s="128"/>
      <c r="T623" s="128"/>
    </row>
    <row r="624" spans="4:20" ht="15.6">
      <c r="D624" s="128"/>
      <c r="E624" s="128"/>
      <c r="F624" s="128"/>
      <c r="G624" s="128"/>
      <c r="H624" s="128"/>
      <c r="I624" s="128"/>
      <c r="J624" s="128"/>
      <c r="K624" s="128"/>
      <c r="L624" s="128"/>
      <c r="M624" s="128"/>
      <c r="N624" s="128"/>
      <c r="O624" s="128"/>
      <c r="P624" s="128"/>
      <c r="Q624" s="128"/>
      <c r="R624" s="128"/>
      <c r="S624" s="128"/>
      <c r="T624" s="128"/>
    </row>
    <row r="625" spans="4:20" ht="15.6">
      <c r="D625" s="128"/>
      <c r="E625" s="128"/>
      <c r="F625" s="128"/>
      <c r="G625" s="128"/>
      <c r="H625" s="128"/>
      <c r="I625" s="128"/>
      <c r="J625" s="128"/>
      <c r="K625" s="128"/>
      <c r="L625" s="128"/>
      <c r="M625" s="128"/>
      <c r="N625" s="128"/>
      <c r="O625" s="128"/>
      <c r="P625" s="128"/>
      <c r="Q625" s="128"/>
      <c r="R625" s="128"/>
      <c r="S625" s="128"/>
      <c r="T625" s="128"/>
    </row>
    <row r="626" spans="4:20" ht="15.6">
      <c r="D626" s="128"/>
      <c r="E626" s="128"/>
      <c r="F626" s="128"/>
      <c r="G626" s="128"/>
      <c r="H626" s="128"/>
      <c r="I626" s="128"/>
      <c r="J626" s="128"/>
      <c r="K626" s="128"/>
      <c r="L626" s="128"/>
      <c r="M626" s="128"/>
      <c r="N626" s="128"/>
      <c r="O626" s="128"/>
      <c r="P626" s="128"/>
      <c r="Q626" s="128"/>
      <c r="R626" s="128"/>
      <c r="S626" s="128"/>
      <c r="T626" s="128"/>
    </row>
    <row r="627" spans="4:20" ht="15.6">
      <c r="D627" s="128"/>
      <c r="E627" s="128"/>
      <c r="F627" s="128"/>
      <c r="G627" s="128"/>
      <c r="H627" s="128"/>
      <c r="I627" s="128"/>
      <c r="J627" s="128"/>
      <c r="K627" s="128"/>
      <c r="L627" s="128"/>
      <c r="M627" s="128"/>
      <c r="N627" s="128"/>
      <c r="O627" s="128"/>
      <c r="P627" s="128"/>
      <c r="Q627" s="128"/>
      <c r="R627" s="128"/>
      <c r="S627" s="128"/>
      <c r="T627" s="128"/>
    </row>
    <row r="628" spans="4:20" ht="15.6">
      <c r="D628" s="128"/>
      <c r="E628" s="128"/>
      <c r="F628" s="128"/>
      <c r="G628" s="128"/>
      <c r="H628" s="128"/>
      <c r="I628" s="128"/>
      <c r="J628" s="128"/>
      <c r="K628" s="128"/>
      <c r="L628" s="128"/>
      <c r="M628" s="128"/>
      <c r="N628" s="128"/>
      <c r="O628" s="128"/>
      <c r="P628" s="128"/>
      <c r="Q628" s="128"/>
      <c r="R628" s="128"/>
      <c r="S628" s="128"/>
      <c r="T628" s="128"/>
    </row>
    <row r="629" spans="4:20" ht="15.6">
      <c r="D629" s="128"/>
      <c r="E629" s="128"/>
      <c r="F629" s="128"/>
      <c r="G629" s="128"/>
      <c r="H629" s="128"/>
      <c r="I629" s="128"/>
      <c r="J629" s="128"/>
      <c r="K629" s="128"/>
      <c r="L629" s="128"/>
      <c r="M629" s="128"/>
      <c r="N629" s="128"/>
      <c r="O629" s="128"/>
      <c r="P629" s="128"/>
      <c r="Q629" s="128"/>
      <c r="R629" s="128"/>
      <c r="S629" s="128"/>
      <c r="T629" s="128"/>
    </row>
    <row r="630" spans="4:20" ht="15.6">
      <c r="D630" s="128"/>
      <c r="E630" s="128"/>
      <c r="F630" s="128"/>
      <c r="G630" s="128"/>
      <c r="H630" s="128"/>
      <c r="I630" s="128"/>
      <c r="J630" s="128"/>
      <c r="K630" s="128"/>
      <c r="L630" s="128"/>
      <c r="M630" s="128"/>
      <c r="N630" s="128"/>
      <c r="O630" s="128"/>
      <c r="P630" s="128"/>
      <c r="Q630" s="128"/>
      <c r="R630" s="128"/>
      <c r="S630" s="128"/>
      <c r="T630" s="128"/>
    </row>
    <row r="631" spans="4:20" ht="15.6">
      <c r="D631" s="128"/>
      <c r="E631" s="128"/>
      <c r="F631" s="128"/>
      <c r="G631" s="128"/>
      <c r="H631" s="128"/>
      <c r="I631" s="128"/>
      <c r="J631" s="128"/>
      <c r="K631" s="128"/>
      <c r="L631" s="128"/>
      <c r="M631" s="128"/>
      <c r="N631" s="128"/>
      <c r="O631" s="128"/>
      <c r="P631" s="128"/>
      <c r="Q631" s="128"/>
      <c r="R631" s="128"/>
      <c r="S631" s="128"/>
      <c r="T631" s="128"/>
    </row>
    <row r="632" spans="4:20" ht="15.6">
      <c r="D632" s="128"/>
      <c r="E632" s="128"/>
      <c r="F632" s="128"/>
      <c r="G632" s="128"/>
      <c r="H632" s="128"/>
      <c r="I632" s="128"/>
      <c r="J632" s="128"/>
      <c r="K632" s="128"/>
      <c r="L632" s="128"/>
      <c r="M632" s="128"/>
      <c r="N632" s="128"/>
      <c r="O632" s="128"/>
      <c r="P632" s="128"/>
      <c r="Q632" s="128"/>
      <c r="R632" s="128"/>
      <c r="S632" s="128"/>
      <c r="T632" s="128"/>
    </row>
    <row r="633" spans="4:20" ht="15.6">
      <c r="D633" s="128"/>
      <c r="E633" s="128"/>
      <c r="F633" s="128"/>
      <c r="G633" s="128"/>
      <c r="H633" s="128"/>
      <c r="I633" s="128"/>
      <c r="J633" s="128"/>
      <c r="K633" s="128"/>
      <c r="L633" s="128"/>
      <c r="M633" s="128"/>
      <c r="N633" s="128"/>
      <c r="O633" s="128"/>
      <c r="P633" s="128"/>
      <c r="Q633" s="128"/>
      <c r="R633" s="128"/>
      <c r="S633" s="128"/>
      <c r="T633" s="128"/>
    </row>
    <row r="634" spans="4:20" ht="15.6">
      <c r="D634" s="128"/>
      <c r="E634" s="128"/>
      <c r="F634" s="128"/>
      <c r="G634" s="128"/>
      <c r="H634" s="128"/>
      <c r="I634" s="128"/>
      <c r="J634" s="128"/>
      <c r="K634" s="128"/>
      <c r="L634" s="128"/>
      <c r="M634" s="128"/>
      <c r="N634" s="128"/>
      <c r="O634" s="128"/>
      <c r="P634" s="128"/>
      <c r="Q634" s="128"/>
      <c r="R634" s="128"/>
      <c r="S634" s="128"/>
      <c r="T634" s="128"/>
    </row>
    <row r="635" spans="4:20" ht="15.6">
      <c r="D635" s="128"/>
      <c r="E635" s="128"/>
      <c r="F635" s="128"/>
      <c r="G635" s="128"/>
      <c r="H635" s="128"/>
      <c r="I635" s="128"/>
      <c r="J635" s="128"/>
      <c r="K635" s="128"/>
      <c r="L635" s="128"/>
      <c r="M635" s="128"/>
      <c r="N635" s="128"/>
      <c r="O635" s="128"/>
      <c r="P635" s="128"/>
      <c r="Q635" s="128"/>
      <c r="R635" s="128"/>
      <c r="S635" s="128"/>
      <c r="T635" s="128"/>
    </row>
    <row r="636" spans="4:20" ht="15.6">
      <c r="D636" s="128"/>
      <c r="E636" s="128"/>
      <c r="F636" s="128"/>
      <c r="G636" s="128"/>
      <c r="H636" s="128"/>
      <c r="I636" s="128"/>
      <c r="J636" s="128"/>
      <c r="K636" s="128"/>
      <c r="L636" s="128"/>
      <c r="M636" s="128"/>
      <c r="N636" s="128"/>
      <c r="O636" s="128"/>
      <c r="P636" s="128"/>
      <c r="Q636" s="128"/>
      <c r="R636" s="128"/>
      <c r="S636" s="128"/>
      <c r="T636" s="128"/>
    </row>
    <row r="637" spans="4:20" ht="15.6">
      <c r="D637" s="128"/>
      <c r="E637" s="128"/>
      <c r="F637" s="128"/>
      <c r="G637" s="128"/>
      <c r="H637" s="128"/>
      <c r="I637" s="128"/>
      <c r="J637" s="128"/>
      <c r="K637" s="128"/>
      <c r="L637" s="128"/>
      <c r="M637" s="128"/>
      <c r="N637" s="128"/>
      <c r="O637" s="128"/>
      <c r="P637" s="128"/>
      <c r="Q637" s="128"/>
      <c r="R637" s="128"/>
      <c r="S637" s="128"/>
      <c r="T637" s="128"/>
    </row>
    <row r="638" spans="4:20" ht="15.6">
      <c r="D638" s="128"/>
      <c r="E638" s="128"/>
      <c r="F638" s="128"/>
      <c r="G638" s="128"/>
      <c r="H638" s="128"/>
      <c r="I638" s="128"/>
      <c r="J638" s="128"/>
      <c r="K638" s="128"/>
      <c r="L638" s="128"/>
      <c r="M638" s="128"/>
      <c r="N638" s="128"/>
      <c r="O638" s="128"/>
      <c r="P638" s="128"/>
      <c r="Q638" s="128"/>
      <c r="R638" s="128"/>
      <c r="S638" s="128"/>
      <c r="T638" s="128"/>
    </row>
    <row r="639" spans="4:20" ht="15.6">
      <c r="D639" s="128"/>
      <c r="E639" s="128"/>
      <c r="F639" s="128"/>
      <c r="G639" s="128"/>
      <c r="H639" s="128"/>
      <c r="I639" s="128"/>
      <c r="J639" s="128"/>
      <c r="K639" s="128"/>
      <c r="L639" s="128"/>
      <c r="M639" s="128"/>
      <c r="N639" s="128"/>
      <c r="O639" s="128"/>
      <c r="P639" s="128"/>
      <c r="Q639" s="128"/>
      <c r="R639" s="128"/>
      <c r="S639" s="128"/>
      <c r="T639" s="128"/>
    </row>
    <row r="640" spans="4:20" ht="15.6">
      <c r="D640" s="128"/>
      <c r="E640" s="128"/>
      <c r="F640" s="128"/>
      <c r="G640" s="128"/>
      <c r="H640" s="128"/>
      <c r="I640" s="128"/>
      <c r="J640" s="128"/>
      <c r="K640" s="128"/>
      <c r="L640" s="128"/>
      <c r="M640" s="128"/>
      <c r="N640" s="128"/>
      <c r="O640" s="128"/>
      <c r="P640" s="128"/>
      <c r="Q640" s="128"/>
      <c r="R640" s="128"/>
      <c r="S640" s="128"/>
      <c r="T640" s="128"/>
    </row>
    <row r="641" spans="4:20" ht="15.6">
      <c r="D641" s="128"/>
      <c r="E641" s="128"/>
      <c r="F641" s="128"/>
      <c r="G641" s="128"/>
      <c r="H641" s="128"/>
      <c r="I641" s="128"/>
      <c r="J641" s="128"/>
      <c r="K641" s="128"/>
      <c r="L641" s="128"/>
      <c r="M641" s="128"/>
      <c r="N641" s="128"/>
      <c r="O641" s="128"/>
      <c r="P641" s="128"/>
      <c r="Q641" s="128"/>
      <c r="R641" s="128"/>
      <c r="S641" s="128"/>
      <c r="T641" s="128"/>
    </row>
    <row r="642" spans="4:20" ht="15.6">
      <c r="D642" s="128"/>
      <c r="E642" s="128"/>
      <c r="F642" s="128"/>
      <c r="G642" s="128"/>
      <c r="H642" s="128"/>
      <c r="I642" s="128"/>
      <c r="J642" s="128"/>
      <c r="K642" s="128"/>
      <c r="L642" s="128"/>
      <c r="M642" s="128"/>
      <c r="N642" s="128"/>
      <c r="O642" s="128"/>
      <c r="P642" s="128"/>
      <c r="Q642" s="128"/>
      <c r="R642" s="128"/>
      <c r="S642" s="128"/>
      <c r="T642" s="128"/>
    </row>
    <row r="643" spans="4:20" ht="15.6">
      <c r="D643" s="128"/>
      <c r="E643" s="128"/>
      <c r="F643" s="128"/>
      <c r="G643" s="128"/>
      <c r="H643" s="128"/>
      <c r="I643" s="128"/>
      <c r="J643" s="128"/>
      <c r="K643" s="128"/>
      <c r="L643" s="128"/>
      <c r="M643" s="128"/>
      <c r="N643" s="128"/>
      <c r="O643" s="128"/>
      <c r="P643" s="128"/>
      <c r="Q643" s="128"/>
      <c r="R643" s="128"/>
      <c r="S643" s="128"/>
      <c r="T643" s="128"/>
    </row>
    <row r="644" spans="4:20" ht="15.6">
      <c r="D644" s="128"/>
      <c r="E644" s="128"/>
      <c r="F644" s="128"/>
      <c r="G644" s="128"/>
      <c r="H644" s="128"/>
      <c r="I644" s="128"/>
      <c r="J644" s="128"/>
      <c r="K644" s="128"/>
      <c r="L644" s="128"/>
      <c r="M644" s="128"/>
      <c r="N644" s="128"/>
      <c r="O644" s="128"/>
      <c r="P644" s="128"/>
      <c r="Q644" s="128"/>
      <c r="R644" s="128"/>
      <c r="S644" s="128"/>
      <c r="T644" s="128"/>
    </row>
    <row r="645" spans="4:20" ht="15.6">
      <c r="D645" s="128"/>
      <c r="E645" s="128"/>
      <c r="F645" s="128"/>
      <c r="G645" s="128"/>
      <c r="H645" s="128"/>
      <c r="I645" s="128"/>
      <c r="J645" s="128"/>
      <c r="K645" s="128"/>
      <c r="L645" s="128"/>
      <c r="M645" s="128"/>
      <c r="N645" s="128"/>
      <c r="O645" s="128"/>
      <c r="P645" s="128"/>
      <c r="Q645" s="128"/>
      <c r="R645" s="128"/>
      <c r="S645" s="128"/>
      <c r="T645" s="128"/>
    </row>
    <row r="646" spans="4:20" ht="15.6">
      <c r="D646" s="128"/>
      <c r="E646" s="128"/>
      <c r="F646" s="128"/>
      <c r="G646" s="128"/>
      <c r="H646" s="128"/>
      <c r="I646" s="128"/>
      <c r="J646" s="128"/>
      <c r="K646" s="128"/>
      <c r="L646" s="128"/>
      <c r="M646" s="128"/>
      <c r="N646" s="128"/>
      <c r="O646" s="128"/>
      <c r="P646" s="128"/>
      <c r="Q646" s="128"/>
      <c r="R646" s="128"/>
      <c r="S646" s="128"/>
      <c r="T646" s="128"/>
    </row>
    <row r="647" spans="4:20" ht="15.6">
      <c r="D647" s="128"/>
      <c r="E647" s="128"/>
      <c r="F647" s="128"/>
      <c r="G647" s="128"/>
      <c r="H647" s="128"/>
      <c r="I647" s="128"/>
      <c r="J647" s="128"/>
      <c r="K647" s="128"/>
      <c r="L647" s="128"/>
      <c r="M647" s="128"/>
      <c r="N647" s="128"/>
      <c r="O647" s="128"/>
      <c r="P647" s="128"/>
      <c r="Q647" s="128"/>
      <c r="R647" s="128"/>
      <c r="S647" s="128"/>
      <c r="T647" s="128"/>
    </row>
    <row r="648" spans="4:20" ht="15.6">
      <c r="D648" s="128"/>
      <c r="E648" s="128"/>
      <c r="F648" s="128"/>
      <c r="G648" s="128"/>
      <c r="H648" s="128"/>
      <c r="I648" s="128"/>
      <c r="J648" s="128"/>
      <c r="K648" s="128"/>
      <c r="L648" s="128"/>
      <c r="M648" s="128"/>
      <c r="N648" s="128"/>
      <c r="O648" s="128"/>
      <c r="P648" s="128"/>
      <c r="Q648" s="128"/>
      <c r="R648" s="128"/>
      <c r="S648" s="128"/>
      <c r="T648" s="128"/>
    </row>
    <row r="649" spans="4:20" ht="15.6">
      <c r="D649" s="128"/>
      <c r="E649" s="128"/>
      <c r="F649" s="128"/>
      <c r="G649" s="128"/>
      <c r="H649" s="128"/>
      <c r="I649" s="128"/>
      <c r="J649" s="128"/>
      <c r="K649" s="128"/>
      <c r="L649" s="128"/>
      <c r="M649" s="128"/>
      <c r="N649" s="128"/>
      <c r="O649" s="128"/>
      <c r="P649" s="128"/>
      <c r="Q649" s="128"/>
      <c r="R649" s="128"/>
      <c r="S649" s="128"/>
      <c r="T649" s="128"/>
    </row>
    <row r="650" spans="4:20" ht="15.6">
      <c r="D650" s="128"/>
      <c r="E650" s="128"/>
      <c r="F650" s="128"/>
      <c r="G650" s="128"/>
      <c r="H650" s="128"/>
      <c r="I650" s="128"/>
      <c r="J650" s="128"/>
      <c r="K650" s="128"/>
      <c r="L650" s="128"/>
      <c r="M650" s="128"/>
      <c r="N650" s="128"/>
      <c r="O650" s="128"/>
      <c r="P650" s="128"/>
      <c r="Q650" s="128"/>
      <c r="R650" s="128"/>
      <c r="S650" s="128"/>
      <c r="T650" s="128"/>
    </row>
    <row r="651" spans="4:20" ht="15.6">
      <c r="D651" s="128"/>
      <c r="E651" s="128"/>
      <c r="F651" s="128"/>
      <c r="G651" s="128"/>
      <c r="H651" s="128"/>
      <c r="I651" s="128"/>
      <c r="J651" s="128"/>
      <c r="K651" s="128"/>
      <c r="L651" s="128"/>
      <c r="M651" s="128"/>
      <c r="N651" s="128"/>
      <c r="O651" s="128"/>
      <c r="P651" s="128"/>
      <c r="Q651" s="128"/>
      <c r="R651" s="128"/>
      <c r="S651" s="128"/>
      <c r="T651" s="128"/>
    </row>
    <row r="652" spans="4:20" ht="15.6">
      <c r="D652" s="128"/>
      <c r="E652" s="128"/>
      <c r="F652" s="128"/>
      <c r="G652" s="128"/>
      <c r="H652" s="128"/>
      <c r="I652" s="128"/>
      <c r="J652" s="128"/>
      <c r="K652" s="128"/>
      <c r="L652" s="128"/>
      <c r="M652" s="128"/>
      <c r="N652" s="128"/>
      <c r="O652" s="128"/>
      <c r="P652" s="128"/>
      <c r="Q652" s="128"/>
      <c r="R652" s="128"/>
      <c r="S652" s="128"/>
      <c r="T652" s="128"/>
    </row>
    <row r="653" spans="4:20" ht="15.6">
      <c r="D653" s="128"/>
      <c r="E653" s="128"/>
      <c r="F653" s="128"/>
      <c r="G653" s="128"/>
      <c r="H653" s="128"/>
      <c r="I653" s="128"/>
      <c r="J653" s="128"/>
      <c r="K653" s="128"/>
      <c r="L653" s="128"/>
      <c r="M653" s="128"/>
      <c r="N653" s="128"/>
      <c r="O653" s="128"/>
      <c r="P653" s="128"/>
      <c r="Q653" s="128"/>
      <c r="R653" s="128"/>
      <c r="S653" s="128"/>
      <c r="T653" s="128"/>
    </row>
    <row r="654" spans="4:20" ht="15.6">
      <c r="D654" s="128"/>
      <c r="E654" s="128"/>
      <c r="F654" s="128"/>
      <c r="G654" s="128"/>
      <c r="H654" s="128"/>
      <c r="I654" s="128"/>
      <c r="J654" s="128"/>
      <c r="K654" s="128"/>
      <c r="L654" s="128"/>
      <c r="M654" s="128"/>
      <c r="N654" s="128"/>
      <c r="O654" s="128"/>
      <c r="P654" s="128"/>
      <c r="Q654" s="128"/>
      <c r="R654" s="128"/>
      <c r="S654" s="128"/>
      <c r="T654" s="128"/>
    </row>
    <row r="655" spans="4:20" ht="15.6">
      <c r="D655" s="128"/>
      <c r="E655" s="128"/>
      <c r="F655" s="128"/>
      <c r="G655" s="128"/>
      <c r="H655" s="128"/>
      <c r="I655" s="128"/>
      <c r="J655" s="128"/>
      <c r="K655" s="128"/>
      <c r="L655" s="128"/>
      <c r="M655" s="128"/>
      <c r="N655" s="128"/>
      <c r="O655" s="128"/>
      <c r="P655" s="128"/>
      <c r="Q655" s="128"/>
      <c r="R655" s="128"/>
      <c r="S655" s="128"/>
      <c r="T655" s="128"/>
    </row>
    <row r="656" spans="4:20" ht="15.6">
      <c r="D656" s="128"/>
      <c r="E656" s="128"/>
      <c r="F656" s="128"/>
      <c r="G656" s="128"/>
      <c r="H656" s="128"/>
      <c r="I656" s="128"/>
      <c r="J656" s="128"/>
      <c r="K656" s="128"/>
      <c r="L656" s="128"/>
      <c r="M656" s="128"/>
      <c r="N656" s="128"/>
      <c r="O656" s="128"/>
      <c r="P656" s="128"/>
      <c r="Q656" s="128"/>
      <c r="R656" s="128"/>
      <c r="S656" s="128"/>
      <c r="T656" s="128"/>
    </row>
    <row r="657" spans="4:20" ht="15.6">
      <c r="D657" s="128"/>
      <c r="E657" s="128"/>
      <c r="F657" s="128"/>
      <c r="G657" s="128"/>
      <c r="H657" s="128"/>
      <c r="I657" s="128"/>
      <c r="J657" s="128"/>
      <c r="K657" s="128"/>
      <c r="L657" s="128"/>
      <c r="M657" s="128"/>
      <c r="N657" s="128"/>
      <c r="O657" s="128"/>
      <c r="P657" s="128"/>
      <c r="Q657" s="128"/>
      <c r="R657" s="128"/>
      <c r="S657" s="128"/>
      <c r="T657" s="128"/>
    </row>
    <row r="658" spans="4:20" ht="15.6">
      <c r="D658" s="128"/>
      <c r="E658" s="128"/>
      <c r="F658" s="128"/>
      <c r="G658" s="128"/>
      <c r="H658" s="128"/>
      <c r="I658" s="128"/>
      <c r="J658" s="128"/>
      <c r="K658" s="128"/>
      <c r="L658" s="128"/>
      <c r="M658" s="128"/>
      <c r="N658" s="128"/>
      <c r="O658" s="128"/>
      <c r="P658" s="128"/>
      <c r="Q658" s="128"/>
      <c r="R658" s="128"/>
      <c r="S658" s="128"/>
      <c r="T658" s="128"/>
    </row>
    <row r="659" spans="4:20" ht="15.6">
      <c r="D659" s="128"/>
      <c r="E659" s="128"/>
      <c r="F659" s="128"/>
      <c r="G659" s="128"/>
      <c r="H659" s="128"/>
      <c r="I659" s="128"/>
      <c r="J659" s="128"/>
      <c r="K659" s="128"/>
      <c r="L659" s="128"/>
      <c r="M659" s="128"/>
      <c r="N659" s="128"/>
      <c r="O659" s="128"/>
      <c r="P659" s="128"/>
      <c r="Q659" s="128"/>
      <c r="R659" s="128"/>
      <c r="S659" s="128"/>
      <c r="T659" s="128"/>
    </row>
    <row r="660" spans="4:20" ht="15.6">
      <c r="D660" s="128"/>
      <c r="E660" s="128"/>
      <c r="F660" s="128"/>
      <c r="G660" s="128"/>
      <c r="H660" s="128"/>
      <c r="I660" s="128"/>
      <c r="J660" s="128"/>
      <c r="K660" s="128"/>
      <c r="L660" s="128"/>
      <c r="M660" s="128"/>
      <c r="N660" s="128"/>
      <c r="O660" s="128"/>
      <c r="P660" s="128"/>
      <c r="Q660" s="128"/>
      <c r="R660" s="128"/>
      <c r="S660" s="128"/>
      <c r="T660" s="128"/>
    </row>
    <row r="661" spans="4:20" ht="15.6">
      <c r="D661" s="128"/>
      <c r="E661" s="128"/>
      <c r="F661" s="128"/>
      <c r="G661" s="128"/>
      <c r="H661" s="128"/>
      <c r="I661" s="128"/>
      <c r="J661" s="128"/>
      <c r="K661" s="128"/>
      <c r="L661" s="128"/>
      <c r="M661" s="128"/>
      <c r="N661" s="128"/>
      <c r="O661" s="128"/>
      <c r="P661" s="128"/>
      <c r="Q661" s="128"/>
      <c r="R661" s="128"/>
      <c r="S661" s="128"/>
      <c r="T661" s="128"/>
    </row>
    <row r="662" spans="4:20" ht="15.6">
      <c r="D662" s="128"/>
      <c r="E662" s="128"/>
      <c r="F662" s="128"/>
      <c r="G662" s="128"/>
      <c r="H662" s="128"/>
      <c r="I662" s="128"/>
      <c r="J662" s="128"/>
      <c r="K662" s="128"/>
      <c r="L662" s="128"/>
      <c r="M662" s="128"/>
      <c r="N662" s="128"/>
      <c r="O662" s="128"/>
      <c r="P662" s="128"/>
      <c r="Q662" s="128"/>
      <c r="R662" s="128"/>
      <c r="S662" s="128"/>
      <c r="T662" s="128"/>
    </row>
    <row r="663" spans="4:20" ht="15.6">
      <c r="D663" s="128"/>
      <c r="E663" s="128"/>
      <c r="F663" s="128"/>
      <c r="G663" s="128"/>
      <c r="H663" s="128"/>
      <c r="I663" s="128"/>
      <c r="J663" s="128"/>
      <c r="K663" s="128"/>
      <c r="L663" s="128"/>
      <c r="M663" s="128"/>
      <c r="N663" s="128"/>
      <c r="O663" s="128"/>
      <c r="P663" s="128"/>
      <c r="Q663" s="128"/>
      <c r="R663" s="128"/>
      <c r="S663" s="128"/>
      <c r="T663" s="128"/>
    </row>
    <row r="664" spans="4:20" ht="15.6">
      <c r="D664" s="128"/>
      <c r="E664" s="128"/>
      <c r="F664" s="128"/>
      <c r="G664" s="128"/>
      <c r="H664" s="128"/>
      <c r="I664" s="128"/>
      <c r="J664" s="128"/>
      <c r="K664" s="128"/>
      <c r="L664" s="128"/>
      <c r="M664" s="128"/>
      <c r="N664" s="128"/>
      <c r="O664" s="128"/>
      <c r="P664" s="128"/>
      <c r="Q664" s="128"/>
      <c r="R664" s="128"/>
      <c r="S664" s="128"/>
      <c r="T664" s="128"/>
    </row>
    <row r="665" spans="4:20" ht="15.6">
      <c r="D665" s="128"/>
      <c r="E665" s="128"/>
      <c r="F665" s="128"/>
      <c r="G665" s="128"/>
      <c r="H665" s="128"/>
      <c r="I665" s="128"/>
      <c r="J665" s="128"/>
      <c r="K665" s="128"/>
      <c r="L665" s="128"/>
      <c r="M665" s="128"/>
      <c r="N665" s="128"/>
      <c r="O665" s="128"/>
      <c r="P665" s="128"/>
      <c r="Q665" s="128"/>
      <c r="R665" s="128"/>
      <c r="S665" s="128"/>
      <c r="T665" s="128"/>
    </row>
    <row r="666" spans="4:20" ht="15.6">
      <c r="D666" s="128"/>
      <c r="E666" s="128"/>
      <c r="F666" s="128"/>
      <c r="G666" s="128"/>
      <c r="H666" s="128"/>
      <c r="I666" s="128"/>
      <c r="J666" s="128"/>
      <c r="K666" s="128"/>
      <c r="L666" s="128"/>
      <c r="M666" s="128"/>
      <c r="N666" s="128"/>
      <c r="O666" s="128"/>
      <c r="P666" s="128"/>
      <c r="Q666" s="128"/>
      <c r="R666" s="128"/>
      <c r="S666" s="128"/>
      <c r="T666" s="128"/>
    </row>
    <row r="667" spans="4:20" ht="15.6">
      <c r="D667" s="128"/>
      <c r="E667" s="128"/>
      <c r="F667" s="128"/>
      <c r="G667" s="128"/>
      <c r="H667" s="128"/>
      <c r="I667" s="128"/>
      <c r="J667" s="128"/>
      <c r="K667" s="128"/>
      <c r="L667" s="128"/>
      <c r="M667" s="128"/>
      <c r="N667" s="128"/>
      <c r="O667" s="128"/>
      <c r="P667" s="128"/>
      <c r="Q667" s="128"/>
      <c r="R667" s="128"/>
      <c r="S667" s="128"/>
      <c r="T667" s="128"/>
    </row>
    <row r="668" spans="4:20" ht="15.6">
      <c r="D668" s="128"/>
      <c r="E668" s="128"/>
      <c r="F668" s="128"/>
      <c r="G668" s="128"/>
      <c r="H668" s="128"/>
      <c r="I668" s="128"/>
      <c r="J668" s="128"/>
      <c r="K668" s="128"/>
      <c r="L668" s="128"/>
      <c r="M668" s="128"/>
      <c r="N668" s="128"/>
      <c r="O668" s="128"/>
      <c r="P668" s="128"/>
      <c r="Q668" s="128"/>
      <c r="R668" s="128"/>
      <c r="S668" s="128"/>
      <c r="T668" s="128"/>
    </row>
    <row r="669" spans="4:20" ht="15.6">
      <c r="D669" s="128"/>
      <c r="E669" s="128"/>
      <c r="F669" s="128"/>
      <c r="G669" s="128"/>
      <c r="H669" s="128"/>
      <c r="I669" s="128"/>
      <c r="J669" s="128"/>
      <c r="K669" s="128"/>
      <c r="L669" s="128"/>
      <c r="M669" s="128"/>
      <c r="N669" s="128"/>
      <c r="O669" s="128"/>
      <c r="P669" s="128"/>
      <c r="Q669" s="128"/>
      <c r="R669" s="128"/>
      <c r="S669" s="128"/>
      <c r="T669" s="128"/>
    </row>
    <row r="670" spans="4:20" ht="15.6">
      <c r="D670" s="128"/>
      <c r="E670" s="128"/>
      <c r="F670" s="128"/>
      <c r="G670" s="128"/>
      <c r="H670" s="128"/>
      <c r="I670" s="128"/>
      <c r="J670" s="128"/>
      <c r="K670" s="128"/>
      <c r="L670" s="128"/>
      <c r="M670" s="128"/>
      <c r="N670" s="128"/>
      <c r="O670" s="128"/>
      <c r="P670" s="128"/>
      <c r="Q670" s="128"/>
      <c r="R670" s="128"/>
      <c r="S670" s="128"/>
      <c r="T670" s="128"/>
    </row>
    <row r="671" spans="4:20" ht="15.6">
      <c r="D671" s="128"/>
      <c r="E671" s="128"/>
      <c r="F671" s="128"/>
      <c r="G671" s="128"/>
      <c r="H671" s="128"/>
      <c r="I671" s="128"/>
      <c r="J671" s="128"/>
      <c r="K671" s="128"/>
      <c r="L671" s="128"/>
      <c r="M671" s="128"/>
      <c r="N671" s="128"/>
      <c r="O671" s="128"/>
      <c r="P671" s="128"/>
      <c r="Q671" s="128"/>
      <c r="R671" s="128"/>
      <c r="S671" s="128"/>
      <c r="T671" s="128"/>
    </row>
    <row r="672" spans="4:20" ht="15.6">
      <c r="D672" s="128"/>
      <c r="E672" s="128"/>
      <c r="F672" s="128"/>
      <c r="G672" s="128"/>
      <c r="H672" s="128"/>
      <c r="I672" s="128"/>
      <c r="J672" s="128"/>
      <c r="K672" s="128"/>
      <c r="L672" s="128"/>
      <c r="M672" s="128"/>
      <c r="N672" s="128"/>
      <c r="O672" s="128"/>
      <c r="P672" s="128"/>
      <c r="Q672" s="128"/>
      <c r="R672" s="128"/>
      <c r="S672" s="128"/>
      <c r="T672" s="128"/>
    </row>
    <row r="673" spans="4:20" ht="15.6">
      <c r="D673" s="128"/>
      <c r="E673" s="128"/>
      <c r="F673" s="128"/>
      <c r="G673" s="128"/>
      <c r="H673" s="128"/>
      <c r="I673" s="128"/>
      <c r="J673" s="128"/>
      <c r="K673" s="128"/>
      <c r="L673" s="128"/>
      <c r="M673" s="128"/>
      <c r="N673" s="128"/>
      <c r="O673" s="128"/>
      <c r="P673" s="128"/>
      <c r="Q673" s="128"/>
      <c r="R673" s="128"/>
      <c r="S673" s="128"/>
      <c r="T673" s="128"/>
    </row>
    <row r="674" spans="4:20" ht="15.6">
      <c r="D674" s="128"/>
      <c r="E674" s="128"/>
      <c r="F674" s="128"/>
      <c r="G674" s="128"/>
      <c r="H674" s="128"/>
      <c r="I674" s="128"/>
      <c r="J674" s="128"/>
      <c r="K674" s="128"/>
      <c r="L674" s="128"/>
      <c r="M674" s="128"/>
      <c r="N674" s="128"/>
      <c r="O674" s="128"/>
      <c r="P674" s="128"/>
      <c r="Q674" s="128"/>
      <c r="R674" s="128"/>
      <c r="S674" s="128"/>
      <c r="T674" s="128"/>
    </row>
    <row r="675" spans="4:20" ht="15.6">
      <c r="D675" s="128"/>
      <c r="E675" s="128"/>
      <c r="F675" s="128"/>
      <c r="G675" s="128"/>
      <c r="H675" s="128"/>
      <c r="I675" s="128"/>
      <c r="J675" s="128"/>
      <c r="K675" s="128"/>
      <c r="L675" s="128"/>
      <c r="M675" s="128"/>
      <c r="N675" s="128"/>
      <c r="O675" s="128"/>
      <c r="P675" s="128"/>
      <c r="Q675" s="128"/>
      <c r="R675" s="128"/>
      <c r="S675" s="128"/>
      <c r="T675" s="128"/>
    </row>
    <row r="676" spans="4:20" ht="15.6">
      <c r="D676" s="128"/>
      <c r="E676" s="128"/>
      <c r="F676" s="128"/>
      <c r="G676" s="128"/>
      <c r="H676" s="128"/>
      <c r="I676" s="128"/>
      <c r="J676" s="128"/>
      <c r="K676" s="128"/>
      <c r="L676" s="128"/>
      <c r="M676" s="128"/>
      <c r="N676" s="128"/>
      <c r="O676" s="128"/>
      <c r="P676" s="128"/>
      <c r="Q676" s="128"/>
      <c r="R676" s="128"/>
      <c r="S676" s="128"/>
      <c r="T676" s="128"/>
    </row>
    <row r="677" spans="4:20" ht="15.6">
      <c r="D677" s="128"/>
      <c r="E677" s="128"/>
      <c r="F677" s="128"/>
      <c r="G677" s="128"/>
      <c r="H677" s="128"/>
      <c r="I677" s="128"/>
      <c r="J677" s="128"/>
      <c r="K677" s="128"/>
      <c r="L677" s="128"/>
      <c r="M677" s="128"/>
      <c r="N677" s="128"/>
      <c r="O677" s="128"/>
      <c r="P677" s="128"/>
      <c r="Q677" s="128"/>
      <c r="R677" s="128"/>
      <c r="S677" s="128"/>
      <c r="T677" s="128"/>
    </row>
    <row r="678" spans="4:20" ht="15.6">
      <c r="D678" s="128"/>
      <c r="E678" s="128"/>
      <c r="F678" s="128"/>
      <c r="G678" s="128"/>
      <c r="H678" s="128"/>
      <c r="I678" s="128"/>
      <c r="J678" s="128"/>
      <c r="K678" s="128"/>
      <c r="L678" s="128"/>
      <c r="M678" s="128"/>
      <c r="N678" s="128"/>
      <c r="O678" s="128"/>
      <c r="P678" s="128"/>
      <c r="Q678" s="128"/>
      <c r="R678" s="128"/>
      <c r="S678" s="128"/>
      <c r="T678" s="128"/>
    </row>
    <row r="679" spans="4:20" ht="15.6">
      <c r="D679" s="128"/>
      <c r="E679" s="128"/>
      <c r="F679" s="128"/>
      <c r="G679" s="128"/>
      <c r="H679" s="128"/>
      <c r="I679" s="128"/>
      <c r="J679" s="128"/>
      <c r="K679" s="128"/>
      <c r="L679" s="128"/>
      <c r="M679" s="128"/>
      <c r="N679" s="128"/>
      <c r="O679" s="128"/>
      <c r="P679" s="128"/>
      <c r="Q679" s="128"/>
      <c r="R679" s="128"/>
      <c r="S679" s="128"/>
      <c r="T679" s="128"/>
    </row>
    <row r="680" spans="4:20" ht="15.6">
      <c r="D680" s="128"/>
      <c r="E680" s="128"/>
      <c r="F680" s="128"/>
      <c r="G680" s="128"/>
      <c r="H680" s="128"/>
      <c r="I680" s="128"/>
      <c r="J680" s="128"/>
      <c r="K680" s="128"/>
      <c r="L680" s="128"/>
      <c r="M680" s="128"/>
      <c r="N680" s="128"/>
      <c r="O680" s="128"/>
      <c r="P680" s="128"/>
      <c r="Q680" s="128"/>
      <c r="R680" s="128"/>
      <c r="S680" s="128"/>
      <c r="T680" s="128"/>
    </row>
    <row r="681" spans="4:20" ht="15.6">
      <c r="D681" s="128"/>
      <c r="E681" s="128"/>
      <c r="F681" s="128"/>
      <c r="G681" s="128"/>
      <c r="H681" s="128"/>
      <c r="I681" s="128"/>
      <c r="J681" s="128"/>
      <c r="K681" s="128"/>
      <c r="L681" s="128"/>
      <c r="M681" s="128"/>
      <c r="N681" s="128"/>
      <c r="O681" s="128"/>
      <c r="P681" s="128"/>
      <c r="Q681" s="128"/>
      <c r="R681" s="128"/>
      <c r="S681" s="128"/>
      <c r="T681" s="128"/>
    </row>
    <row r="682" spans="4:20" ht="15.6">
      <c r="D682" s="128"/>
      <c r="E682" s="128"/>
      <c r="F682" s="128"/>
      <c r="G682" s="128"/>
      <c r="H682" s="128"/>
      <c r="I682" s="128"/>
      <c r="J682" s="128"/>
      <c r="K682" s="128"/>
      <c r="L682" s="128"/>
      <c r="M682" s="128"/>
      <c r="N682" s="128"/>
      <c r="O682" s="128"/>
      <c r="P682" s="128"/>
      <c r="Q682" s="128"/>
      <c r="R682" s="128"/>
      <c r="S682" s="128"/>
      <c r="T682" s="128"/>
    </row>
    <row r="683" spans="4:20" ht="15.6">
      <c r="D683" s="128"/>
      <c r="E683" s="128"/>
      <c r="F683" s="128"/>
      <c r="G683" s="128"/>
      <c r="H683" s="128"/>
      <c r="I683" s="128"/>
      <c r="J683" s="128"/>
      <c r="K683" s="128"/>
      <c r="L683" s="128"/>
      <c r="M683" s="128"/>
      <c r="N683" s="128"/>
      <c r="O683" s="128"/>
      <c r="P683" s="128"/>
      <c r="Q683" s="128"/>
      <c r="R683" s="128"/>
      <c r="S683" s="128"/>
      <c r="T683" s="128"/>
    </row>
    <row r="684" spans="4:20" ht="15.6">
      <c r="D684" s="128"/>
      <c r="E684" s="128"/>
      <c r="F684" s="128"/>
      <c r="G684" s="128"/>
      <c r="H684" s="128"/>
      <c r="I684" s="128"/>
      <c r="J684" s="128"/>
      <c r="K684" s="128"/>
      <c r="L684" s="128"/>
      <c r="M684" s="128"/>
      <c r="N684" s="128"/>
      <c r="O684" s="128"/>
      <c r="P684" s="128"/>
      <c r="Q684" s="128"/>
      <c r="R684" s="128"/>
      <c r="S684" s="128"/>
      <c r="T684" s="128"/>
    </row>
    <row r="685" spans="4:20" ht="15.6">
      <c r="D685" s="128"/>
      <c r="E685" s="128"/>
      <c r="F685" s="128"/>
      <c r="G685" s="128"/>
      <c r="H685" s="128"/>
      <c r="I685" s="128"/>
      <c r="J685" s="128"/>
      <c r="K685" s="128"/>
      <c r="L685" s="128"/>
      <c r="M685" s="128"/>
      <c r="N685" s="128"/>
      <c r="O685" s="128"/>
      <c r="P685" s="128"/>
      <c r="Q685" s="128"/>
      <c r="R685" s="128"/>
      <c r="S685" s="128"/>
      <c r="T685" s="128"/>
    </row>
    <row r="686" spans="4:20" ht="15.6">
      <c r="D686" s="128"/>
      <c r="E686" s="128"/>
      <c r="F686" s="128"/>
      <c r="G686" s="128"/>
      <c r="H686" s="128"/>
      <c r="I686" s="128"/>
      <c r="J686" s="128"/>
      <c r="K686" s="128"/>
      <c r="L686" s="128"/>
      <c r="M686" s="128"/>
      <c r="N686" s="128"/>
      <c r="O686" s="128"/>
      <c r="P686" s="128"/>
      <c r="Q686" s="128"/>
      <c r="R686" s="128"/>
      <c r="S686" s="128"/>
      <c r="T686" s="128"/>
    </row>
    <row r="687" spans="4:20" ht="15.6">
      <c r="D687" s="128"/>
      <c r="E687" s="128"/>
      <c r="F687" s="128"/>
      <c r="G687" s="128"/>
      <c r="H687" s="128"/>
      <c r="I687" s="128"/>
      <c r="J687" s="128"/>
      <c r="K687" s="128"/>
      <c r="L687" s="128"/>
      <c r="M687" s="128"/>
      <c r="N687" s="128"/>
      <c r="O687" s="128"/>
      <c r="P687" s="128"/>
      <c r="Q687" s="128"/>
      <c r="R687" s="128"/>
      <c r="S687" s="128"/>
      <c r="T687" s="128"/>
    </row>
    <row r="688" spans="4:20" ht="15.6">
      <c r="D688" s="128"/>
      <c r="E688" s="128"/>
      <c r="F688" s="128"/>
      <c r="G688" s="128"/>
      <c r="H688" s="128"/>
      <c r="I688" s="128"/>
      <c r="J688" s="128"/>
      <c r="K688" s="128"/>
      <c r="L688" s="128"/>
      <c r="M688" s="128"/>
      <c r="N688" s="128"/>
      <c r="O688" s="128"/>
      <c r="P688" s="128"/>
      <c r="Q688" s="128"/>
      <c r="R688" s="128"/>
      <c r="S688" s="128"/>
      <c r="T688" s="128"/>
    </row>
    <row r="689" spans="4:20" ht="15.6">
      <c r="D689" s="128"/>
      <c r="E689" s="128"/>
      <c r="F689" s="128"/>
      <c r="G689" s="128"/>
      <c r="H689" s="128"/>
      <c r="I689" s="128"/>
      <c r="J689" s="128"/>
      <c r="K689" s="128"/>
      <c r="L689" s="128"/>
      <c r="M689" s="128"/>
      <c r="N689" s="128"/>
      <c r="O689" s="128"/>
      <c r="P689" s="128"/>
      <c r="Q689" s="128"/>
      <c r="R689" s="128"/>
      <c r="S689" s="128"/>
      <c r="T689" s="128"/>
    </row>
    <row r="690" spans="4:20" ht="15.6">
      <c r="D690" s="128"/>
      <c r="E690" s="128"/>
      <c r="F690" s="128"/>
      <c r="G690" s="128"/>
      <c r="H690" s="128"/>
      <c r="I690" s="128"/>
      <c r="J690" s="128"/>
      <c r="K690" s="128"/>
      <c r="L690" s="128"/>
      <c r="M690" s="128"/>
      <c r="N690" s="128"/>
      <c r="O690" s="128"/>
      <c r="P690" s="128"/>
      <c r="Q690" s="128"/>
      <c r="R690" s="128"/>
      <c r="S690" s="128"/>
      <c r="T690" s="128"/>
    </row>
    <row r="691" spans="4:20" ht="15.6">
      <c r="D691" s="128"/>
      <c r="E691" s="128"/>
      <c r="F691" s="128"/>
      <c r="G691" s="128"/>
      <c r="H691" s="128"/>
      <c r="I691" s="128"/>
      <c r="J691" s="128"/>
      <c r="K691" s="128"/>
      <c r="L691" s="128"/>
      <c r="M691" s="128"/>
      <c r="N691" s="128"/>
      <c r="O691" s="128"/>
      <c r="P691" s="128"/>
      <c r="Q691" s="128"/>
      <c r="R691" s="128"/>
      <c r="S691" s="128"/>
      <c r="T691" s="128"/>
    </row>
    <row r="692" spans="4:20" ht="15.6">
      <c r="D692" s="128"/>
      <c r="E692" s="128"/>
      <c r="F692" s="128"/>
      <c r="G692" s="128"/>
      <c r="H692" s="128"/>
      <c r="I692" s="128"/>
      <c r="J692" s="128"/>
      <c r="K692" s="128"/>
      <c r="L692" s="128"/>
      <c r="M692" s="128"/>
      <c r="N692" s="128"/>
      <c r="O692" s="128"/>
      <c r="P692" s="128"/>
      <c r="Q692" s="128"/>
      <c r="R692" s="128"/>
      <c r="S692" s="128"/>
      <c r="T692" s="128"/>
    </row>
    <row r="693" spans="4:20" ht="15.6">
      <c r="D693" s="128"/>
      <c r="E693" s="128"/>
      <c r="F693" s="128"/>
      <c r="G693" s="128"/>
      <c r="H693" s="128"/>
      <c r="I693" s="128"/>
      <c r="J693" s="128"/>
      <c r="K693" s="128"/>
      <c r="L693" s="128"/>
      <c r="M693" s="128"/>
      <c r="N693" s="128"/>
      <c r="O693" s="128"/>
      <c r="P693" s="128"/>
      <c r="Q693" s="128"/>
      <c r="R693" s="128"/>
      <c r="S693" s="128"/>
      <c r="T693" s="128"/>
    </row>
    <row r="694" spans="4:20" ht="15.6">
      <c r="D694" s="128"/>
      <c r="E694" s="128"/>
      <c r="F694" s="128"/>
      <c r="G694" s="128"/>
      <c r="H694" s="128"/>
      <c r="I694" s="128"/>
      <c r="J694" s="128"/>
      <c r="K694" s="128"/>
      <c r="L694" s="128"/>
      <c r="M694" s="128"/>
      <c r="N694" s="128"/>
      <c r="O694" s="128"/>
      <c r="P694" s="128"/>
      <c r="Q694" s="128"/>
      <c r="R694" s="128"/>
      <c r="S694" s="128"/>
      <c r="T694" s="128"/>
    </row>
    <row r="695" spans="4:20" ht="15.6">
      <c r="D695" s="128"/>
      <c r="E695" s="128"/>
      <c r="F695" s="128"/>
      <c r="G695" s="128"/>
      <c r="H695" s="128"/>
      <c r="I695" s="128"/>
      <c r="J695" s="128"/>
      <c r="K695" s="128"/>
      <c r="L695" s="128"/>
      <c r="M695" s="128"/>
      <c r="N695" s="128"/>
      <c r="O695" s="128"/>
      <c r="P695" s="128"/>
      <c r="Q695" s="128"/>
      <c r="R695" s="128"/>
      <c r="S695" s="128"/>
      <c r="T695" s="128"/>
    </row>
    <row r="696" spans="4:20" ht="15.6">
      <c r="D696" s="128"/>
      <c r="E696" s="128"/>
      <c r="F696" s="128"/>
      <c r="G696" s="128"/>
      <c r="H696" s="128"/>
      <c r="I696" s="128"/>
      <c r="J696" s="128"/>
      <c r="K696" s="128"/>
      <c r="L696" s="128"/>
      <c r="M696" s="128"/>
      <c r="N696" s="128"/>
      <c r="O696" s="128"/>
      <c r="P696" s="128"/>
      <c r="Q696" s="128"/>
      <c r="R696" s="128"/>
      <c r="S696" s="128"/>
      <c r="T696" s="128"/>
    </row>
    <row r="697" spans="4:20" ht="15.6">
      <c r="D697" s="128"/>
      <c r="E697" s="128"/>
      <c r="F697" s="128"/>
      <c r="G697" s="128"/>
      <c r="H697" s="128"/>
      <c r="I697" s="128"/>
      <c r="J697" s="128"/>
      <c r="K697" s="128"/>
      <c r="L697" s="128"/>
      <c r="M697" s="128"/>
      <c r="N697" s="128"/>
      <c r="O697" s="128"/>
      <c r="P697" s="128"/>
      <c r="Q697" s="128"/>
      <c r="R697" s="128"/>
      <c r="S697" s="128"/>
      <c r="T697" s="128"/>
    </row>
    <row r="698" spans="4:20" ht="15.6">
      <c r="D698" s="128"/>
      <c r="E698" s="128"/>
      <c r="F698" s="128"/>
      <c r="G698" s="128"/>
      <c r="H698" s="128"/>
      <c r="I698" s="128"/>
      <c r="J698" s="128"/>
      <c r="K698" s="128"/>
      <c r="L698" s="128"/>
      <c r="M698" s="128"/>
      <c r="N698" s="128"/>
      <c r="O698" s="128"/>
      <c r="P698" s="128"/>
      <c r="Q698" s="128"/>
      <c r="R698" s="128"/>
      <c r="S698" s="128"/>
      <c r="T698" s="128"/>
    </row>
    <row r="699" spans="4:20" ht="15.6">
      <c r="D699" s="128"/>
      <c r="E699" s="128"/>
      <c r="F699" s="128"/>
      <c r="G699" s="128"/>
      <c r="H699" s="128"/>
      <c r="I699" s="128"/>
      <c r="J699" s="128"/>
      <c r="K699" s="128"/>
      <c r="L699" s="128"/>
      <c r="M699" s="128"/>
      <c r="N699" s="128"/>
      <c r="O699" s="128"/>
      <c r="P699" s="128"/>
      <c r="Q699" s="128"/>
      <c r="R699" s="128"/>
      <c r="S699" s="128"/>
      <c r="T699" s="128"/>
    </row>
    <row r="700" spans="4:20" ht="15.6">
      <c r="D700" s="128"/>
      <c r="E700" s="128"/>
      <c r="F700" s="128"/>
      <c r="G700" s="128"/>
      <c r="H700" s="128"/>
      <c r="I700" s="128"/>
      <c r="J700" s="128"/>
      <c r="K700" s="128"/>
      <c r="L700" s="128"/>
      <c r="M700" s="128"/>
      <c r="N700" s="128"/>
      <c r="O700" s="128"/>
      <c r="P700" s="128"/>
      <c r="Q700" s="128"/>
      <c r="R700" s="128"/>
      <c r="S700" s="128"/>
      <c r="T700" s="128"/>
    </row>
    <row r="701" spans="4:20" ht="15.6">
      <c r="D701" s="128"/>
      <c r="E701" s="128"/>
      <c r="F701" s="128"/>
      <c r="G701" s="128"/>
      <c r="H701" s="128"/>
      <c r="I701" s="128"/>
      <c r="J701" s="128"/>
      <c r="K701" s="128"/>
      <c r="L701" s="128"/>
      <c r="M701" s="128"/>
      <c r="N701" s="128"/>
      <c r="O701" s="128"/>
      <c r="P701" s="128"/>
      <c r="Q701" s="128"/>
      <c r="R701" s="128"/>
      <c r="S701" s="128"/>
      <c r="T701" s="128"/>
    </row>
    <row r="702" spans="4:20" ht="15.6">
      <c r="D702" s="128"/>
      <c r="E702" s="128"/>
      <c r="F702" s="128"/>
      <c r="G702" s="128"/>
      <c r="H702" s="128"/>
      <c r="I702" s="128"/>
      <c r="J702" s="128"/>
      <c r="K702" s="128"/>
      <c r="L702" s="128"/>
      <c r="M702" s="128"/>
      <c r="N702" s="128"/>
      <c r="O702" s="128"/>
      <c r="P702" s="128"/>
      <c r="Q702" s="128"/>
      <c r="R702" s="128"/>
      <c r="S702" s="128"/>
      <c r="T702" s="128"/>
    </row>
    <row r="703" spans="4:20" ht="15.6">
      <c r="D703" s="128"/>
      <c r="E703" s="128"/>
      <c r="F703" s="128"/>
      <c r="G703" s="128"/>
      <c r="H703" s="128"/>
      <c r="I703" s="128"/>
      <c r="J703" s="128"/>
      <c r="K703" s="128"/>
      <c r="L703" s="128"/>
      <c r="M703" s="128"/>
      <c r="N703" s="128"/>
      <c r="O703" s="128"/>
      <c r="P703" s="128"/>
      <c r="Q703" s="128"/>
      <c r="R703" s="128"/>
      <c r="S703" s="128"/>
      <c r="T703" s="128"/>
    </row>
    <row r="704" spans="4:20" ht="15.6">
      <c r="D704" s="128"/>
      <c r="E704" s="128"/>
      <c r="F704" s="128"/>
      <c r="G704" s="128"/>
      <c r="H704" s="128"/>
      <c r="I704" s="128"/>
      <c r="J704" s="128"/>
      <c r="K704" s="128"/>
      <c r="L704" s="128"/>
      <c r="M704" s="128"/>
      <c r="N704" s="128"/>
      <c r="O704" s="128"/>
      <c r="P704" s="128"/>
      <c r="Q704" s="128"/>
      <c r="R704" s="128"/>
      <c r="S704" s="128"/>
      <c r="T704" s="128"/>
    </row>
    <row r="705" spans="4:20" ht="15.6">
      <c r="D705" s="128"/>
      <c r="E705" s="128"/>
      <c r="F705" s="128"/>
      <c r="G705" s="128"/>
      <c r="H705" s="128"/>
      <c r="I705" s="128"/>
      <c r="J705" s="128"/>
      <c r="K705" s="128"/>
      <c r="L705" s="128"/>
      <c r="M705" s="128"/>
      <c r="N705" s="128"/>
      <c r="O705" s="128"/>
      <c r="P705" s="128"/>
      <c r="Q705" s="128"/>
      <c r="R705" s="128"/>
      <c r="S705" s="128"/>
      <c r="T705" s="128"/>
    </row>
    <row r="706" spans="4:20" ht="15.6">
      <c r="D706" s="128"/>
      <c r="E706" s="128"/>
      <c r="F706" s="128"/>
      <c r="G706" s="128"/>
      <c r="H706" s="128"/>
      <c r="I706" s="128"/>
      <c r="J706" s="128"/>
      <c r="K706" s="128"/>
      <c r="L706" s="128"/>
      <c r="M706" s="128"/>
      <c r="N706" s="128"/>
      <c r="O706" s="128"/>
      <c r="P706" s="128"/>
      <c r="Q706" s="128"/>
      <c r="R706" s="128"/>
      <c r="S706" s="128"/>
      <c r="T706" s="128"/>
    </row>
    <row r="707" spans="4:20" ht="15.6">
      <c r="D707" s="128"/>
      <c r="E707" s="128"/>
      <c r="F707" s="128"/>
      <c r="G707" s="128"/>
      <c r="H707" s="128"/>
      <c r="I707" s="128"/>
      <c r="J707" s="128"/>
      <c r="K707" s="128"/>
      <c r="L707" s="128"/>
      <c r="M707" s="128"/>
      <c r="N707" s="128"/>
      <c r="O707" s="128"/>
      <c r="P707" s="128"/>
      <c r="Q707" s="128"/>
      <c r="R707" s="128"/>
      <c r="S707" s="128"/>
      <c r="T707" s="128"/>
    </row>
    <row r="708" spans="4:20" ht="15.6">
      <c r="D708" s="128"/>
      <c r="E708" s="128"/>
      <c r="F708" s="128"/>
      <c r="G708" s="128"/>
      <c r="H708" s="128"/>
      <c r="I708" s="128"/>
      <c r="J708" s="128"/>
      <c r="K708" s="128"/>
      <c r="L708" s="128"/>
      <c r="M708" s="128"/>
      <c r="N708" s="128"/>
      <c r="O708" s="128"/>
      <c r="P708" s="128"/>
      <c r="Q708" s="128"/>
      <c r="R708" s="128"/>
      <c r="S708" s="128"/>
      <c r="T708" s="128"/>
    </row>
    <row r="709" spans="4:20" ht="15.6">
      <c r="D709" s="128"/>
      <c r="E709" s="128"/>
      <c r="F709" s="128"/>
      <c r="G709" s="128"/>
      <c r="H709" s="128"/>
      <c r="I709" s="128"/>
      <c r="J709" s="128"/>
      <c r="K709" s="128"/>
      <c r="L709" s="128"/>
      <c r="M709" s="128"/>
      <c r="N709" s="128"/>
      <c r="O709" s="128"/>
      <c r="P709" s="128"/>
      <c r="Q709" s="128"/>
      <c r="R709" s="128"/>
      <c r="S709" s="128"/>
      <c r="T709" s="128"/>
    </row>
    <row r="710" spans="4:20" ht="15.6">
      <c r="D710" s="128"/>
      <c r="E710" s="128"/>
      <c r="F710" s="128"/>
      <c r="G710" s="128"/>
      <c r="H710" s="128"/>
      <c r="I710" s="128"/>
      <c r="J710" s="128"/>
      <c r="K710" s="128"/>
      <c r="L710" s="128"/>
      <c r="M710" s="128"/>
      <c r="N710" s="128"/>
      <c r="O710" s="128"/>
      <c r="P710" s="128"/>
      <c r="Q710" s="128"/>
      <c r="R710" s="128"/>
      <c r="S710" s="128"/>
      <c r="T710" s="128"/>
    </row>
    <row r="711" spans="4:20" ht="15.6">
      <c r="D711" s="128"/>
      <c r="E711" s="128"/>
      <c r="F711" s="128"/>
      <c r="G711" s="128"/>
      <c r="H711" s="128"/>
      <c r="I711" s="128"/>
      <c r="J711" s="128"/>
      <c r="K711" s="128"/>
      <c r="L711" s="128"/>
      <c r="M711" s="128"/>
      <c r="N711" s="128"/>
      <c r="O711" s="128"/>
      <c r="P711" s="128"/>
      <c r="Q711" s="128"/>
      <c r="R711" s="128"/>
      <c r="S711" s="128"/>
      <c r="T711" s="128"/>
    </row>
    <row r="712" spans="4:20" ht="15.6">
      <c r="D712" s="128"/>
      <c r="E712" s="128"/>
      <c r="F712" s="128"/>
      <c r="G712" s="128"/>
      <c r="H712" s="128"/>
      <c r="I712" s="128"/>
      <c r="J712" s="128"/>
      <c r="K712" s="128"/>
      <c r="L712" s="128"/>
      <c r="M712" s="128"/>
      <c r="N712" s="128"/>
      <c r="O712" s="128"/>
      <c r="P712" s="128"/>
      <c r="Q712" s="128"/>
      <c r="R712" s="128"/>
      <c r="S712" s="128"/>
      <c r="T712" s="128"/>
    </row>
    <row r="713" spans="4:20" ht="15.6">
      <c r="D713" s="128"/>
      <c r="E713" s="128"/>
      <c r="F713" s="128"/>
      <c r="G713" s="128"/>
      <c r="H713" s="128"/>
      <c r="I713" s="128"/>
      <c r="J713" s="128"/>
      <c r="K713" s="128"/>
      <c r="L713" s="128"/>
      <c r="M713" s="128"/>
      <c r="N713" s="128"/>
      <c r="O713" s="128"/>
      <c r="P713" s="128"/>
      <c r="Q713" s="128"/>
      <c r="R713" s="128"/>
      <c r="S713" s="128"/>
      <c r="T713" s="128"/>
    </row>
    <row r="714" spans="4:20" ht="15.6">
      <c r="D714" s="128"/>
      <c r="E714" s="128"/>
      <c r="F714" s="128"/>
      <c r="G714" s="128"/>
      <c r="H714" s="128"/>
      <c r="I714" s="128"/>
      <c r="J714" s="128"/>
      <c r="K714" s="128"/>
      <c r="L714" s="128"/>
      <c r="M714" s="128"/>
      <c r="N714" s="128"/>
      <c r="O714" s="128"/>
      <c r="P714" s="128"/>
      <c r="Q714" s="128"/>
      <c r="R714" s="128"/>
      <c r="S714" s="128"/>
      <c r="T714" s="128"/>
    </row>
    <row r="715" spans="4:20" ht="15.6">
      <c r="D715" s="128"/>
      <c r="E715" s="128"/>
      <c r="F715" s="128"/>
      <c r="G715" s="128"/>
      <c r="H715" s="128"/>
      <c r="I715" s="128"/>
      <c r="J715" s="128"/>
      <c r="K715" s="128"/>
      <c r="L715" s="128"/>
      <c r="M715" s="128"/>
      <c r="N715" s="128"/>
      <c r="O715" s="128"/>
      <c r="P715" s="128"/>
      <c r="Q715" s="128"/>
      <c r="R715" s="128"/>
      <c r="S715" s="128"/>
      <c r="T715" s="128"/>
    </row>
    <row r="716" spans="4:20" ht="15.6">
      <c r="D716" s="128"/>
      <c r="E716" s="128"/>
      <c r="F716" s="128"/>
      <c r="G716" s="128"/>
      <c r="H716" s="128"/>
      <c r="I716" s="128"/>
      <c r="J716" s="128"/>
      <c r="K716" s="128"/>
      <c r="L716" s="128"/>
      <c r="M716" s="128"/>
      <c r="N716" s="128"/>
      <c r="O716" s="128"/>
      <c r="P716" s="128"/>
      <c r="Q716" s="128"/>
      <c r="R716" s="128"/>
      <c r="S716" s="128"/>
      <c r="T716" s="128"/>
    </row>
    <row r="717" spans="4:20" ht="15.6">
      <c r="D717" s="128"/>
      <c r="E717" s="128"/>
      <c r="F717" s="128"/>
      <c r="G717" s="128"/>
      <c r="H717" s="128"/>
      <c r="I717" s="128"/>
      <c r="J717" s="128"/>
      <c r="K717" s="128"/>
      <c r="L717" s="128"/>
      <c r="M717" s="128"/>
      <c r="N717" s="128"/>
      <c r="O717" s="128"/>
      <c r="P717" s="128"/>
      <c r="Q717" s="128"/>
      <c r="R717" s="128"/>
      <c r="S717" s="128"/>
      <c r="T717" s="128"/>
    </row>
    <row r="718" spans="4:20" ht="15.6">
      <c r="D718" s="128"/>
      <c r="E718" s="128"/>
      <c r="F718" s="128"/>
      <c r="G718" s="128"/>
      <c r="H718" s="128"/>
      <c r="I718" s="128"/>
      <c r="J718" s="128"/>
      <c r="K718" s="128"/>
      <c r="L718" s="128"/>
      <c r="M718" s="128"/>
      <c r="N718" s="128"/>
      <c r="O718" s="128"/>
      <c r="P718" s="128"/>
      <c r="Q718" s="128"/>
      <c r="R718" s="128"/>
      <c r="S718" s="128"/>
      <c r="T718" s="128"/>
    </row>
    <row r="719" spans="4:20" ht="15.6">
      <c r="D719" s="128"/>
      <c r="E719" s="128"/>
      <c r="F719" s="128"/>
      <c r="G719" s="128"/>
      <c r="H719" s="128"/>
      <c r="I719" s="128"/>
      <c r="J719" s="128"/>
      <c r="K719" s="128"/>
      <c r="L719" s="128"/>
      <c r="M719" s="128"/>
      <c r="N719" s="128"/>
      <c r="O719" s="128"/>
      <c r="P719" s="128"/>
      <c r="Q719" s="128"/>
      <c r="R719" s="128"/>
      <c r="S719" s="128"/>
      <c r="T719" s="128"/>
    </row>
    <row r="720" spans="4:20" ht="15.6">
      <c r="D720" s="128"/>
      <c r="E720" s="128"/>
      <c r="F720" s="128"/>
      <c r="G720" s="128"/>
      <c r="H720" s="128"/>
      <c r="I720" s="128"/>
      <c r="J720" s="128"/>
      <c r="K720" s="128"/>
      <c r="L720" s="128"/>
      <c r="M720" s="128"/>
      <c r="N720" s="128"/>
      <c r="O720" s="128"/>
      <c r="P720" s="128"/>
      <c r="Q720" s="128"/>
      <c r="R720" s="128"/>
      <c r="S720" s="128"/>
      <c r="T720" s="128"/>
    </row>
    <row r="721" spans="4:20" ht="15.6">
      <c r="D721" s="128"/>
      <c r="E721" s="128"/>
      <c r="F721" s="128"/>
      <c r="G721" s="128"/>
      <c r="H721" s="128"/>
      <c r="I721" s="128"/>
      <c r="J721" s="128"/>
      <c r="K721" s="128"/>
      <c r="L721" s="128"/>
      <c r="M721" s="128"/>
      <c r="N721" s="128"/>
      <c r="O721" s="128"/>
      <c r="P721" s="128"/>
      <c r="Q721" s="128"/>
      <c r="R721" s="128"/>
      <c r="S721" s="128"/>
      <c r="T721" s="128"/>
    </row>
    <row r="722" spans="4:20" ht="15.6">
      <c r="D722" s="128"/>
      <c r="E722" s="128"/>
      <c r="F722" s="128"/>
      <c r="G722" s="128"/>
      <c r="H722" s="128"/>
      <c r="I722" s="128"/>
      <c r="J722" s="128"/>
      <c r="K722" s="128"/>
      <c r="L722" s="128"/>
      <c r="M722" s="128"/>
      <c r="N722" s="128"/>
      <c r="O722" s="128"/>
      <c r="P722" s="128"/>
      <c r="Q722" s="128"/>
      <c r="R722" s="128"/>
      <c r="S722" s="128"/>
      <c r="T722" s="128"/>
    </row>
    <row r="723" spans="4:20" ht="15.6">
      <c r="D723" s="128"/>
      <c r="E723" s="128"/>
      <c r="F723" s="128"/>
      <c r="G723" s="128"/>
      <c r="H723" s="128"/>
      <c r="I723" s="128"/>
      <c r="J723" s="128"/>
      <c r="K723" s="128"/>
      <c r="L723" s="128"/>
      <c r="M723" s="128"/>
      <c r="N723" s="128"/>
      <c r="O723" s="128"/>
      <c r="P723" s="128"/>
      <c r="Q723" s="128"/>
      <c r="R723" s="128"/>
      <c r="S723" s="128"/>
      <c r="T723" s="128"/>
    </row>
    <row r="724" spans="4:20" ht="15.6">
      <c r="D724" s="128"/>
      <c r="E724" s="128"/>
      <c r="F724" s="128"/>
      <c r="G724" s="128"/>
      <c r="H724" s="128"/>
      <c r="I724" s="128"/>
      <c r="J724" s="128"/>
      <c r="K724" s="128"/>
      <c r="L724" s="128"/>
      <c r="M724" s="128"/>
      <c r="N724" s="128"/>
      <c r="O724" s="128"/>
      <c r="P724" s="128"/>
      <c r="Q724" s="128"/>
      <c r="R724" s="128"/>
      <c r="S724" s="128"/>
      <c r="T724" s="128"/>
    </row>
    <row r="725" spans="4:20" ht="15.6">
      <c r="D725" s="128"/>
      <c r="E725" s="128"/>
      <c r="F725" s="128"/>
      <c r="G725" s="128"/>
      <c r="H725" s="128"/>
      <c r="I725" s="128"/>
      <c r="J725" s="128"/>
      <c r="K725" s="128"/>
      <c r="L725" s="128"/>
      <c r="M725" s="128"/>
      <c r="N725" s="128"/>
      <c r="O725" s="128"/>
      <c r="P725" s="128"/>
      <c r="Q725" s="128"/>
      <c r="R725" s="128"/>
      <c r="S725" s="128"/>
      <c r="T725" s="128"/>
    </row>
    <row r="726" spans="4:20" ht="15.6">
      <c r="D726" s="128"/>
      <c r="E726" s="128"/>
      <c r="F726" s="128"/>
      <c r="G726" s="128"/>
      <c r="H726" s="128"/>
      <c r="I726" s="128"/>
      <c r="J726" s="128"/>
      <c r="K726" s="128"/>
      <c r="L726" s="128"/>
      <c r="M726" s="128"/>
      <c r="N726" s="128"/>
      <c r="O726" s="128"/>
      <c r="P726" s="128"/>
      <c r="Q726" s="128"/>
      <c r="R726" s="128"/>
      <c r="S726" s="128"/>
      <c r="T726" s="128"/>
    </row>
    <row r="727" spans="4:20" ht="15.6">
      <c r="D727" s="128"/>
      <c r="E727" s="128"/>
      <c r="F727" s="128"/>
      <c r="G727" s="128"/>
      <c r="H727" s="128"/>
      <c r="I727" s="128"/>
      <c r="J727" s="128"/>
      <c r="K727" s="128"/>
      <c r="L727" s="128"/>
      <c r="M727" s="128"/>
      <c r="N727" s="128"/>
      <c r="O727" s="128"/>
      <c r="P727" s="128"/>
      <c r="Q727" s="128"/>
      <c r="R727" s="128"/>
      <c r="S727" s="128"/>
      <c r="T727" s="128"/>
    </row>
    <row r="728" spans="4:20" ht="15.6">
      <c r="D728" s="128"/>
      <c r="E728" s="128"/>
      <c r="F728" s="128"/>
      <c r="G728" s="128"/>
      <c r="H728" s="128"/>
      <c r="I728" s="128"/>
      <c r="J728" s="128"/>
      <c r="K728" s="128"/>
      <c r="L728" s="128"/>
      <c r="M728" s="128"/>
      <c r="N728" s="128"/>
      <c r="O728" s="128"/>
      <c r="P728" s="128"/>
      <c r="Q728" s="128"/>
      <c r="R728" s="128"/>
      <c r="S728" s="128"/>
      <c r="T728" s="128"/>
    </row>
    <row r="729" spans="4:20" ht="15.6">
      <c r="D729" s="128"/>
      <c r="E729" s="128"/>
      <c r="F729" s="128"/>
      <c r="G729" s="128"/>
      <c r="H729" s="128"/>
      <c r="I729" s="128"/>
      <c r="J729" s="128"/>
      <c r="K729" s="128"/>
      <c r="L729" s="128"/>
      <c r="M729" s="128"/>
      <c r="N729" s="128"/>
      <c r="O729" s="128"/>
      <c r="P729" s="128"/>
      <c r="Q729" s="128"/>
      <c r="R729" s="128"/>
      <c r="S729" s="128"/>
      <c r="T729" s="128"/>
    </row>
    <row r="730" spans="4:20" ht="15.6">
      <c r="D730" s="128"/>
      <c r="E730" s="128"/>
      <c r="F730" s="128"/>
      <c r="G730" s="128"/>
      <c r="H730" s="128"/>
      <c r="I730" s="128"/>
      <c r="J730" s="128"/>
      <c r="K730" s="128"/>
      <c r="L730" s="128"/>
      <c r="M730" s="128"/>
      <c r="N730" s="128"/>
      <c r="O730" s="128"/>
      <c r="P730" s="128"/>
      <c r="Q730" s="128"/>
      <c r="R730" s="128"/>
      <c r="S730" s="128"/>
      <c r="T730" s="128"/>
    </row>
    <row r="731" spans="4:20" ht="15.6">
      <c r="D731" s="128"/>
      <c r="E731" s="128"/>
      <c r="F731" s="128"/>
      <c r="G731" s="128"/>
      <c r="H731" s="128"/>
      <c r="I731" s="128"/>
      <c r="J731" s="128"/>
      <c r="K731" s="128"/>
      <c r="L731" s="128"/>
      <c r="M731" s="128"/>
      <c r="N731" s="128"/>
      <c r="O731" s="128"/>
      <c r="P731" s="128"/>
      <c r="Q731" s="128"/>
      <c r="R731" s="128"/>
      <c r="S731" s="128"/>
      <c r="T731" s="128"/>
    </row>
    <row r="732" spans="4:20" ht="15.6">
      <c r="D732" s="128"/>
      <c r="E732" s="128"/>
      <c r="F732" s="128"/>
      <c r="G732" s="128"/>
      <c r="H732" s="128"/>
      <c r="I732" s="128"/>
      <c r="J732" s="128"/>
      <c r="K732" s="128"/>
      <c r="L732" s="128"/>
      <c r="M732" s="128"/>
      <c r="N732" s="128"/>
      <c r="O732" s="128"/>
      <c r="P732" s="128"/>
      <c r="Q732" s="128"/>
      <c r="R732" s="128"/>
      <c r="S732" s="128"/>
      <c r="T732" s="128"/>
    </row>
    <row r="733" spans="4:20" ht="15.6">
      <c r="D733" s="128"/>
      <c r="E733" s="128"/>
      <c r="F733" s="128"/>
      <c r="G733" s="128"/>
      <c r="H733" s="128"/>
      <c r="I733" s="128"/>
      <c r="J733" s="128"/>
      <c r="K733" s="128"/>
      <c r="L733" s="128"/>
      <c r="M733" s="128"/>
      <c r="N733" s="128"/>
      <c r="O733" s="128"/>
      <c r="P733" s="128"/>
      <c r="Q733" s="128"/>
      <c r="R733" s="128"/>
      <c r="S733" s="128"/>
      <c r="T733" s="128"/>
    </row>
    <row r="734" spans="4:20" ht="15.6">
      <c r="D734" s="128"/>
      <c r="E734" s="128"/>
      <c r="F734" s="128"/>
      <c r="G734" s="128"/>
      <c r="H734" s="128"/>
      <c r="I734" s="128"/>
      <c r="J734" s="128"/>
      <c r="K734" s="128"/>
      <c r="L734" s="128"/>
      <c r="M734" s="128"/>
      <c r="N734" s="128"/>
      <c r="O734" s="128"/>
      <c r="P734" s="128"/>
      <c r="Q734" s="128"/>
      <c r="R734" s="128"/>
      <c r="S734" s="128"/>
      <c r="T734" s="128"/>
    </row>
    <row r="735" spans="4:20" ht="15.6">
      <c r="D735" s="128"/>
      <c r="E735" s="128"/>
      <c r="F735" s="128"/>
      <c r="G735" s="128"/>
      <c r="H735" s="128"/>
      <c r="I735" s="128"/>
      <c r="J735" s="128"/>
      <c r="K735" s="128"/>
      <c r="L735" s="128"/>
      <c r="M735" s="128"/>
      <c r="N735" s="128"/>
      <c r="O735" s="128"/>
      <c r="P735" s="128"/>
      <c r="Q735" s="128"/>
      <c r="R735" s="128"/>
      <c r="S735" s="128"/>
      <c r="T735" s="128"/>
    </row>
    <row r="736" spans="4:20" ht="15.6">
      <c r="D736" s="128"/>
      <c r="E736" s="128"/>
      <c r="F736" s="128"/>
      <c r="G736" s="128"/>
      <c r="H736" s="128"/>
      <c r="I736" s="128"/>
      <c r="J736" s="128"/>
      <c r="K736" s="128"/>
      <c r="L736" s="128"/>
      <c r="M736" s="128"/>
      <c r="N736" s="128"/>
      <c r="O736" s="128"/>
      <c r="P736" s="128"/>
      <c r="Q736" s="128"/>
      <c r="R736" s="128"/>
      <c r="S736" s="128"/>
      <c r="T736" s="128"/>
    </row>
    <row r="737" spans="4:20" ht="15.6">
      <c r="D737" s="128"/>
      <c r="E737" s="128"/>
      <c r="F737" s="128"/>
      <c r="G737" s="128"/>
      <c r="H737" s="128"/>
      <c r="I737" s="128"/>
      <c r="J737" s="128"/>
      <c r="K737" s="128"/>
      <c r="L737" s="128"/>
      <c r="M737" s="128"/>
      <c r="N737" s="128"/>
      <c r="O737" s="128"/>
      <c r="P737" s="128"/>
      <c r="Q737" s="128"/>
      <c r="R737" s="128"/>
      <c r="S737" s="128"/>
      <c r="T737" s="128"/>
    </row>
    <row r="738" spans="4:20" ht="15.6">
      <c r="D738" s="128"/>
      <c r="E738" s="128"/>
      <c r="F738" s="128"/>
      <c r="G738" s="128"/>
      <c r="H738" s="128"/>
      <c r="I738" s="128"/>
      <c r="J738" s="128"/>
      <c r="K738" s="128"/>
      <c r="L738" s="128"/>
      <c r="M738" s="128"/>
      <c r="N738" s="128"/>
      <c r="O738" s="128"/>
      <c r="P738" s="128"/>
      <c r="Q738" s="128"/>
      <c r="R738" s="128"/>
      <c r="S738" s="128"/>
      <c r="T738" s="128"/>
    </row>
    <row r="739" spans="4:20" ht="15.6">
      <c r="D739" s="128"/>
      <c r="E739" s="128"/>
      <c r="F739" s="128"/>
      <c r="G739" s="128"/>
      <c r="H739" s="128"/>
      <c r="I739" s="128"/>
      <c r="J739" s="128"/>
      <c r="K739" s="128"/>
      <c r="L739" s="128"/>
      <c r="M739" s="128"/>
      <c r="N739" s="128"/>
      <c r="O739" s="128"/>
      <c r="P739" s="128"/>
      <c r="Q739" s="128"/>
      <c r="R739" s="128"/>
      <c r="S739" s="128"/>
      <c r="T739" s="128"/>
    </row>
    <row r="740" spans="4:20" ht="15.6">
      <c r="D740" s="128"/>
      <c r="E740" s="128"/>
      <c r="F740" s="128"/>
      <c r="G740" s="128"/>
      <c r="H740" s="128"/>
      <c r="I740" s="128"/>
      <c r="J740" s="128"/>
      <c r="K740" s="128"/>
      <c r="L740" s="128"/>
      <c r="M740" s="128"/>
      <c r="N740" s="128"/>
      <c r="O740" s="128"/>
      <c r="P740" s="128"/>
      <c r="Q740" s="128"/>
      <c r="R740" s="128"/>
      <c r="S740" s="128"/>
      <c r="T740" s="128"/>
    </row>
    <row r="741" spans="4:20" ht="15.6">
      <c r="D741" s="128"/>
      <c r="E741" s="128"/>
      <c r="F741" s="128"/>
      <c r="G741" s="128"/>
      <c r="H741" s="128"/>
      <c r="I741" s="128"/>
      <c r="J741" s="128"/>
      <c r="K741" s="128"/>
      <c r="L741" s="128"/>
      <c r="M741" s="128"/>
      <c r="N741" s="128"/>
      <c r="O741" s="128"/>
      <c r="P741" s="128"/>
      <c r="Q741" s="128"/>
      <c r="R741" s="128"/>
      <c r="S741" s="128"/>
      <c r="T741" s="128"/>
    </row>
    <row r="742" spans="4:20" ht="15.6">
      <c r="D742" s="128"/>
      <c r="E742" s="128"/>
      <c r="F742" s="128"/>
      <c r="G742" s="128"/>
      <c r="H742" s="128"/>
      <c r="I742" s="128"/>
      <c r="J742" s="128"/>
      <c r="K742" s="128"/>
      <c r="L742" s="128"/>
      <c r="M742" s="128"/>
      <c r="N742" s="128"/>
      <c r="O742" s="128"/>
      <c r="P742" s="128"/>
      <c r="Q742" s="128"/>
      <c r="R742" s="128"/>
      <c r="S742" s="128"/>
      <c r="T742" s="128"/>
    </row>
    <row r="743" spans="4:20" ht="15.6">
      <c r="D743" s="128"/>
      <c r="E743" s="128"/>
      <c r="F743" s="128"/>
      <c r="G743" s="128"/>
      <c r="H743" s="128"/>
      <c r="I743" s="128"/>
      <c r="J743" s="128"/>
      <c r="K743" s="128"/>
      <c r="L743" s="128"/>
      <c r="M743" s="128"/>
      <c r="N743" s="128"/>
      <c r="O743" s="128"/>
      <c r="P743" s="128"/>
      <c r="Q743" s="128"/>
      <c r="R743" s="128"/>
      <c r="S743" s="128"/>
      <c r="T743" s="128"/>
    </row>
    <row r="744" spans="4:20" ht="15.6">
      <c r="D744" s="128"/>
      <c r="E744" s="128"/>
      <c r="F744" s="128"/>
      <c r="G744" s="128"/>
      <c r="H744" s="128"/>
      <c r="I744" s="128"/>
      <c r="J744" s="128"/>
      <c r="K744" s="128"/>
      <c r="L744" s="128"/>
      <c r="M744" s="128"/>
      <c r="N744" s="128"/>
      <c r="O744" s="128"/>
      <c r="P744" s="128"/>
      <c r="Q744" s="128"/>
      <c r="R744" s="128"/>
      <c r="S744" s="128"/>
      <c r="T744" s="128"/>
    </row>
    <row r="745" spans="4:20" ht="15.6">
      <c r="D745" s="128"/>
      <c r="E745" s="128"/>
      <c r="F745" s="128"/>
      <c r="G745" s="128"/>
      <c r="H745" s="128"/>
      <c r="I745" s="128"/>
      <c r="J745" s="128"/>
      <c r="K745" s="128"/>
      <c r="L745" s="128"/>
      <c r="M745" s="128"/>
      <c r="N745" s="128"/>
      <c r="O745" s="128"/>
      <c r="P745" s="128"/>
      <c r="Q745" s="128"/>
      <c r="R745" s="128"/>
      <c r="S745" s="128"/>
      <c r="T745" s="128"/>
    </row>
    <row r="746" spans="4:20" ht="15.6">
      <c r="D746" s="128"/>
      <c r="E746" s="128"/>
      <c r="F746" s="128"/>
      <c r="G746" s="128"/>
      <c r="H746" s="128"/>
      <c r="I746" s="128"/>
      <c r="J746" s="128"/>
      <c r="K746" s="128"/>
      <c r="L746" s="128"/>
      <c r="M746" s="128"/>
      <c r="N746" s="128"/>
      <c r="O746" s="128"/>
      <c r="P746" s="128"/>
      <c r="Q746" s="128"/>
      <c r="R746" s="128"/>
      <c r="S746" s="128"/>
      <c r="T746" s="128"/>
    </row>
    <row r="747" spans="4:20" ht="15.6">
      <c r="D747" s="128"/>
      <c r="E747" s="128"/>
      <c r="F747" s="128"/>
      <c r="G747" s="128"/>
      <c r="H747" s="128"/>
      <c r="I747" s="128"/>
      <c r="J747" s="128"/>
      <c r="K747" s="128"/>
      <c r="L747" s="128"/>
      <c r="M747" s="128"/>
      <c r="N747" s="128"/>
      <c r="O747" s="128"/>
      <c r="P747" s="128"/>
      <c r="Q747" s="128"/>
      <c r="R747" s="128"/>
      <c r="S747" s="128"/>
      <c r="T747" s="128"/>
    </row>
    <row r="748" spans="4:20" ht="15.6">
      <c r="D748" s="128"/>
      <c r="E748" s="128"/>
      <c r="F748" s="128"/>
      <c r="G748" s="128"/>
      <c r="H748" s="128"/>
      <c r="I748" s="128"/>
      <c r="J748" s="128"/>
      <c r="K748" s="128"/>
      <c r="L748" s="128"/>
      <c r="M748" s="128"/>
      <c r="N748" s="128"/>
      <c r="O748" s="128"/>
      <c r="P748" s="128"/>
      <c r="Q748" s="128"/>
      <c r="R748" s="128"/>
      <c r="S748" s="128"/>
      <c r="T748" s="128"/>
    </row>
    <row r="749" spans="4:20" ht="15.6">
      <c r="D749" s="128"/>
      <c r="E749" s="128"/>
      <c r="F749" s="128"/>
      <c r="G749" s="128"/>
      <c r="H749" s="128"/>
      <c r="I749" s="128"/>
      <c r="J749" s="128"/>
      <c r="K749" s="128"/>
      <c r="L749" s="128"/>
      <c r="M749" s="128"/>
      <c r="N749" s="128"/>
      <c r="O749" s="128"/>
      <c r="P749" s="128"/>
      <c r="Q749" s="128"/>
      <c r="R749" s="128"/>
      <c r="S749" s="128"/>
      <c r="T749" s="128"/>
    </row>
    <row r="750" spans="4:20" ht="15.6">
      <c r="D750" s="128"/>
      <c r="E750" s="128"/>
      <c r="F750" s="128"/>
      <c r="G750" s="128"/>
      <c r="H750" s="128"/>
      <c r="I750" s="128"/>
      <c r="J750" s="128"/>
      <c r="K750" s="128"/>
      <c r="L750" s="128"/>
      <c r="M750" s="128"/>
      <c r="N750" s="128"/>
      <c r="O750" s="128"/>
      <c r="P750" s="128"/>
      <c r="Q750" s="128"/>
      <c r="R750" s="128"/>
      <c r="S750" s="128"/>
      <c r="T750" s="128"/>
    </row>
    <row r="751" spans="4:20" ht="15.6">
      <c r="D751" s="128"/>
      <c r="E751" s="128"/>
      <c r="F751" s="128"/>
      <c r="G751" s="128"/>
      <c r="H751" s="128"/>
      <c r="I751" s="128"/>
      <c r="J751" s="128"/>
      <c r="K751" s="128"/>
      <c r="L751" s="128"/>
      <c r="M751" s="128"/>
      <c r="N751" s="128"/>
      <c r="O751" s="128"/>
      <c r="P751" s="128"/>
      <c r="Q751" s="128"/>
      <c r="R751" s="128"/>
      <c r="S751" s="128"/>
      <c r="T751" s="128"/>
    </row>
    <row r="752" spans="4:20" ht="15.6">
      <c r="D752" s="128"/>
      <c r="E752" s="128"/>
      <c r="F752" s="128"/>
      <c r="G752" s="128"/>
      <c r="H752" s="128"/>
      <c r="I752" s="128"/>
      <c r="J752" s="128"/>
      <c r="K752" s="128"/>
      <c r="L752" s="128"/>
      <c r="M752" s="128"/>
      <c r="N752" s="128"/>
      <c r="O752" s="128"/>
      <c r="P752" s="128"/>
      <c r="Q752" s="128"/>
      <c r="R752" s="128"/>
      <c r="S752" s="128"/>
      <c r="T752" s="128"/>
    </row>
    <row r="753" spans="4:20" ht="15.6">
      <c r="D753" s="128"/>
      <c r="E753" s="128"/>
      <c r="F753" s="128"/>
      <c r="G753" s="128"/>
      <c r="H753" s="128"/>
      <c r="I753" s="128"/>
      <c r="J753" s="128"/>
      <c r="K753" s="128"/>
      <c r="L753" s="128"/>
      <c r="M753" s="128"/>
      <c r="N753" s="128"/>
      <c r="O753" s="128"/>
      <c r="P753" s="128"/>
      <c r="Q753" s="128"/>
      <c r="R753" s="128"/>
      <c r="S753" s="128"/>
      <c r="T753" s="128"/>
    </row>
  </sheetData>
  <mergeCells count="1">
    <mergeCell ref="Q6:U6"/>
  </mergeCells>
  <conditionalFormatting sqref="G58:U66">
    <cfRule type="cellIs" dxfId="5" priority="5" operator="greaterThan">
      <formula>$F$31</formula>
    </cfRule>
  </conditionalFormatting>
  <conditionalFormatting sqref="G67:U67 G68:H68 K68:U68">
    <cfRule type="cellIs" dxfId="4" priority="6" operator="greaterThan">
      <formula>$G$45</formula>
    </cfRule>
  </conditionalFormatting>
  <conditionalFormatting sqref="G73:U81">
    <cfRule type="cellIs" dxfId="3" priority="4" operator="greaterThan">
      <formula>0</formula>
    </cfRule>
  </conditionalFormatting>
  <conditionalFormatting sqref="G89:U105 G106:J107 M106:U107">
    <cfRule type="cellIs" dxfId="2" priority="3" operator="greaterThan">
      <formula>$F$31</formula>
    </cfRule>
  </conditionalFormatting>
  <conditionalFormatting sqref="G113:U128">
    <cfRule type="cellIs" dxfId="1" priority="2" operator="greaterThan">
      <formula>0</formula>
    </cfRule>
  </conditionalFormatting>
  <conditionalFormatting sqref="K106">
    <cfRule type="cellIs" dxfId="0" priority="1" operator="greaterThan">
      <formula>$G$45</formula>
    </cfRule>
  </conditionalFormatting>
  <hyperlinks>
    <hyperlink ref="L2" location="Forecasting!L15" display="Forecasting sheet Link" xr:uid="{689CFB13-61E4-46FE-803C-4398624D1957}"/>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182AE-ED9D-4CF7-9E3B-0140AB0F82BF}">
  <sheetPr codeName="Sheet21">
    <tabColor rgb="FF002060"/>
  </sheetPr>
  <dimension ref="D7:O16"/>
  <sheetViews>
    <sheetView showGridLines="0" workbookViewId="0">
      <selection activeCell="I10" sqref="I10"/>
    </sheetView>
  </sheetViews>
  <sheetFormatPr defaultRowHeight="14.4"/>
  <cols>
    <col min="1" max="1" width="1.88671875" customWidth="1"/>
  </cols>
  <sheetData>
    <row r="7" spans="4:15" ht="75">
      <c r="D7" s="59"/>
      <c r="E7" s="65" t="s">
        <v>1119</v>
      </c>
      <c r="F7" s="66"/>
      <c r="G7" s="66"/>
      <c r="H7" s="66"/>
      <c r="I7" s="2"/>
      <c r="J7" s="2"/>
      <c r="K7" s="2"/>
      <c r="L7" s="2"/>
      <c r="M7" s="2"/>
      <c r="N7" s="2"/>
      <c r="O7" s="2"/>
    </row>
    <row r="9" spans="4:15" ht="15.6">
      <c r="E9" s="363" t="s">
        <v>1120</v>
      </c>
      <c r="F9" s="394"/>
      <c r="G9" s="394"/>
      <c r="H9" s="394"/>
      <c r="I9" s="394"/>
      <c r="J9" s="394"/>
      <c r="K9" s="394"/>
      <c r="L9" s="394"/>
      <c r="M9" s="394"/>
      <c r="N9" s="394"/>
    </row>
    <row r="11" spans="4:15" ht="15.6">
      <c r="F11" s="363" t="s">
        <v>1121</v>
      </c>
    </row>
    <row r="12" spans="4:15" ht="15.6">
      <c r="F12" s="415">
        <v>1</v>
      </c>
      <c r="G12" s="367" t="s">
        <v>1122</v>
      </c>
      <c r="H12" s="367"/>
    </row>
    <row r="13" spans="4:15" ht="15.6">
      <c r="F13" s="415">
        <v>2</v>
      </c>
      <c r="G13" s="367" t="s">
        <v>1123</v>
      </c>
      <c r="H13" s="367"/>
    </row>
    <row r="14" spans="4:15" ht="15.6">
      <c r="F14" s="415">
        <v>3</v>
      </c>
      <c r="G14" s="367" t="s">
        <v>1124</v>
      </c>
      <c r="H14" s="367"/>
    </row>
    <row r="15" spans="4:15" ht="15.6">
      <c r="F15" s="415">
        <v>4</v>
      </c>
      <c r="G15" s="367" t="s">
        <v>1125</v>
      </c>
      <c r="H15" s="367"/>
    </row>
    <row r="16" spans="4:15">
      <c r="F16" s="397"/>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0D59B-EAB5-4BF7-BCBD-BCD7D4A4987E}">
  <sheetPr codeName="Sheet34"/>
  <dimension ref="C1:N46"/>
  <sheetViews>
    <sheetView showGridLines="0" topLeftCell="B1" zoomScaleNormal="100" workbookViewId="0">
      <pane ySplit="2" topLeftCell="A3" activePane="bottomLeft" state="frozen"/>
      <selection pane="bottomLeft" activeCell="R42" sqref="R42"/>
    </sheetView>
  </sheetViews>
  <sheetFormatPr defaultRowHeight="14.4"/>
  <cols>
    <col min="1" max="1" width="2" customWidth="1"/>
    <col min="2" max="2" width="15.5546875" customWidth="1"/>
    <col min="3" max="3" width="23" customWidth="1"/>
    <col min="4" max="21" width="15.5546875" customWidth="1"/>
  </cols>
  <sheetData>
    <row r="1" spans="3:14">
      <c r="D1" s="463" t="s">
        <v>350</v>
      </c>
      <c r="E1" s="463" t="s">
        <v>350</v>
      </c>
      <c r="F1" s="463" t="s">
        <v>350</v>
      </c>
      <c r="G1" s="463" t="s">
        <v>350</v>
      </c>
      <c r="H1" s="463" t="s">
        <v>350</v>
      </c>
      <c r="I1" s="464" t="s">
        <v>350</v>
      </c>
      <c r="J1" s="463" t="s">
        <v>465</v>
      </c>
      <c r="K1" s="463" t="s">
        <v>465</v>
      </c>
      <c r="L1" s="463" t="s">
        <v>465</v>
      </c>
      <c r="M1" s="463" t="s">
        <v>465</v>
      </c>
      <c r="N1" s="463" t="s">
        <v>465</v>
      </c>
    </row>
    <row r="2" spans="3:14">
      <c r="C2" s="462" t="s">
        <v>1085</v>
      </c>
      <c r="D2" s="466" t="s">
        <v>41</v>
      </c>
      <c r="E2" s="466" t="s">
        <v>42</v>
      </c>
      <c r="F2" s="466" t="s">
        <v>43</v>
      </c>
      <c r="G2" s="466" t="s">
        <v>44</v>
      </c>
      <c r="H2" s="466" t="s">
        <v>45</v>
      </c>
      <c r="I2" s="467" t="s">
        <v>46</v>
      </c>
      <c r="J2" s="466" t="s">
        <v>1086</v>
      </c>
      <c r="K2" s="466" t="s">
        <v>352</v>
      </c>
      <c r="L2" s="466" t="s">
        <v>353</v>
      </c>
      <c r="M2" s="466" t="s">
        <v>354</v>
      </c>
      <c r="N2" s="466" t="s">
        <v>355</v>
      </c>
    </row>
    <row r="3" spans="3:14">
      <c r="C3" s="394" t="s">
        <v>1082</v>
      </c>
      <c r="D3" s="472">
        <f>'P&amp;L(OUTPUT)'!G7</f>
        <v>7721.85</v>
      </c>
      <c r="E3" s="472">
        <f>'P&amp;L(OUTPUT)'!H7</f>
        <v>8514.99</v>
      </c>
      <c r="F3" s="472">
        <f>'P&amp;L(OUTPUT)'!I7</f>
        <v>8684.64</v>
      </c>
      <c r="G3" s="472">
        <f>'P&amp;L(OUTPUT)'!J7</f>
        <v>9546.6</v>
      </c>
      <c r="H3" s="472">
        <f>'P&amp;L(OUTPUT)'!K7</f>
        <v>10888.68</v>
      </c>
      <c r="I3" s="473">
        <f>'P&amp;L(OUTPUT)'!L7</f>
        <v>11529.89</v>
      </c>
      <c r="J3" s="472">
        <f>'P&amp;L(OUTPUT)'!M7</f>
        <v>12636.726650000001</v>
      </c>
      <c r="K3" s="472">
        <f>'P&amp;L(OUTPUT)'!N7</f>
        <v>13838.367231556902</v>
      </c>
      <c r="L3" s="472">
        <f>'P&amp;L(OUTPUT)'!O7</f>
        <v>14876.24477392367</v>
      </c>
      <c r="M3" s="472">
        <f>'P&amp;L(OUTPUT)'!P7</f>
        <v>15917.581908098327</v>
      </c>
      <c r="N3" s="472">
        <f>'P&amp;L(OUTPUT)'!Q7</f>
        <v>16952.22473212472</v>
      </c>
    </row>
    <row r="4" spans="3:14">
      <c r="C4" s="465" t="s">
        <v>1083</v>
      </c>
      <c r="D4" s="474"/>
      <c r="E4" s="475">
        <f t="shared" ref="E4:N4" si="0">(E3-D3)/D3</f>
        <v>0.10271372792789285</v>
      </c>
      <c r="F4" s="475">
        <f t="shared" si="0"/>
        <v>1.9923687520478548E-2</v>
      </c>
      <c r="G4" s="475">
        <f t="shared" si="0"/>
        <v>9.9251091582380047E-2</v>
      </c>
      <c r="H4" s="475">
        <f t="shared" si="0"/>
        <v>0.1405819873043806</v>
      </c>
      <c r="I4" s="476">
        <f t="shared" si="0"/>
        <v>5.888776233666515E-2</v>
      </c>
      <c r="J4" s="475">
        <f t="shared" si="0"/>
        <v>9.5997156087352195E-2</v>
      </c>
      <c r="K4" s="475">
        <f t="shared" si="0"/>
        <v>9.5091127222958594E-2</v>
      </c>
      <c r="L4" s="475">
        <f t="shared" si="0"/>
        <v>7.5000000000000053E-2</v>
      </c>
      <c r="M4" s="475">
        <f t="shared" si="0"/>
        <v>7.0000000000000007E-2</v>
      </c>
      <c r="N4" s="475">
        <f t="shared" si="0"/>
        <v>6.5000000000000058E-2</v>
      </c>
    </row>
    <row r="5" spans="3:14">
      <c r="C5" s="394" t="s">
        <v>1088</v>
      </c>
      <c r="D5" s="397"/>
      <c r="E5" s="397"/>
      <c r="F5" s="397"/>
      <c r="G5" s="397"/>
      <c r="H5" s="397"/>
      <c r="I5" s="471"/>
      <c r="J5" s="397"/>
      <c r="K5" s="397"/>
      <c r="L5" s="397"/>
      <c r="M5" s="397"/>
      <c r="N5" s="397"/>
    </row>
    <row r="6" spans="3:14">
      <c r="C6" t="str">
        <f>'P&amp;L'!D125</f>
        <v>Consumer care</v>
      </c>
      <c r="D6" s="397">
        <f>'P&amp;L'!G125</f>
        <v>6365.77</v>
      </c>
      <c r="E6" s="397">
        <f>'P&amp;L'!H125</f>
        <v>7064.6</v>
      </c>
      <c r="F6" s="397">
        <f>'P&amp;L'!I125</f>
        <v>7333.68</v>
      </c>
      <c r="G6" s="397">
        <f>'P&amp;L'!J125</f>
        <v>8373.82</v>
      </c>
      <c r="H6" s="397">
        <f>'P&amp;L'!K125</f>
        <v>9148.66</v>
      </c>
      <c r="I6" s="471">
        <f>'P&amp;L'!L125</f>
        <v>9202.25</v>
      </c>
      <c r="J6" s="397"/>
      <c r="K6" s="397"/>
      <c r="L6" s="397"/>
      <c r="M6" s="397"/>
      <c r="N6" s="397"/>
    </row>
    <row r="7" spans="3:14">
      <c r="C7" t="str">
        <f>'P&amp;L'!D126</f>
        <v>Food</v>
      </c>
      <c r="D7" s="397">
        <f>'P&amp;L'!G126</f>
        <v>1095.92</v>
      </c>
      <c r="E7" s="397">
        <f>'P&amp;L'!H126</f>
        <v>1155.46</v>
      </c>
      <c r="F7" s="397">
        <f>'P&amp;L'!I126</f>
        <v>1079.33</v>
      </c>
      <c r="G7" s="397">
        <f>'P&amp;L'!J126</f>
        <v>983.47</v>
      </c>
      <c r="H7" s="397">
        <f>'P&amp;L'!K126</f>
        <v>1460.63</v>
      </c>
      <c r="I7" s="471">
        <f>'P&amp;L'!L126</f>
        <v>1980.91</v>
      </c>
      <c r="J7" s="397"/>
      <c r="K7" s="397"/>
      <c r="L7" s="397"/>
      <c r="M7" s="397"/>
      <c r="N7" s="397"/>
    </row>
    <row r="8" spans="3:14">
      <c r="C8" t="str">
        <f>'P&amp;L'!D127</f>
        <v>Retail</v>
      </c>
      <c r="D8" s="397">
        <f>'P&amp;L'!G127</f>
        <v>114.29</v>
      </c>
      <c r="E8" s="397">
        <f>'P&amp;L'!H127</f>
        <v>120.13</v>
      </c>
      <c r="F8" s="397">
        <f>'P&amp;L'!I127</f>
        <v>119.51</v>
      </c>
      <c r="G8" s="397">
        <f>'P&amp;L'!J127</f>
        <v>56.09</v>
      </c>
      <c r="H8" s="397">
        <f>'P&amp;L'!K127</f>
        <v>75.38</v>
      </c>
      <c r="I8" s="471">
        <f>'P&amp;L'!L127</f>
        <v>105.82</v>
      </c>
      <c r="J8" s="397"/>
      <c r="K8" s="397"/>
      <c r="L8" s="397"/>
      <c r="M8" s="397"/>
      <c r="N8" s="397"/>
    </row>
    <row r="9" spans="3:14">
      <c r="C9" t="str">
        <f>'P&amp;L'!D128</f>
        <v>Other segment</v>
      </c>
      <c r="D9" s="397">
        <f>'P&amp;L'!G128</f>
        <v>104.33</v>
      </c>
      <c r="E9" s="397">
        <f>'P&amp;L'!H128</f>
        <v>97.11</v>
      </c>
      <c r="F9" s="397">
        <f>'P&amp;L'!I128</f>
        <v>90.35</v>
      </c>
      <c r="G9" s="397">
        <f>'P&amp;L'!J128</f>
        <v>94.43</v>
      </c>
      <c r="H9" s="397">
        <f>'P&amp;L'!K128</f>
        <v>123.36</v>
      </c>
      <c r="I9" s="471">
        <f>'P&amp;L'!L128</f>
        <v>137.53</v>
      </c>
      <c r="J9" s="397"/>
      <c r="K9" s="397"/>
      <c r="L9" s="397"/>
      <c r="M9" s="397"/>
      <c r="N9" s="397"/>
    </row>
    <row r="10" spans="3:14">
      <c r="C10" s="468" t="s">
        <v>1089</v>
      </c>
      <c r="D10" s="477">
        <f>SUM(D6:D9)</f>
        <v>7680.31</v>
      </c>
      <c r="E10" s="477">
        <f t="shared" ref="E10:I10" si="1">SUM(E6:E9)</f>
        <v>8437.3000000000011</v>
      </c>
      <c r="F10" s="477">
        <f t="shared" si="1"/>
        <v>8622.8700000000008</v>
      </c>
      <c r="G10" s="477">
        <f t="shared" si="1"/>
        <v>9507.81</v>
      </c>
      <c r="H10" s="477">
        <f t="shared" si="1"/>
        <v>10808.03</v>
      </c>
      <c r="I10" s="477">
        <f t="shared" si="1"/>
        <v>11426.51</v>
      </c>
    </row>
    <row r="12" spans="3:14">
      <c r="D12" s="397"/>
      <c r="E12" s="397"/>
      <c r="F12" s="397"/>
      <c r="G12" s="397"/>
      <c r="H12" s="397"/>
      <c r="I12" s="397"/>
      <c r="J12" s="397"/>
      <c r="K12" s="397"/>
      <c r="L12" s="397"/>
      <c r="M12" s="397"/>
      <c r="N12" s="397"/>
    </row>
    <row r="13" spans="3:14">
      <c r="C13" s="394" t="s">
        <v>430</v>
      </c>
      <c r="D13" s="478">
        <f>D3</f>
        <v>7721.85</v>
      </c>
      <c r="E13" s="478">
        <f t="shared" ref="E13:I13" si="2">E3</f>
        <v>8514.99</v>
      </c>
      <c r="F13" s="478">
        <f t="shared" si="2"/>
        <v>8684.64</v>
      </c>
      <c r="G13" s="478">
        <f t="shared" si="2"/>
        <v>9546.6</v>
      </c>
      <c r="H13" s="478">
        <f t="shared" si="2"/>
        <v>10888.68</v>
      </c>
      <c r="I13" s="478">
        <f t="shared" si="2"/>
        <v>11529.89</v>
      </c>
      <c r="J13" s="478">
        <f>I13</f>
        <v>11529.89</v>
      </c>
      <c r="K13" s="478">
        <f t="shared" ref="K13:N13" si="3">J13</f>
        <v>11529.89</v>
      </c>
      <c r="L13" s="478">
        <f t="shared" si="3"/>
        <v>11529.89</v>
      </c>
      <c r="M13" s="478">
        <f t="shared" si="3"/>
        <v>11529.89</v>
      </c>
      <c r="N13" s="478">
        <f t="shared" si="3"/>
        <v>11529.89</v>
      </c>
    </row>
    <row r="14" spans="3:14">
      <c r="C14" s="394" t="s">
        <v>1084</v>
      </c>
      <c r="D14" s="397">
        <v>0</v>
      </c>
      <c r="E14" s="397">
        <v>0</v>
      </c>
      <c r="F14" s="397">
        <v>0</v>
      </c>
      <c r="G14" s="397">
        <v>0</v>
      </c>
      <c r="H14" s="397">
        <v>0</v>
      </c>
      <c r="I14" s="397">
        <v>0</v>
      </c>
      <c r="J14" s="479">
        <f>J3-J13</f>
        <v>1106.8366500000011</v>
      </c>
      <c r="K14" s="479">
        <f>K3-K13</f>
        <v>2308.4772315569026</v>
      </c>
      <c r="L14" s="479">
        <f>L3-L13</f>
        <v>3346.354773923671</v>
      </c>
      <c r="M14" s="479">
        <f>M3-M13</f>
        <v>4387.691908098328</v>
      </c>
      <c r="N14" s="479">
        <f>N3-N13</f>
        <v>5422.3347321247202</v>
      </c>
    </row>
    <row r="15" spans="3:14">
      <c r="C15" s="394" t="s">
        <v>1087</v>
      </c>
      <c r="D15" s="480">
        <f>D13+D14</f>
        <v>7721.85</v>
      </c>
      <c r="E15" s="480">
        <f t="shared" ref="E15:N15" si="4">E13+E14</f>
        <v>8514.99</v>
      </c>
      <c r="F15" s="480">
        <f t="shared" si="4"/>
        <v>8684.64</v>
      </c>
      <c r="G15" s="480">
        <f t="shared" si="4"/>
        <v>9546.6</v>
      </c>
      <c r="H15" s="480">
        <f t="shared" si="4"/>
        <v>10888.68</v>
      </c>
      <c r="I15" s="480">
        <f t="shared" si="4"/>
        <v>11529.89</v>
      </c>
      <c r="J15" s="480">
        <f t="shared" si="4"/>
        <v>12636.726650000001</v>
      </c>
      <c r="K15" s="480">
        <f t="shared" si="4"/>
        <v>13838.367231556902</v>
      </c>
      <c r="L15" s="480">
        <f t="shared" si="4"/>
        <v>14876.24477392367</v>
      </c>
      <c r="M15" s="480">
        <f t="shared" si="4"/>
        <v>15917.581908098327</v>
      </c>
      <c r="N15" s="480">
        <f t="shared" si="4"/>
        <v>16952.22473212472</v>
      </c>
    </row>
    <row r="42" spans="3:9">
      <c r="C42" s="394" t="s">
        <v>1090</v>
      </c>
    </row>
    <row r="43" spans="3:9">
      <c r="C43" t="str">
        <f>C6</f>
        <v>Consumer care</v>
      </c>
      <c r="D43" s="400">
        <f>D6/D$10</f>
        <v>0.82884284618719817</v>
      </c>
      <c r="E43" s="400">
        <f t="shared" ref="E43:I43" si="5">E6/E$10</f>
        <v>0.83730577317388255</v>
      </c>
      <c r="F43" s="400">
        <f t="shared" si="5"/>
        <v>0.85049177362061579</v>
      </c>
      <c r="G43" s="400">
        <f t="shared" si="5"/>
        <v>0.88073068351176564</v>
      </c>
      <c r="H43" s="400">
        <f t="shared" si="5"/>
        <v>0.84646878293268979</v>
      </c>
      <c r="I43" s="400">
        <f t="shared" si="5"/>
        <v>0.80534213858824788</v>
      </c>
    </row>
    <row r="44" spans="3:9">
      <c r="C44" t="str">
        <f t="shared" ref="C44:C46" si="6">C7</f>
        <v>Food</v>
      </c>
      <c r="D44" s="400">
        <f t="shared" ref="D44:I46" si="7">D7/D$10</f>
        <v>0.14269215695720616</v>
      </c>
      <c r="E44" s="400">
        <f t="shared" si="7"/>
        <v>0.13694665355030636</v>
      </c>
      <c r="F44" s="400">
        <f t="shared" si="7"/>
        <v>0.12517062184632261</v>
      </c>
      <c r="G44" s="400">
        <f t="shared" si="7"/>
        <v>0.10343812087115752</v>
      </c>
      <c r="H44" s="400">
        <f t="shared" si="7"/>
        <v>0.13514303716773549</v>
      </c>
      <c r="I44" s="400">
        <f t="shared" si="7"/>
        <v>0.17336089497143048</v>
      </c>
    </row>
    <row r="45" spans="3:9">
      <c r="C45" t="str">
        <f t="shared" si="6"/>
        <v>Retail</v>
      </c>
      <c r="D45" s="400">
        <f t="shared" si="7"/>
        <v>1.4880909754944787E-2</v>
      </c>
      <c r="E45" s="400">
        <f t="shared" si="7"/>
        <v>1.4237967122183635E-2</v>
      </c>
      <c r="F45" s="400">
        <f t="shared" si="7"/>
        <v>1.3859654616154482E-2</v>
      </c>
      <c r="G45" s="400">
        <f t="shared" si="7"/>
        <v>5.8993606308918676E-3</v>
      </c>
      <c r="H45" s="400">
        <f t="shared" si="7"/>
        <v>6.9744440013582484E-3</v>
      </c>
      <c r="I45" s="400">
        <f t="shared" si="7"/>
        <v>9.2609204385240979E-3</v>
      </c>
    </row>
    <row r="46" spans="3:9">
      <c r="C46" t="str">
        <f t="shared" si="6"/>
        <v>Other segment</v>
      </c>
      <c r="D46" s="400">
        <f t="shared" si="7"/>
        <v>1.3584087100650885E-2</v>
      </c>
      <c r="E46" s="400">
        <f t="shared" si="7"/>
        <v>1.1509606153627344E-2</v>
      </c>
      <c r="F46" s="400">
        <f t="shared" si="7"/>
        <v>1.0477949916907014E-2</v>
      </c>
      <c r="G46" s="400">
        <f t="shared" si="7"/>
        <v>9.9318349861850421E-3</v>
      </c>
      <c r="H46" s="400">
        <f t="shared" si="7"/>
        <v>1.1413735898216417E-2</v>
      </c>
      <c r="I46" s="400">
        <f t="shared" si="7"/>
        <v>1.2036046001797574E-2</v>
      </c>
    </row>
  </sheetData>
  <phoneticPr fontId="11" type="noConversion"/>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34890-BC8D-4C7B-9F96-BC179BDCF016}">
  <sheetPr codeName="Sheet35"/>
  <dimension ref="C1:P155"/>
  <sheetViews>
    <sheetView showGridLines="0" zoomScaleNormal="100" workbookViewId="0">
      <pane ySplit="2" topLeftCell="A3" activePane="bottomLeft" state="frozen"/>
      <selection pane="bottomLeft" activeCell="B75" sqref="B75"/>
    </sheetView>
  </sheetViews>
  <sheetFormatPr defaultRowHeight="14.4"/>
  <cols>
    <col min="1" max="1" width="2" customWidth="1"/>
    <col min="2" max="2" width="15.5546875" customWidth="1"/>
    <col min="3" max="3" width="24.6640625" customWidth="1"/>
    <col min="4" max="22" width="15.5546875" customWidth="1"/>
  </cols>
  <sheetData>
    <row r="1" spans="3:16">
      <c r="D1" s="463" t="s">
        <v>350</v>
      </c>
      <c r="E1" s="463" t="s">
        <v>350</v>
      </c>
      <c r="F1" s="463" t="s">
        <v>350</v>
      </c>
      <c r="G1" s="463" t="s">
        <v>350</v>
      </c>
      <c r="H1" s="463" t="s">
        <v>350</v>
      </c>
      <c r="I1" s="464" t="s">
        <v>350</v>
      </c>
      <c r="J1" s="463" t="s">
        <v>465</v>
      </c>
      <c r="K1" s="463" t="s">
        <v>465</v>
      </c>
      <c r="L1" s="463" t="s">
        <v>465</v>
      </c>
      <c r="M1" s="463" t="s">
        <v>465</v>
      </c>
      <c r="N1" s="463" t="s">
        <v>465</v>
      </c>
    </row>
    <row r="2" spans="3:16">
      <c r="C2" s="462" t="s">
        <v>1085</v>
      </c>
      <c r="D2" s="466" t="s">
        <v>41</v>
      </c>
      <c r="E2" s="466" t="s">
        <v>42</v>
      </c>
      <c r="F2" s="466" t="s">
        <v>43</v>
      </c>
      <c r="G2" s="466" t="s">
        <v>44</v>
      </c>
      <c r="H2" s="466" t="s">
        <v>45</v>
      </c>
      <c r="I2" s="467" t="s">
        <v>46</v>
      </c>
      <c r="J2" s="466" t="s">
        <v>1107</v>
      </c>
      <c r="K2" s="466" t="s">
        <v>1108</v>
      </c>
      <c r="L2" s="466" t="s">
        <v>1109</v>
      </c>
      <c r="M2" s="466" t="s">
        <v>1110</v>
      </c>
      <c r="N2" s="466" t="s">
        <v>1111</v>
      </c>
    </row>
    <row r="3" spans="3:16">
      <c r="I3" s="469"/>
      <c r="P3" s="394"/>
    </row>
    <row r="4" spans="3:16" ht="15.6">
      <c r="C4" s="363" t="s">
        <v>1082</v>
      </c>
      <c r="D4" s="481">
        <f>'P&amp;L(OUTPUT)'!G7</f>
        <v>7721.85</v>
      </c>
      <c r="E4" s="481">
        <f>'P&amp;L(OUTPUT)'!H7</f>
        <v>8514.99</v>
      </c>
      <c r="F4" s="481">
        <f>'P&amp;L(OUTPUT)'!I7</f>
        <v>8684.64</v>
      </c>
      <c r="G4" s="481">
        <f>'P&amp;L(OUTPUT)'!J7</f>
        <v>9546.6</v>
      </c>
      <c r="H4" s="481">
        <f>'P&amp;L(OUTPUT)'!K7</f>
        <v>10888.68</v>
      </c>
      <c r="I4" s="481">
        <f>'P&amp;L(OUTPUT)'!L7</f>
        <v>11529.89</v>
      </c>
      <c r="J4" s="481">
        <f>'P&amp;L(OUTPUT)'!M7</f>
        <v>12636.726650000001</v>
      </c>
      <c r="K4" s="481">
        <f>'P&amp;L(OUTPUT)'!N7</f>
        <v>13838.367231556902</v>
      </c>
      <c r="L4" s="481">
        <f>'P&amp;L(OUTPUT)'!O7</f>
        <v>14876.24477392367</v>
      </c>
      <c r="M4" s="481">
        <f>'P&amp;L(OUTPUT)'!P7</f>
        <v>15917.581908098327</v>
      </c>
      <c r="N4" s="481">
        <f>'P&amp;L(OUTPUT)'!Q7</f>
        <v>16952.22473212472</v>
      </c>
      <c r="O4" s="128"/>
    </row>
    <row r="5" spans="3:16" ht="15.6">
      <c r="C5" s="482" t="s">
        <v>361</v>
      </c>
      <c r="D5" s="483">
        <f>'P&amp;L(OUTPUT)'!G9</f>
        <v>-3819.92</v>
      </c>
      <c r="E5" s="483">
        <f>'P&amp;L(OUTPUT)'!H9</f>
        <v>-4290.9699999999993</v>
      </c>
      <c r="F5" s="483">
        <f>'P&amp;L(OUTPUT)'!I9</f>
        <v>-4341.29</v>
      </c>
      <c r="G5" s="483">
        <f>'P&amp;L(OUTPUT)'!J9</f>
        <v>-4773.91</v>
      </c>
      <c r="H5" s="483">
        <f>'P&amp;L(OUTPUT)'!K9</f>
        <v>-5639.69</v>
      </c>
      <c r="I5" s="483">
        <f>'P&amp;L(OUTPUT)'!L9</f>
        <v>-6268.67</v>
      </c>
      <c r="J5" s="483">
        <f>'P&amp;L(OUTPUT)'!M9</f>
        <v>-6663.3459625450005</v>
      </c>
      <c r="K5" s="483">
        <f>'P&amp;L(OUTPUT)'!N9</f>
        <v>-7200.102470579056</v>
      </c>
      <c r="L5" s="483">
        <f>'P&amp;L(OUTPUT)'!O9</f>
        <v>-7695.4814215507149</v>
      </c>
      <c r="M5" s="483">
        <f>'P&amp;L(OUTPUT)'!P9</f>
        <v>-8218.2475391511671</v>
      </c>
      <c r="N5" s="483">
        <f>'P&amp;L(OUTPUT)'!Q9</f>
        <v>-8718.5291797317423</v>
      </c>
      <c r="O5" s="128"/>
    </row>
    <row r="6" spans="3:16" ht="15.6">
      <c r="C6" s="363" t="s">
        <v>1091</v>
      </c>
      <c r="D6" s="481">
        <f>SUM(D4:D5)</f>
        <v>3901.9300000000003</v>
      </c>
      <c r="E6" s="481">
        <f t="shared" ref="E6:N6" si="0">SUM(E4:E5)</f>
        <v>4224.0200000000004</v>
      </c>
      <c r="F6" s="481">
        <f t="shared" si="0"/>
        <v>4343.3499999999995</v>
      </c>
      <c r="G6" s="481">
        <f t="shared" si="0"/>
        <v>4772.6900000000005</v>
      </c>
      <c r="H6" s="481">
        <f t="shared" si="0"/>
        <v>5248.9900000000007</v>
      </c>
      <c r="I6" s="481">
        <f t="shared" si="0"/>
        <v>5261.2199999999993</v>
      </c>
      <c r="J6" s="481">
        <f t="shared" si="0"/>
        <v>5973.380687455</v>
      </c>
      <c r="K6" s="481">
        <f t="shared" si="0"/>
        <v>6638.264760977846</v>
      </c>
      <c r="L6" s="481">
        <f t="shared" si="0"/>
        <v>7180.7633523729555</v>
      </c>
      <c r="M6" s="481">
        <f t="shared" si="0"/>
        <v>7699.3343689471603</v>
      </c>
      <c r="N6" s="481">
        <f t="shared" si="0"/>
        <v>8233.6955523929773</v>
      </c>
      <c r="O6" s="128"/>
    </row>
    <row r="7" spans="3:16" ht="15.6">
      <c r="C7" s="367" t="s">
        <v>1092</v>
      </c>
      <c r="D7" s="470">
        <f>'P&amp;L(OUTPUT)'!G16</f>
        <v>-792.79</v>
      </c>
      <c r="E7" s="470">
        <f>'P&amp;L(OUTPUT)'!H16</f>
        <v>-937.91</v>
      </c>
      <c r="F7" s="470">
        <f>'P&amp;L(OUTPUT)'!I16</f>
        <v>-947.74</v>
      </c>
      <c r="G7" s="470">
        <f>'P&amp;L(OUTPUT)'!J16</f>
        <v>-1033.46</v>
      </c>
      <c r="H7" s="470">
        <f>'P&amp;L(OUTPUT)'!K16</f>
        <v>-1079.95</v>
      </c>
      <c r="I7" s="470">
        <f>'P&amp;L(OUTPUT)'!L16</f>
        <v>-1137</v>
      </c>
      <c r="J7" s="470">
        <f>'P&amp;L(OUTPUT)'!M16</f>
        <v>-1263.6726650000001</v>
      </c>
      <c r="K7" s="470">
        <f>'P&amp;L(OUTPUT)'!N16</f>
        <v>-1411.5134576188038</v>
      </c>
      <c r="L7" s="470">
        <f>'P&amp;L(OUTPUT)'!O16</f>
        <v>-1562.0057012619855</v>
      </c>
      <c r="M7" s="470">
        <f>'P&amp;L(OUTPUT)'!P16</f>
        <v>-1671.3461003503244</v>
      </c>
      <c r="N7" s="470">
        <f>'P&amp;L(OUTPUT)'!Q16</f>
        <v>-1779.9835968730954</v>
      </c>
      <c r="O7" s="128"/>
    </row>
    <row r="8" spans="3:16" ht="15.6">
      <c r="C8" s="367" t="s">
        <v>1093</v>
      </c>
      <c r="D8" s="470">
        <f>'P&amp;L(OUTPUT)'!G17</f>
        <v>-606.71</v>
      </c>
      <c r="E8" s="470">
        <f>'P&amp;L(OUTPUT)'!H17</f>
        <v>-608.33000000000004</v>
      </c>
      <c r="F8" s="470">
        <f>'P&amp;L(OUTPUT)'!I17</f>
        <v>-649.98</v>
      </c>
      <c r="G8" s="470">
        <f>'P&amp;L(OUTPUT)'!J17</f>
        <v>-784.36</v>
      </c>
      <c r="H8" s="470">
        <f>'P&amp;L(OUTPUT)'!K17</f>
        <v>-777.94</v>
      </c>
      <c r="I8" s="470">
        <f>'P&amp;L(OUTPUT)'!L17</f>
        <v>-640.27</v>
      </c>
      <c r="J8" s="470">
        <f>'P&amp;L(OUTPUT)'!M17</f>
        <v>-1048.8483119500002</v>
      </c>
      <c r="K8" s="470">
        <f>'P&amp;L(OUTPUT)'!N17</f>
        <v>-1107.0693785245521</v>
      </c>
      <c r="L8" s="470">
        <f>'P&amp;L(OUTPUT)'!O17</f>
        <v>-1190.0995819138936</v>
      </c>
      <c r="M8" s="470">
        <f>'P&amp;L(OUTPUT)'!P17</f>
        <v>-1273.4065526478662</v>
      </c>
      <c r="N8" s="470">
        <f>'P&amp;L(OUTPUT)'!Q17</f>
        <v>-1322.2735291057281</v>
      </c>
      <c r="O8" s="128"/>
    </row>
    <row r="9" spans="3:16" ht="15.6">
      <c r="C9" s="482" t="s">
        <v>1094</v>
      </c>
      <c r="D9" s="483">
        <f>'P&amp;L(OUTPUT)'!G18</f>
        <v>-884.99</v>
      </c>
      <c r="E9" s="483">
        <f>'P&amp;L(OUTPUT)'!H18</f>
        <v>-938.22</v>
      </c>
      <c r="F9" s="483">
        <f>'P&amp;L(OUTPUT)'!I18</f>
        <v>-953.28</v>
      </c>
      <c r="G9" s="483">
        <f>'P&amp;L(OUTPUT)'!J18</f>
        <v>-952.19</v>
      </c>
      <c r="H9" s="483">
        <f>'P&amp;L(OUTPUT)'!K18</f>
        <v>-1137.29</v>
      </c>
      <c r="I9" s="483">
        <f>'P&amp;L(OUTPUT)'!L18</f>
        <v>-1319.83</v>
      </c>
      <c r="J9" s="483">
        <f>'P&amp;L(OUTPUT)'!M18</f>
        <v>-1390.0399315</v>
      </c>
      <c r="K9" s="483">
        <f>'P&amp;L(OUTPUT)'!N18</f>
        <v>-1522.2203954712593</v>
      </c>
      <c r="L9" s="483">
        <f>'P&amp;L(OUTPUT)'!O18</f>
        <v>-1636.3869251316037</v>
      </c>
      <c r="M9" s="483">
        <f>'P&amp;L(OUTPUT)'!P18</f>
        <v>-1750.934009890816</v>
      </c>
      <c r="N9" s="483">
        <f>'P&amp;L(OUTPUT)'!Q18</f>
        <v>-1864.7447205337191</v>
      </c>
      <c r="O9" s="128"/>
    </row>
    <row r="10" spans="3:16" ht="15.6">
      <c r="C10" s="363" t="s">
        <v>439</v>
      </c>
      <c r="D10" s="481">
        <f>SUM(D6:D9)</f>
        <v>1617.4400000000003</v>
      </c>
      <c r="E10" s="481">
        <f t="shared" ref="E10:N10" si="1">SUM(E6:E9)</f>
        <v>1739.5600000000006</v>
      </c>
      <c r="F10" s="481">
        <f t="shared" si="1"/>
        <v>1792.3499999999997</v>
      </c>
      <c r="G10" s="481">
        <f t="shared" si="1"/>
        <v>2002.6800000000003</v>
      </c>
      <c r="H10" s="481">
        <f t="shared" si="1"/>
        <v>2253.8100000000009</v>
      </c>
      <c r="I10" s="481">
        <f t="shared" si="1"/>
        <v>2164.1199999999994</v>
      </c>
      <c r="J10" s="481">
        <f t="shared" si="1"/>
        <v>2270.8197790049999</v>
      </c>
      <c r="K10" s="481">
        <f t="shared" si="1"/>
        <v>2597.4615293632305</v>
      </c>
      <c r="L10" s="481">
        <f t="shared" si="1"/>
        <v>2792.271144065473</v>
      </c>
      <c r="M10" s="481">
        <f t="shared" si="1"/>
        <v>3003.6477060581537</v>
      </c>
      <c r="N10" s="481">
        <f t="shared" si="1"/>
        <v>3266.6937058804351</v>
      </c>
      <c r="O10" s="128"/>
    </row>
    <row r="11" spans="3:16" ht="15.6">
      <c r="C11" s="482" t="s">
        <v>283</v>
      </c>
      <c r="D11" s="483">
        <f>'P&amp;L(OUTPUT)'!G25</f>
        <v>-162.18</v>
      </c>
      <c r="E11" s="483">
        <f>'P&amp;L(OUTPUT)'!H25</f>
        <v>-176.9</v>
      </c>
      <c r="F11" s="483">
        <f>'P&amp;L(OUTPUT)'!I25</f>
        <v>-220.45</v>
      </c>
      <c r="G11" s="483">
        <f>'P&amp;L(OUTPUT)'!J25</f>
        <v>-240.13</v>
      </c>
      <c r="H11" s="483">
        <f>'P&amp;L(OUTPUT)'!K25</f>
        <v>-252.89</v>
      </c>
      <c r="I11" s="483">
        <f>'P&amp;L(OUTPUT)'!L25</f>
        <v>-310.95999999999998</v>
      </c>
      <c r="J11" s="483">
        <f>'P&amp;L(OUTPUT)'!M25</f>
        <v>-301.18131166797656</v>
      </c>
      <c r="K11" s="483">
        <f>'P&amp;L(OUTPUT)'!N25</f>
        <v>-329.70298165272266</v>
      </c>
      <c r="L11" s="483">
        <f>'P&amp;L(OUTPUT)'!O25</f>
        <v>-354.33513797580099</v>
      </c>
      <c r="M11" s="483">
        <f>'P&amp;L(OUTPUT)'!P25</f>
        <v>-379.04993061457691</v>
      </c>
      <c r="N11" s="483">
        <f>'P&amp;L(OUTPUT)'!Q25</f>
        <v>-403.60615674108732</v>
      </c>
      <c r="O11" s="128"/>
    </row>
    <row r="12" spans="3:16" ht="15.6">
      <c r="C12" s="363" t="s">
        <v>445</v>
      </c>
      <c r="D12" s="470">
        <f>SUM(D10:D11)</f>
        <v>1455.2600000000002</v>
      </c>
      <c r="E12" s="470">
        <f t="shared" ref="E12:N12" si="2">SUM(E10:E11)</f>
        <v>1562.6600000000005</v>
      </c>
      <c r="F12" s="470">
        <f t="shared" si="2"/>
        <v>1571.8999999999996</v>
      </c>
      <c r="G12" s="470">
        <f t="shared" si="2"/>
        <v>1762.5500000000002</v>
      </c>
      <c r="H12" s="470">
        <f t="shared" si="2"/>
        <v>2000.920000000001</v>
      </c>
      <c r="I12" s="470">
        <f t="shared" si="2"/>
        <v>1853.1599999999994</v>
      </c>
      <c r="J12" s="470">
        <f t="shared" si="2"/>
        <v>1969.6384673370233</v>
      </c>
      <c r="K12" s="470">
        <f t="shared" si="2"/>
        <v>2267.7585477105076</v>
      </c>
      <c r="L12" s="470">
        <f t="shared" si="2"/>
        <v>2437.936006089672</v>
      </c>
      <c r="M12" s="470">
        <f t="shared" si="2"/>
        <v>2624.5977754435767</v>
      </c>
      <c r="N12" s="470">
        <f t="shared" si="2"/>
        <v>2863.0875491393476</v>
      </c>
      <c r="O12" s="128"/>
    </row>
    <row r="13" spans="3:16" ht="15.6">
      <c r="C13" s="482" t="s">
        <v>927</v>
      </c>
      <c r="D13" s="483">
        <f>'P&amp;L(OUTPUT)'!G33</f>
        <v>-53.050000000000004</v>
      </c>
      <c r="E13" s="483">
        <f>'P&amp;L(OUTPUT)'!H33</f>
        <v>-59.580000000000005</v>
      </c>
      <c r="F13" s="483">
        <f>'P&amp;L(OUTPUT)'!I33</f>
        <v>-49.54</v>
      </c>
      <c r="G13" s="483">
        <f>'P&amp;L(OUTPUT)'!J33</f>
        <v>-30.810000000000002</v>
      </c>
      <c r="H13" s="483">
        <f>'P&amp;L(OUTPUT)'!K33</f>
        <v>-38.599999999999994</v>
      </c>
      <c r="I13" s="483">
        <f>'P&amp;L(OUTPUT)'!L33</f>
        <v>-78.239999999999995</v>
      </c>
      <c r="J13" s="483">
        <f>'P&amp;L(OUTPUT)'!M33</f>
        <v>-53.680421272647756</v>
      </c>
      <c r="K13" s="483">
        <f>'P&amp;L(OUTPUT)'!N33</f>
        <v>-58.784953041267116</v>
      </c>
      <c r="L13" s="483">
        <f>'P&amp;L(OUTPUT)'!O33</f>
        <v>-63.193824519362153</v>
      </c>
      <c r="M13" s="483">
        <f>'P&amp;L(OUTPUT)'!P33</f>
        <v>-67.617392235717503</v>
      </c>
      <c r="N13" s="483">
        <f>'P&amp;L(OUTPUT)'!Q33</f>
        <v>-72.012522731039141</v>
      </c>
      <c r="O13" s="128"/>
    </row>
    <row r="14" spans="3:16" ht="15.6">
      <c r="C14" s="363" t="s">
        <v>1095</v>
      </c>
      <c r="D14" s="481">
        <f>SUM(D12:D13)</f>
        <v>1402.2100000000003</v>
      </c>
      <c r="E14" s="481">
        <f t="shared" ref="E14:N14" si="3">SUM(E12:E13)</f>
        <v>1503.0800000000006</v>
      </c>
      <c r="F14" s="481">
        <f t="shared" si="3"/>
        <v>1522.3599999999997</v>
      </c>
      <c r="G14" s="481">
        <f t="shared" si="3"/>
        <v>1731.7400000000002</v>
      </c>
      <c r="H14" s="481">
        <f t="shared" si="3"/>
        <v>1962.3200000000011</v>
      </c>
      <c r="I14" s="481">
        <f t="shared" si="3"/>
        <v>1774.9199999999994</v>
      </c>
      <c r="J14" s="481">
        <f t="shared" si="3"/>
        <v>1915.9580460643756</v>
      </c>
      <c r="K14" s="481">
        <f t="shared" si="3"/>
        <v>2208.9735946692404</v>
      </c>
      <c r="L14" s="481">
        <f t="shared" si="3"/>
        <v>2374.7421815703096</v>
      </c>
      <c r="M14" s="481">
        <f t="shared" si="3"/>
        <v>2556.9803832078592</v>
      </c>
      <c r="N14" s="481">
        <f t="shared" si="3"/>
        <v>2791.0750264083085</v>
      </c>
      <c r="O14" s="128"/>
    </row>
    <row r="15" spans="3:16" ht="15.6">
      <c r="C15" s="482" t="s">
        <v>1096</v>
      </c>
      <c r="D15" s="483">
        <f>'P&amp;L(OUTPUT)'!G38+'P&amp;L(OUTPUT)'!G39</f>
        <v>290.64</v>
      </c>
      <c r="E15" s="483">
        <f>'P&amp;L(OUTPUT)'!H38+'P&amp;L(OUTPUT)'!H39</f>
        <v>220.83</v>
      </c>
      <c r="F15" s="483">
        <f>'P&amp;L(OUTPUT)'!I38+'P&amp;L(OUTPUT)'!I39</f>
        <v>205.29000000000002</v>
      </c>
      <c r="G15" s="483">
        <f>'P&amp;L(OUTPUT)'!J38+'P&amp;L(OUTPUT)'!J39</f>
        <v>325.29000000000002</v>
      </c>
      <c r="H15" s="483">
        <f>'P&amp;L(OUTPUT)'!K38+'P&amp;L(OUTPUT)'!K39</f>
        <v>308.16000000000003</v>
      </c>
      <c r="I15" s="483">
        <f>'P&amp;L(OUTPUT)'!L38+'P&amp;L(OUTPUT)'!L39</f>
        <v>445.39</v>
      </c>
      <c r="J15" s="483">
        <f>'P&amp;L(OUTPUT)'!M38+'P&amp;L(OUTPUT)'!M39</f>
        <v>459.69667743096102</v>
      </c>
      <c r="K15" s="483">
        <f>'P&amp;L(OUTPUT)'!N38+'P&amp;L(OUTPUT)'!N39</f>
        <v>503.4097526685199</v>
      </c>
      <c r="L15" s="483">
        <f>'P&amp;L(OUTPUT)'!O38+'P&amp;L(OUTPUT)'!O39</f>
        <v>541.16548411865892</v>
      </c>
      <c r="M15" s="483">
        <f>'P&amp;L(OUTPUT)'!P38+'P&amp;L(OUTPUT)'!P39</f>
        <v>579.04706800696499</v>
      </c>
      <c r="N15" s="483">
        <f>'P&amp;L(OUTPUT)'!Q38+'P&amp;L(OUTPUT)'!Q39</f>
        <v>616.6851274274178</v>
      </c>
      <c r="O15" s="128"/>
    </row>
    <row r="16" spans="3:16" ht="15.6">
      <c r="C16" s="363" t="s">
        <v>377</v>
      </c>
      <c r="D16" s="481">
        <f>SUM(D14:D15)</f>
        <v>1692.8500000000004</v>
      </c>
      <c r="E16" s="481">
        <f t="shared" ref="E16:N16" si="4">SUM(E14:E15)</f>
        <v>1723.9100000000005</v>
      </c>
      <c r="F16" s="481">
        <f t="shared" si="4"/>
        <v>1727.6499999999996</v>
      </c>
      <c r="G16" s="481">
        <f t="shared" si="4"/>
        <v>2057.0300000000002</v>
      </c>
      <c r="H16" s="481">
        <f t="shared" si="4"/>
        <v>2270.4800000000009</v>
      </c>
      <c r="I16" s="481">
        <f t="shared" si="4"/>
        <v>2220.3099999999995</v>
      </c>
      <c r="J16" s="481">
        <f t="shared" si="4"/>
        <v>2375.6547234953368</v>
      </c>
      <c r="K16" s="481">
        <f t="shared" si="4"/>
        <v>2712.3833473377604</v>
      </c>
      <c r="L16" s="481">
        <f t="shared" si="4"/>
        <v>2915.9076656889683</v>
      </c>
      <c r="M16" s="481">
        <f t="shared" si="4"/>
        <v>3136.0274512148244</v>
      </c>
      <c r="N16" s="481">
        <f t="shared" si="4"/>
        <v>3407.7601538357262</v>
      </c>
      <c r="O16" s="470"/>
    </row>
    <row r="17" spans="3:15" ht="15.6">
      <c r="C17" s="482" t="s">
        <v>378</v>
      </c>
      <c r="D17" s="483">
        <f>'P&amp;L(OUTPUT)'!G43</f>
        <v>-335.34999999999997</v>
      </c>
      <c r="E17" s="483">
        <f>'P&amp;L(OUTPUT)'!H43</f>
        <v>-278.62</v>
      </c>
      <c r="F17" s="483">
        <f>'P&amp;L(OUTPUT)'!I43</f>
        <v>-279.72000000000003</v>
      </c>
      <c r="G17" s="483">
        <f>'P&amp;L(OUTPUT)'!J43</f>
        <v>-361.07</v>
      </c>
      <c r="H17" s="483">
        <f>'P&amp;L(OUTPUT)'!K43</f>
        <v>-526.38</v>
      </c>
      <c r="I17" s="483">
        <f>'P&amp;L(OUTPUT)'!L43</f>
        <v>-517.35</v>
      </c>
      <c r="J17" s="483">
        <f>'P&amp;L(OUTPUT)'!M43</f>
        <v>-553.52755057441357</v>
      </c>
      <c r="K17" s="483">
        <f>'P&amp;L(OUTPUT)'!N43</f>
        <v>-631.98531992969822</v>
      </c>
      <c r="L17" s="483">
        <f>'P&amp;L(OUTPUT)'!O43</f>
        <v>-679.40648610552967</v>
      </c>
      <c r="M17" s="483">
        <f>'P&amp;L(OUTPUT)'!P43</f>
        <v>-730.69439613305417</v>
      </c>
      <c r="N17" s="483">
        <f>'P&amp;L(OUTPUT)'!Q43</f>
        <v>-794.008115843724</v>
      </c>
      <c r="O17" s="128"/>
    </row>
    <row r="18" spans="3:15" ht="15.6">
      <c r="C18" s="484" t="s">
        <v>454</v>
      </c>
      <c r="D18" s="485">
        <f>SUM(D16:D17)</f>
        <v>1357.5000000000005</v>
      </c>
      <c r="E18" s="485">
        <f t="shared" ref="E18:N18" si="5">SUM(E16:E17)</f>
        <v>1445.2900000000004</v>
      </c>
      <c r="F18" s="485">
        <f t="shared" si="5"/>
        <v>1447.9299999999996</v>
      </c>
      <c r="G18" s="485">
        <f t="shared" si="5"/>
        <v>1695.9600000000003</v>
      </c>
      <c r="H18" s="485">
        <f t="shared" si="5"/>
        <v>1744.1000000000008</v>
      </c>
      <c r="I18" s="485">
        <f t="shared" si="5"/>
        <v>1702.9599999999996</v>
      </c>
      <c r="J18" s="485">
        <f t="shared" si="5"/>
        <v>1822.1271729209234</v>
      </c>
      <c r="K18" s="485">
        <f t="shared" si="5"/>
        <v>2080.3980274080623</v>
      </c>
      <c r="L18" s="485">
        <f t="shared" si="5"/>
        <v>2236.5011795834389</v>
      </c>
      <c r="M18" s="485">
        <f t="shared" si="5"/>
        <v>2405.33305508177</v>
      </c>
      <c r="N18" s="485">
        <f t="shared" si="5"/>
        <v>2613.7520379920024</v>
      </c>
      <c r="O18" s="128"/>
    </row>
    <row r="19" spans="3:15" ht="15.6">
      <c r="C19" s="367"/>
      <c r="D19" s="470"/>
      <c r="E19" s="470"/>
      <c r="F19" s="487"/>
      <c r="G19" s="487" t="s">
        <v>1103</v>
      </c>
      <c r="H19" s="487"/>
      <c r="I19" s="470"/>
      <c r="J19" s="470"/>
      <c r="K19" s="470"/>
      <c r="L19" s="470"/>
      <c r="M19" s="470"/>
      <c r="N19" s="470"/>
      <c r="O19" s="128"/>
    </row>
    <row r="20" spans="3:15" ht="15.6">
      <c r="C20" s="363" t="s">
        <v>1097</v>
      </c>
      <c r="D20" s="470"/>
      <c r="E20" s="470"/>
      <c r="F20" s="470"/>
      <c r="G20" s="470"/>
      <c r="H20" s="470"/>
      <c r="I20" s="470"/>
      <c r="J20" s="470"/>
      <c r="K20" s="470"/>
      <c r="L20" s="470"/>
      <c r="M20" s="470"/>
      <c r="N20" s="470"/>
      <c r="O20" s="128"/>
    </row>
    <row r="21" spans="3:15" ht="15.6">
      <c r="C21" s="363" t="s">
        <v>430</v>
      </c>
      <c r="D21" s="489">
        <f t="shared" ref="D21:D35" si="6">D4/D$4</f>
        <v>1</v>
      </c>
      <c r="E21" s="489">
        <f t="shared" ref="E21:N21" si="7">E4/E$4</f>
        <v>1</v>
      </c>
      <c r="F21" s="489">
        <f t="shared" si="7"/>
        <v>1</v>
      </c>
      <c r="G21" s="489">
        <f t="shared" si="7"/>
        <v>1</v>
      </c>
      <c r="H21" s="489">
        <f t="shared" si="7"/>
        <v>1</v>
      </c>
      <c r="I21" s="489">
        <f t="shared" si="7"/>
        <v>1</v>
      </c>
      <c r="J21" s="489">
        <f t="shared" si="7"/>
        <v>1</v>
      </c>
      <c r="K21" s="489">
        <f t="shared" si="7"/>
        <v>1</v>
      </c>
      <c r="L21" s="489">
        <f t="shared" si="7"/>
        <v>1</v>
      </c>
      <c r="M21" s="489">
        <f t="shared" si="7"/>
        <v>1</v>
      </c>
      <c r="N21" s="489">
        <f t="shared" si="7"/>
        <v>1</v>
      </c>
      <c r="O21" s="128"/>
    </row>
    <row r="22" spans="3:15" ht="15.6">
      <c r="C22" s="363" t="s">
        <v>382</v>
      </c>
      <c r="D22" s="486">
        <f t="shared" si="6"/>
        <v>-0.49468974403802196</v>
      </c>
      <c r="E22" s="486">
        <f t="shared" ref="E22:N30" si="8">E5/E$4</f>
        <v>-0.50393130232683769</v>
      </c>
      <c r="F22" s="486">
        <f t="shared" si="8"/>
        <v>-0.49988139980471274</v>
      </c>
      <c r="G22" s="486">
        <f t="shared" si="8"/>
        <v>-0.50006389709425336</v>
      </c>
      <c r="H22" s="486">
        <f t="shared" si="8"/>
        <v>-0.51794065029002589</v>
      </c>
      <c r="I22" s="486">
        <f t="shared" si="8"/>
        <v>-0.54368862148728225</v>
      </c>
      <c r="J22" s="486">
        <f t="shared" si="8"/>
        <v>-0.52729999999999999</v>
      </c>
      <c r="K22" s="486">
        <f t="shared" si="8"/>
        <v>-0.52029999999999998</v>
      </c>
      <c r="L22" s="486">
        <f t="shared" si="8"/>
        <v>-0.51729999999999998</v>
      </c>
      <c r="M22" s="486">
        <f t="shared" si="8"/>
        <v>-0.51630000000000009</v>
      </c>
      <c r="N22" s="486">
        <f t="shared" si="8"/>
        <v>-0.51429999999999998</v>
      </c>
      <c r="O22" s="128"/>
    </row>
    <row r="23" spans="3:15" ht="15.6">
      <c r="C23" s="363" t="s">
        <v>477</v>
      </c>
      <c r="D23" s="489">
        <f t="shared" si="6"/>
        <v>0.50531025596197798</v>
      </c>
      <c r="E23" s="489">
        <f t="shared" ref="E23:N23" si="9">E6/E$4</f>
        <v>0.49606869767316231</v>
      </c>
      <c r="F23" s="489">
        <f t="shared" si="9"/>
        <v>0.50011860019528731</v>
      </c>
      <c r="G23" s="489">
        <f t="shared" si="9"/>
        <v>0.49993610290574658</v>
      </c>
      <c r="H23" s="489">
        <f t="shared" si="9"/>
        <v>0.48205934970997411</v>
      </c>
      <c r="I23" s="489">
        <f t="shared" si="9"/>
        <v>0.4563113785127178</v>
      </c>
      <c r="J23" s="489">
        <f t="shared" si="9"/>
        <v>0.47270000000000001</v>
      </c>
      <c r="K23" s="489">
        <f t="shared" si="9"/>
        <v>0.47970000000000002</v>
      </c>
      <c r="L23" s="489">
        <f t="shared" si="9"/>
        <v>0.48269999999999996</v>
      </c>
      <c r="M23" s="489">
        <f t="shared" si="9"/>
        <v>0.48369999999999996</v>
      </c>
      <c r="N23" s="489">
        <f t="shared" si="9"/>
        <v>0.48570000000000008</v>
      </c>
      <c r="O23" s="128"/>
    </row>
    <row r="24" spans="3:15" ht="15.6">
      <c r="C24" s="363" t="str">
        <f>C7&amp;"%"</f>
        <v>Employee exp%</v>
      </c>
      <c r="D24" s="486">
        <f t="shared" si="6"/>
        <v>-0.10266840200211089</v>
      </c>
      <c r="E24" s="486">
        <f t="shared" si="8"/>
        <v>-0.11014810352096714</v>
      </c>
      <c r="F24" s="486">
        <f t="shared" si="8"/>
        <v>-0.10912830007922034</v>
      </c>
      <c r="G24" s="486">
        <f t="shared" si="8"/>
        <v>-0.10825424758552783</v>
      </c>
      <c r="H24" s="486">
        <f t="shared" si="8"/>
        <v>-9.9180984288270019E-2</v>
      </c>
      <c r="I24" s="486">
        <f t="shared" si="8"/>
        <v>-9.8613256501146163E-2</v>
      </c>
      <c r="J24" s="486">
        <f t="shared" si="8"/>
        <v>-0.1</v>
      </c>
      <c r="K24" s="486">
        <f t="shared" si="8"/>
        <v>-0.10199999999999999</v>
      </c>
      <c r="L24" s="486">
        <f t="shared" si="8"/>
        <v>-0.10500000000000001</v>
      </c>
      <c r="M24" s="486">
        <f t="shared" si="8"/>
        <v>-0.105</v>
      </c>
      <c r="N24" s="486">
        <f t="shared" si="8"/>
        <v>-0.105</v>
      </c>
      <c r="O24" s="128"/>
    </row>
    <row r="25" spans="3:15" ht="15.6">
      <c r="C25" s="363" t="str">
        <f t="shared" ref="C25:C26" si="10">C8&amp;"%"</f>
        <v>Ad spends%</v>
      </c>
      <c r="D25" s="486">
        <f t="shared" si="6"/>
        <v>-7.8570549803479731E-2</v>
      </c>
      <c r="E25" s="486">
        <f t="shared" si="8"/>
        <v>-7.1442244794180626E-2</v>
      </c>
      <c r="F25" s="486">
        <f t="shared" si="8"/>
        <v>-7.4842480517327156E-2</v>
      </c>
      <c r="G25" s="486">
        <f t="shared" si="8"/>
        <v>-8.2161188276454439E-2</v>
      </c>
      <c r="H25" s="486">
        <f t="shared" si="8"/>
        <v>-7.1444839962236009E-2</v>
      </c>
      <c r="I25" s="486">
        <f t="shared" si="8"/>
        <v>-5.5531319032531966E-2</v>
      </c>
      <c r="J25" s="486">
        <f t="shared" si="8"/>
        <v>-8.3000000000000004E-2</v>
      </c>
      <c r="K25" s="486">
        <f t="shared" si="8"/>
        <v>-0.08</v>
      </c>
      <c r="L25" s="486">
        <f t="shared" si="8"/>
        <v>-0.08</v>
      </c>
      <c r="M25" s="486">
        <f t="shared" si="8"/>
        <v>-0.08</v>
      </c>
      <c r="N25" s="486">
        <f t="shared" si="8"/>
        <v>-7.8E-2</v>
      </c>
      <c r="O25" s="128"/>
    </row>
    <row r="26" spans="3:15" ht="15.6">
      <c r="C26" s="363" t="str">
        <f t="shared" si="10"/>
        <v>Other costs%</v>
      </c>
      <c r="D26" s="486">
        <f t="shared" si="6"/>
        <v>-0.11460854587954959</v>
      </c>
      <c r="E26" s="486">
        <f t="shared" si="8"/>
        <v>-0.11018450990547259</v>
      </c>
      <c r="F26" s="486">
        <f t="shared" si="8"/>
        <v>-0.10976620792571713</v>
      </c>
      <c r="G26" s="486">
        <f t="shared" si="8"/>
        <v>-9.9741269142940944E-2</v>
      </c>
      <c r="H26" s="486">
        <f t="shared" si="8"/>
        <v>-0.10444700367721339</v>
      </c>
      <c r="I26" s="486">
        <f t="shared" si="8"/>
        <v>-0.11447030283896897</v>
      </c>
      <c r="J26" s="486">
        <f t="shared" si="8"/>
        <v>-0.10999999999999999</v>
      </c>
      <c r="K26" s="486">
        <f t="shared" si="8"/>
        <v>-0.11</v>
      </c>
      <c r="L26" s="486">
        <f t="shared" si="8"/>
        <v>-0.11</v>
      </c>
      <c r="M26" s="486">
        <f t="shared" si="8"/>
        <v>-0.11</v>
      </c>
      <c r="N26" s="486">
        <f t="shared" si="8"/>
        <v>-0.11</v>
      </c>
      <c r="O26" s="128"/>
    </row>
    <row r="27" spans="3:15" ht="15.6">
      <c r="C27" s="363" t="s">
        <v>482</v>
      </c>
      <c r="D27" s="489">
        <f t="shared" si="6"/>
        <v>0.20946275827683783</v>
      </c>
      <c r="E27" s="489">
        <f t="shared" ref="E27:N27" si="11">E10/E$4</f>
        <v>0.20429383945254201</v>
      </c>
      <c r="F27" s="489">
        <f t="shared" si="11"/>
        <v>0.20638161167302269</v>
      </c>
      <c r="G27" s="489">
        <f t="shared" si="11"/>
        <v>0.20977939790082334</v>
      </c>
      <c r="H27" s="489">
        <f t="shared" si="11"/>
        <v>0.20698652178225468</v>
      </c>
      <c r="I27" s="489">
        <f t="shared" si="11"/>
        <v>0.18769650014007069</v>
      </c>
      <c r="J27" s="489">
        <f t="shared" si="11"/>
        <v>0.17969999999999997</v>
      </c>
      <c r="K27" s="489">
        <f t="shared" si="11"/>
        <v>0.18770000000000001</v>
      </c>
      <c r="L27" s="489">
        <f t="shared" si="11"/>
        <v>0.18770000000000001</v>
      </c>
      <c r="M27" s="489">
        <f t="shared" si="11"/>
        <v>0.18869999999999995</v>
      </c>
      <c r="N27" s="489">
        <f t="shared" si="11"/>
        <v>0.19270000000000009</v>
      </c>
      <c r="O27" s="128"/>
    </row>
    <row r="28" spans="3:15" ht="15.6">
      <c r="C28" s="394" t="s">
        <v>384</v>
      </c>
      <c r="D28" s="486">
        <f t="shared" si="6"/>
        <v>-2.1002738980943687E-2</v>
      </c>
      <c r="E28" s="486">
        <f t="shared" si="8"/>
        <v>-2.0775127158105883E-2</v>
      </c>
      <c r="F28" s="486">
        <f t="shared" si="8"/>
        <v>-2.5383896166104754E-2</v>
      </c>
      <c r="G28" s="486">
        <f t="shared" si="8"/>
        <v>-2.5153457775543123E-2</v>
      </c>
      <c r="H28" s="486">
        <f t="shared" si="8"/>
        <v>-2.322503737826807E-2</v>
      </c>
      <c r="I28" s="486">
        <f t="shared" si="8"/>
        <v>-2.6969901707648555E-2</v>
      </c>
      <c r="J28" s="486">
        <f t="shared" si="8"/>
        <v>-2.3833807599848378E-2</v>
      </c>
      <c r="K28" s="486">
        <f t="shared" si="8"/>
        <v>-2.3825280550502419E-2</v>
      </c>
      <c r="L28" s="486">
        <f t="shared" si="8"/>
        <v>-2.3818856395594494E-2</v>
      </c>
      <c r="M28" s="486">
        <f t="shared" si="8"/>
        <v>-2.3813286013105363E-2</v>
      </c>
      <c r="N28" s="486">
        <f t="shared" si="8"/>
        <v>-2.380844774764268E-2</v>
      </c>
      <c r="O28" s="128"/>
    </row>
    <row r="29" spans="3:15" ht="15.6">
      <c r="C29" s="394" t="s">
        <v>483</v>
      </c>
      <c r="D29" s="489">
        <f t="shared" si="6"/>
        <v>0.18846001929589415</v>
      </c>
      <c r="E29" s="489">
        <f t="shared" ref="E29:N29" si="12">E12/E$4</f>
        <v>0.18351871229443611</v>
      </c>
      <c r="F29" s="489">
        <f t="shared" si="12"/>
        <v>0.18099771550691793</v>
      </c>
      <c r="G29" s="489">
        <f t="shared" si="12"/>
        <v>0.18462594012528022</v>
      </c>
      <c r="H29" s="489">
        <f t="shared" si="12"/>
        <v>0.1837614844039866</v>
      </c>
      <c r="I29" s="489">
        <f t="shared" si="12"/>
        <v>0.16072659843242212</v>
      </c>
      <c r="J29" s="489">
        <f t="shared" si="12"/>
        <v>0.15586619240015159</v>
      </c>
      <c r="K29" s="489">
        <f t="shared" si="12"/>
        <v>0.16387471944949755</v>
      </c>
      <c r="L29" s="489">
        <f t="shared" si="12"/>
        <v>0.1638811436044055</v>
      </c>
      <c r="M29" s="489">
        <f t="shared" si="12"/>
        <v>0.16488671398689458</v>
      </c>
      <c r="N29" s="489">
        <f t="shared" si="12"/>
        <v>0.16889155225235741</v>
      </c>
      <c r="O29" s="128"/>
    </row>
    <row r="30" spans="3:15" ht="15.6">
      <c r="C30" s="363" t="s">
        <v>1098</v>
      </c>
      <c r="D30" s="486">
        <f t="shared" si="6"/>
        <v>-6.8701153221054538E-3</v>
      </c>
      <c r="E30" s="486">
        <f t="shared" si="8"/>
        <v>-6.997072222046063E-3</v>
      </c>
      <c r="F30" s="486">
        <f t="shared" si="8"/>
        <v>-5.7043239558576984E-3</v>
      </c>
      <c r="G30" s="486">
        <f t="shared" si="8"/>
        <v>-3.2273270064735091E-3</v>
      </c>
      <c r="H30" s="486">
        <f t="shared" si="8"/>
        <v>-3.5449659646531986E-3</v>
      </c>
      <c r="I30" s="486">
        <f t="shared" si="8"/>
        <v>-6.7858409750656771E-3</v>
      </c>
      <c r="J30" s="486">
        <f t="shared" si="8"/>
        <v>-4.2479688577142525E-3</v>
      </c>
      <c r="K30" s="486">
        <f t="shared" si="8"/>
        <v>-4.2479688577142525E-3</v>
      </c>
      <c r="L30" s="486">
        <f t="shared" si="8"/>
        <v>-4.2479688577142525E-3</v>
      </c>
      <c r="M30" s="486">
        <f t="shared" si="8"/>
        <v>-4.2479688577142525E-3</v>
      </c>
      <c r="N30" s="486">
        <f t="shared" si="8"/>
        <v>-4.2479688577142525E-3</v>
      </c>
      <c r="O30" s="128"/>
    </row>
    <row r="31" spans="3:15" ht="15.6">
      <c r="C31" s="363" t="s">
        <v>1099</v>
      </c>
      <c r="D31" s="489">
        <f t="shared" si="6"/>
        <v>0.18158990397378869</v>
      </c>
      <c r="E31" s="489">
        <f t="shared" ref="E31:N31" si="13">E14/E$4</f>
        <v>0.17652164007239007</v>
      </c>
      <c r="F31" s="489">
        <f t="shared" si="13"/>
        <v>0.17529339155106025</v>
      </c>
      <c r="G31" s="489">
        <f t="shared" si="13"/>
        <v>0.1813986131188067</v>
      </c>
      <c r="H31" s="489">
        <f t="shared" si="13"/>
        <v>0.18021651843933342</v>
      </c>
      <c r="I31" s="489">
        <f t="shared" si="13"/>
        <v>0.15394075745735644</v>
      </c>
      <c r="J31" s="489">
        <f t="shared" si="13"/>
        <v>0.15161822354243734</v>
      </c>
      <c r="K31" s="489">
        <f t="shared" si="13"/>
        <v>0.1596267505917833</v>
      </c>
      <c r="L31" s="489">
        <f t="shared" si="13"/>
        <v>0.15963317474669125</v>
      </c>
      <c r="M31" s="489">
        <f t="shared" si="13"/>
        <v>0.16063874512918033</v>
      </c>
      <c r="N31" s="489">
        <f t="shared" si="13"/>
        <v>0.16464358339464316</v>
      </c>
      <c r="O31" s="128"/>
    </row>
    <row r="32" spans="3:15" ht="15.6">
      <c r="C32" s="363" t="s">
        <v>1100</v>
      </c>
      <c r="D32" s="486">
        <f t="shared" si="6"/>
        <v>3.7638648769401109E-2</v>
      </c>
      <c r="E32" s="486">
        <f t="shared" ref="E32:N32" si="14">E15/E$4</f>
        <v>2.5934264162377176E-2</v>
      </c>
      <c r="F32" s="486">
        <f t="shared" si="14"/>
        <v>2.3638285524788596E-2</v>
      </c>
      <c r="G32" s="486">
        <f t="shared" si="14"/>
        <v>3.4073911130664318E-2</v>
      </c>
      <c r="H32" s="486">
        <f t="shared" si="14"/>
        <v>2.8300951079469689E-2</v>
      </c>
      <c r="I32" s="486">
        <f t="shared" si="14"/>
        <v>3.8629162984208869E-2</v>
      </c>
      <c r="J32" s="486">
        <f t="shared" si="14"/>
        <v>3.637782870225819E-2</v>
      </c>
      <c r="K32" s="486">
        <f t="shared" si="14"/>
        <v>3.637782870225819E-2</v>
      </c>
      <c r="L32" s="486">
        <f t="shared" si="14"/>
        <v>3.637782870225819E-2</v>
      </c>
      <c r="M32" s="486">
        <f t="shared" si="14"/>
        <v>3.637782870225819E-2</v>
      </c>
      <c r="N32" s="486">
        <f t="shared" si="14"/>
        <v>3.637782870225819E-2</v>
      </c>
      <c r="O32" s="128"/>
    </row>
    <row r="33" spans="3:15" ht="15.6">
      <c r="C33" s="363" t="s">
        <v>485</v>
      </c>
      <c r="D33" s="489">
        <f t="shared" si="6"/>
        <v>0.21922855274318981</v>
      </c>
      <c r="E33" s="489">
        <f t="shared" ref="E33:N35" si="15">E16/E$4</f>
        <v>0.20245590423476723</v>
      </c>
      <c r="F33" s="489">
        <f t="shared" si="15"/>
        <v>0.19893167707584883</v>
      </c>
      <c r="G33" s="489">
        <f t="shared" si="15"/>
        <v>0.21547252424947103</v>
      </c>
      <c r="H33" s="489">
        <f t="shared" si="15"/>
        <v>0.20851746951880309</v>
      </c>
      <c r="I33" s="489">
        <f t="shared" si="15"/>
        <v>0.19256992044156532</v>
      </c>
      <c r="J33" s="489">
        <f t="shared" si="15"/>
        <v>0.18799605224469557</v>
      </c>
      <c r="K33" s="489">
        <f t="shared" si="15"/>
        <v>0.1960045792940415</v>
      </c>
      <c r="L33" s="489">
        <f t="shared" si="15"/>
        <v>0.19601100344894942</v>
      </c>
      <c r="M33" s="489">
        <f t="shared" si="15"/>
        <v>0.19701657383143853</v>
      </c>
      <c r="N33" s="489">
        <f t="shared" si="15"/>
        <v>0.20102141209690133</v>
      </c>
      <c r="O33" s="128"/>
    </row>
    <row r="34" spans="3:15" ht="15.6">
      <c r="C34" s="363" t="s">
        <v>371</v>
      </c>
      <c r="D34" s="486">
        <f t="shared" si="6"/>
        <v>-4.3428712031443238E-2</v>
      </c>
      <c r="E34" s="486">
        <f t="shared" si="15"/>
        <v>-3.2721118873891807E-2</v>
      </c>
      <c r="F34" s="486">
        <f t="shared" si="15"/>
        <v>-3.2208588957055223E-2</v>
      </c>
      <c r="G34" s="486">
        <f t="shared" si="15"/>
        <v>-3.7821842331301196E-2</v>
      </c>
      <c r="H34" s="486">
        <f t="shared" si="15"/>
        <v>-4.834194778430443E-2</v>
      </c>
      <c r="I34" s="486">
        <f t="shared" si="15"/>
        <v>-4.4870332674466107E-2</v>
      </c>
      <c r="J34" s="486">
        <f t="shared" si="15"/>
        <v>-4.380308017301407E-2</v>
      </c>
      <c r="K34" s="486">
        <f t="shared" si="15"/>
        <v>-4.5669066975511673E-2</v>
      </c>
      <c r="L34" s="486">
        <f t="shared" si="15"/>
        <v>-4.5670563803605214E-2</v>
      </c>
      <c r="M34" s="486">
        <f t="shared" si="15"/>
        <v>-4.5904861702725182E-2</v>
      </c>
      <c r="N34" s="486">
        <f t="shared" si="15"/>
        <v>-4.6837989018578004E-2</v>
      </c>
    </row>
    <row r="35" spans="3:15" ht="15.6">
      <c r="C35" s="363" t="s">
        <v>486</v>
      </c>
      <c r="D35" s="489">
        <f t="shared" si="6"/>
        <v>0.17579984071174659</v>
      </c>
      <c r="E35" s="489">
        <f t="shared" si="15"/>
        <v>0.16973478536087541</v>
      </c>
      <c r="F35" s="489">
        <f t="shared" si="15"/>
        <v>0.16672308811879361</v>
      </c>
      <c r="G35" s="489">
        <f t="shared" si="15"/>
        <v>0.17765068191816985</v>
      </c>
      <c r="H35" s="489">
        <f t="shared" si="15"/>
        <v>0.16017552173449864</v>
      </c>
      <c r="I35" s="489">
        <f t="shared" si="15"/>
        <v>0.14769958776709921</v>
      </c>
      <c r="J35" s="489">
        <f t="shared" si="15"/>
        <v>0.1441929720716815</v>
      </c>
      <c r="K35" s="489">
        <f t="shared" si="15"/>
        <v>0.15033551231852985</v>
      </c>
      <c r="L35" s="489">
        <f t="shared" si="15"/>
        <v>0.15034043964534421</v>
      </c>
      <c r="M35" s="489">
        <f t="shared" si="15"/>
        <v>0.15111171212871333</v>
      </c>
      <c r="N35" s="489">
        <f t="shared" si="15"/>
        <v>0.15418342307832336</v>
      </c>
    </row>
    <row r="37" spans="3:15" ht="15.6">
      <c r="C37" s="363" t="s">
        <v>1101</v>
      </c>
    </row>
    <row r="38" spans="3:15">
      <c r="C38" s="394" t="str" cm="1">
        <f t="array" ref="C38:C52">C4:C18</f>
        <v>Net Revenue</v>
      </c>
      <c r="D38" s="397" t="s">
        <v>158</v>
      </c>
      <c r="E38" s="486">
        <f>(E4-D4)/D4</f>
        <v>0.10271372792789285</v>
      </c>
      <c r="F38" s="486">
        <f t="shared" ref="F38:N38" si="16">(F4-E4)/E4</f>
        <v>1.9923687520478548E-2</v>
      </c>
      <c r="G38" s="486">
        <f t="shared" si="16"/>
        <v>9.9251091582380047E-2</v>
      </c>
      <c r="H38" s="486">
        <f t="shared" si="16"/>
        <v>0.1405819873043806</v>
      </c>
      <c r="I38" s="486">
        <f t="shared" si="16"/>
        <v>5.888776233666515E-2</v>
      </c>
      <c r="J38" s="486">
        <f t="shared" si="16"/>
        <v>9.5997156087352195E-2</v>
      </c>
      <c r="K38" s="486">
        <f t="shared" si="16"/>
        <v>9.5091127222958594E-2</v>
      </c>
      <c r="L38" s="486">
        <f t="shared" si="16"/>
        <v>7.5000000000000053E-2</v>
      </c>
      <c r="M38" s="486">
        <f t="shared" si="16"/>
        <v>7.0000000000000007E-2</v>
      </c>
      <c r="N38" s="486">
        <f t="shared" si="16"/>
        <v>6.5000000000000058E-2</v>
      </c>
    </row>
    <row r="39" spans="3:15">
      <c r="C39" s="394" t="str">
        <v>COGS</v>
      </c>
      <c r="D39" s="397" t="s">
        <v>158</v>
      </c>
      <c r="E39" s="486">
        <f>(E5-D5)/D5</f>
        <v>0.12331410081886512</v>
      </c>
      <c r="F39" s="486">
        <f t="shared" ref="F39:N39" si="17">(F5-E5)/E5</f>
        <v>1.1726952180975542E-2</v>
      </c>
      <c r="G39" s="486">
        <f t="shared" si="17"/>
        <v>9.9652407464140821E-2</v>
      </c>
      <c r="H39" s="486">
        <f t="shared" si="17"/>
        <v>0.18135658192131812</v>
      </c>
      <c r="I39" s="486">
        <f t="shared" si="17"/>
        <v>0.11152740664823785</v>
      </c>
      <c r="J39" s="486">
        <f t="shared" si="17"/>
        <v>6.2960079657247939E-2</v>
      </c>
      <c r="K39" s="486">
        <f t="shared" si="17"/>
        <v>8.0553600406040829E-2</v>
      </c>
      <c r="L39" s="486">
        <f t="shared" si="17"/>
        <v>6.8801652892562085E-2</v>
      </c>
      <c r="M39" s="486">
        <f t="shared" si="17"/>
        <v>6.7931567755654412E-2</v>
      </c>
      <c r="N39" s="486">
        <f t="shared" si="17"/>
        <v>6.0874491574665741E-2</v>
      </c>
    </row>
    <row r="40" spans="3:15">
      <c r="C40" s="394" t="str">
        <v>GP</v>
      </c>
      <c r="D40" s="397" t="s">
        <v>158</v>
      </c>
      <c r="E40" s="489">
        <f t="shared" ref="E40:N52" si="18">(E6-D6)/D6</f>
        <v>8.2546329636872043E-2</v>
      </c>
      <c r="F40" s="489">
        <f t="shared" si="18"/>
        <v>2.8250339723770012E-2</v>
      </c>
      <c r="G40" s="489">
        <f t="shared" si="18"/>
        <v>9.884996604003847E-2</v>
      </c>
      <c r="H40" s="489">
        <f t="shared" si="18"/>
        <v>9.9796969843002611E-2</v>
      </c>
      <c r="I40" s="489">
        <f t="shared" si="18"/>
        <v>2.3299720517658924E-3</v>
      </c>
      <c r="J40" s="489">
        <f t="shared" si="18"/>
        <v>0.13536037030479636</v>
      </c>
      <c r="K40" s="489">
        <f t="shared" si="18"/>
        <v>0.11130783526307016</v>
      </c>
      <c r="L40" s="489">
        <f t="shared" si="18"/>
        <v>8.172295184490308E-2</v>
      </c>
      <c r="M40" s="489">
        <f t="shared" si="18"/>
        <v>7.2216697741868605E-2</v>
      </c>
      <c r="N40" s="489">
        <f t="shared" si="18"/>
        <v>6.9403555923093108E-2</v>
      </c>
    </row>
    <row r="41" spans="3:15">
      <c r="C41" s="394" t="str">
        <v>Employee exp</v>
      </c>
      <c r="D41" s="397" t="s">
        <v>158</v>
      </c>
      <c r="E41" s="486">
        <f t="shared" si="18"/>
        <v>0.18304973574338729</v>
      </c>
      <c r="F41" s="486">
        <f t="shared" si="18"/>
        <v>1.0480749752108455E-2</v>
      </c>
      <c r="G41" s="486">
        <f t="shared" si="18"/>
        <v>9.0446746998121871E-2</v>
      </c>
      <c r="H41" s="486">
        <f t="shared" si="18"/>
        <v>4.4984808313819603E-2</v>
      </c>
      <c r="I41" s="486">
        <f t="shared" si="18"/>
        <v>5.2826519746284509E-2</v>
      </c>
      <c r="J41" s="486">
        <f t="shared" si="18"/>
        <v>0.11140955584872476</v>
      </c>
      <c r="K41" s="486">
        <f t="shared" si="18"/>
        <v>0.11699294976741764</v>
      </c>
      <c r="L41" s="486">
        <f t="shared" si="18"/>
        <v>0.10661764705882376</v>
      </c>
      <c r="M41" s="486">
        <f t="shared" si="18"/>
        <v>6.9999999999999965E-2</v>
      </c>
      <c r="N41" s="486">
        <f t="shared" si="18"/>
        <v>6.4999999999999961E-2</v>
      </c>
    </row>
    <row r="42" spans="3:15">
      <c r="C42" s="394" t="str">
        <v>Ad spends</v>
      </c>
      <c r="D42" s="397" t="s">
        <v>158</v>
      </c>
      <c r="E42" s="486">
        <f t="shared" si="18"/>
        <v>2.6701389461192405E-3</v>
      </c>
      <c r="F42" s="486">
        <f t="shared" si="18"/>
        <v>6.8466128581526425E-2</v>
      </c>
      <c r="G42" s="486">
        <f t="shared" si="18"/>
        <v>0.20674482291762822</v>
      </c>
      <c r="H42" s="486">
        <f t="shared" si="18"/>
        <v>-8.1850170839919915E-3</v>
      </c>
      <c r="I42" s="486">
        <f t="shared" si="18"/>
        <v>-0.17696737537599308</v>
      </c>
      <c r="J42" s="486">
        <f t="shared" si="18"/>
        <v>0.63813439947209805</v>
      </c>
      <c r="K42" s="486">
        <f t="shared" si="18"/>
        <v>5.5509520214899709E-2</v>
      </c>
      <c r="L42" s="486">
        <f t="shared" si="18"/>
        <v>7.5000000000000108E-2</v>
      </c>
      <c r="M42" s="486">
        <f t="shared" si="18"/>
        <v>6.9999999999999993E-2</v>
      </c>
      <c r="N42" s="486">
        <f t="shared" si="18"/>
        <v>3.8375000000000055E-2</v>
      </c>
    </row>
    <row r="43" spans="3:15">
      <c r="C43" s="394" t="str">
        <v>Other costs</v>
      </c>
      <c r="D43" s="397" t="s">
        <v>158</v>
      </c>
      <c r="E43" s="486">
        <f t="shared" si="18"/>
        <v>6.0147572288952435E-2</v>
      </c>
      <c r="F43" s="486">
        <f t="shared" si="18"/>
        <v>1.6051672315661514E-2</v>
      </c>
      <c r="G43" s="486">
        <f t="shared" si="18"/>
        <v>-1.1434206109431837E-3</v>
      </c>
      <c r="H43" s="486">
        <f t="shared" si="18"/>
        <v>0.19439397599218633</v>
      </c>
      <c r="I43" s="486">
        <f t="shared" si="18"/>
        <v>0.16050435684829725</v>
      </c>
      <c r="J43" s="486">
        <f t="shared" si="18"/>
        <v>5.3196193070319697E-2</v>
      </c>
      <c r="K43" s="486">
        <f t="shared" si="18"/>
        <v>9.5091127222958718E-2</v>
      </c>
      <c r="L43" s="486">
        <f t="shared" si="18"/>
        <v>7.4999999999999969E-2</v>
      </c>
      <c r="M43" s="486">
        <f t="shared" si="18"/>
        <v>7.0000000000000048E-2</v>
      </c>
      <c r="N43" s="486">
        <f t="shared" si="18"/>
        <v>6.5000000000000058E-2</v>
      </c>
    </row>
    <row r="44" spans="3:15">
      <c r="C44" s="394" t="str">
        <v>EBITDA</v>
      </c>
      <c r="D44" s="397" t="s">
        <v>158</v>
      </c>
      <c r="E44" s="489">
        <f t="shared" si="18"/>
        <v>7.550202789593452E-2</v>
      </c>
      <c r="F44" s="489">
        <f t="shared" si="18"/>
        <v>3.0346754351674582E-2</v>
      </c>
      <c r="G44" s="489">
        <f t="shared" si="18"/>
        <v>0.11734873211147412</v>
      </c>
      <c r="H44" s="489">
        <f t="shared" si="18"/>
        <v>0.12539696806279613</v>
      </c>
      <c r="I44" s="489">
        <f t="shared" si="18"/>
        <v>-3.979483629942248E-2</v>
      </c>
      <c r="J44" s="489">
        <f t="shared" si="18"/>
        <v>4.9304003015082559E-2</v>
      </c>
      <c r="K44" s="489">
        <f t="shared" si="18"/>
        <v>0.14384309727183833</v>
      </c>
      <c r="L44" s="489">
        <f t="shared" si="18"/>
        <v>7.5000000000000067E-2</v>
      </c>
      <c r="M44" s="489">
        <f t="shared" si="18"/>
        <v>7.5700586041555426E-2</v>
      </c>
      <c r="N44" s="489">
        <f t="shared" si="18"/>
        <v>8.7575516693164587E-2</v>
      </c>
    </row>
    <row r="45" spans="3:15">
      <c r="C45" s="394" t="str">
        <v>D&amp;A</v>
      </c>
      <c r="D45" s="397" t="s">
        <v>158</v>
      </c>
      <c r="E45" s="486">
        <f t="shared" si="18"/>
        <v>9.0763349364903184E-2</v>
      </c>
      <c r="F45" s="486">
        <f t="shared" si="18"/>
        <v>0.24618428490672686</v>
      </c>
      <c r="G45" s="486">
        <f t="shared" si="18"/>
        <v>8.9271943751417587E-2</v>
      </c>
      <c r="H45" s="486">
        <f t="shared" si="18"/>
        <v>5.3137883646358186E-2</v>
      </c>
      <c r="I45" s="486">
        <f t="shared" si="18"/>
        <v>0.22962552888607693</v>
      </c>
      <c r="J45" s="486">
        <f t="shared" si="18"/>
        <v>-3.1446772356648514E-2</v>
      </c>
      <c r="K45" s="486">
        <f t="shared" si="18"/>
        <v>9.4699335183812794E-2</v>
      </c>
      <c r="L45" s="486">
        <f t="shared" si="18"/>
        <v>7.4710141229549068E-2</v>
      </c>
      <c r="M45" s="486">
        <f t="shared" si="18"/>
        <v>6.9749765095167601E-2</v>
      </c>
      <c r="N45" s="486">
        <f t="shared" si="18"/>
        <v>6.4783618576834706E-2</v>
      </c>
    </row>
    <row r="46" spans="3:15">
      <c r="C46" s="394" t="str">
        <v>EBIT</v>
      </c>
      <c r="D46" s="397" t="s">
        <v>158</v>
      </c>
      <c r="E46" s="489">
        <f t="shared" si="18"/>
        <v>7.3801245138326005E-2</v>
      </c>
      <c r="F46" s="489">
        <f t="shared" si="18"/>
        <v>5.9129945093616635E-3</v>
      </c>
      <c r="G46" s="489">
        <f t="shared" si="18"/>
        <v>0.12128634137031655</v>
      </c>
      <c r="H46" s="489">
        <f t="shared" si="18"/>
        <v>0.13524155343110877</v>
      </c>
      <c r="I46" s="489">
        <f t="shared" si="18"/>
        <v>-7.3846030825820877E-2</v>
      </c>
      <c r="J46" s="489">
        <f t="shared" si="18"/>
        <v>6.2853972315948914E-2</v>
      </c>
      <c r="K46" s="489">
        <f t="shared" si="18"/>
        <v>0.15135776708125862</v>
      </c>
      <c r="L46" s="489">
        <f t="shared" si="18"/>
        <v>7.5042141744310814E-2</v>
      </c>
      <c r="M46" s="489">
        <f t="shared" si="18"/>
        <v>7.6565491829008611E-2</v>
      </c>
      <c r="N46" s="489">
        <f t="shared" si="18"/>
        <v>9.0867170553577264E-2</v>
      </c>
    </row>
    <row r="47" spans="3:15">
      <c r="C47" s="394" t="str">
        <v>Finance Cost</v>
      </c>
      <c r="D47" s="397" t="s">
        <v>158</v>
      </c>
      <c r="E47" s="486">
        <f t="shared" si="18"/>
        <v>0.1230914231856739</v>
      </c>
      <c r="F47" s="486">
        <f t="shared" si="18"/>
        <v>-0.16851292379993296</v>
      </c>
      <c r="G47" s="486">
        <f t="shared" si="18"/>
        <v>-0.37807832054905122</v>
      </c>
      <c r="H47" s="486">
        <f t="shared" si="18"/>
        <v>0.25283998701720195</v>
      </c>
      <c r="I47" s="486">
        <f t="shared" si="18"/>
        <v>1.0269430051813473</v>
      </c>
      <c r="J47" s="486">
        <f t="shared" si="18"/>
        <v>-0.3139005461062403</v>
      </c>
      <c r="K47" s="486">
        <f t="shared" si="18"/>
        <v>9.509112722295858E-2</v>
      </c>
      <c r="L47" s="486">
        <f t="shared" si="18"/>
        <v>7.5000000000000053E-2</v>
      </c>
      <c r="M47" s="486">
        <f t="shared" si="18"/>
        <v>6.9999999999999993E-2</v>
      </c>
      <c r="N47" s="486">
        <f t="shared" si="18"/>
        <v>6.5000000000000002E-2</v>
      </c>
    </row>
    <row r="48" spans="3:15">
      <c r="C48" s="394" t="str">
        <v>PBT before other income</v>
      </c>
      <c r="D48" s="397" t="s">
        <v>158</v>
      </c>
      <c r="E48" s="489">
        <f t="shared" si="18"/>
        <v>7.1936443186113586E-2</v>
      </c>
      <c r="F48" s="489">
        <f t="shared" si="18"/>
        <v>1.2826995236447199E-2</v>
      </c>
      <c r="G48" s="489">
        <f t="shared" si="18"/>
        <v>0.13753645655429766</v>
      </c>
      <c r="H48" s="489">
        <f t="shared" si="18"/>
        <v>0.13314931802695601</v>
      </c>
      <c r="I48" s="489">
        <f t="shared" si="18"/>
        <v>-9.5499205022627084E-2</v>
      </c>
      <c r="J48" s="489">
        <f t="shared" si="18"/>
        <v>7.9461635490262236E-2</v>
      </c>
      <c r="K48" s="489">
        <f t="shared" si="18"/>
        <v>0.15293421962279205</v>
      </c>
      <c r="L48" s="489">
        <f t="shared" si="18"/>
        <v>7.50432632155979E-2</v>
      </c>
      <c r="M48" s="489">
        <f t="shared" si="18"/>
        <v>7.6740204916494831E-2</v>
      </c>
      <c r="N48" s="489">
        <f t="shared" si="18"/>
        <v>9.1551208111642204E-2</v>
      </c>
    </row>
    <row r="49" spans="3:14">
      <c r="C49" s="394" t="str">
        <v>Net Other income</v>
      </c>
      <c r="D49" s="397" t="s">
        <v>158</v>
      </c>
      <c r="E49" s="486">
        <f t="shared" si="18"/>
        <v>-0.24019405450041281</v>
      </c>
      <c r="F49" s="486">
        <f t="shared" si="18"/>
        <v>-7.0370873522619171E-2</v>
      </c>
      <c r="G49" s="486">
        <f t="shared" si="18"/>
        <v>0.58453894490720437</v>
      </c>
      <c r="H49" s="486">
        <f t="shared" si="18"/>
        <v>-5.266070275753941E-2</v>
      </c>
      <c r="I49" s="486">
        <f t="shared" si="18"/>
        <v>0.44532061266874334</v>
      </c>
      <c r="J49" s="486">
        <f t="shared" si="18"/>
        <v>3.212168533411399E-2</v>
      </c>
      <c r="K49" s="486">
        <f t="shared" si="18"/>
        <v>9.5091127222958621E-2</v>
      </c>
      <c r="L49" s="486">
        <f t="shared" si="18"/>
        <v>7.5000000000000067E-2</v>
      </c>
      <c r="M49" s="486">
        <f t="shared" si="18"/>
        <v>6.9999999999999896E-2</v>
      </c>
      <c r="N49" s="486">
        <f t="shared" si="18"/>
        <v>6.5000000000000141E-2</v>
      </c>
    </row>
    <row r="50" spans="3:14">
      <c r="C50" s="394" t="str">
        <v xml:space="preserve">PBT </v>
      </c>
      <c r="D50" s="397" t="s">
        <v>158</v>
      </c>
      <c r="E50" s="489">
        <f t="shared" si="18"/>
        <v>1.8347756741589723E-2</v>
      </c>
      <c r="F50" s="489">
        <f t="shared" si="18"/>
        <v>2.1694868061552506E-3</v>
      </c>
      <c r="G50" s="489">
        <f t="shared" si="18"/>
        <v>0.19065204179087236</v>
      </c>
      <c r="H50" s="489">
        <f t="shared" si="18"/>
        <v>0.10376610939072387</v>
      </c>
      <c r="I50" s="489">
        <f t="shared" si="18"/>
        <v>-2.2096649166696652E-2</v>
      </c>
      <c r="J50" s="489">
        <f t="shared" si="18"/>
        <v>6.9965330740003592E-2</v>
      </c>
      <c r="K50" s="489">
        <f t="shared" si="18"/>
        <v>0.14174139891296561</v>
      </c>
      <c r="L50" s="489">
        <f t="shared" si="18"/>
        <v>7.5035233699900769E-2</v>
      </c>
      <c r="M50" s="489">
        <f t="shared" si="18"/>
        <v>7.5489285245884608E-2</v>
      </c>
      <c r="N50" s="489">
        <f t="shared" si="18"/>
        <v>8.6648700257913519E-2</v>
      </c>
    </row>
    <row r="51" spans="3:14">
      <c r="C51" s="394" t="str">
        <v>TAX</v>
      </c>
      <c r="D51" s="397" t="s">
        <v>158</v>
      </c>
      <c r="E51" s="486">
        <f t="shared" si="18"/>
        <v>-0.16916654241836876</v>
      </c>
      <c r="F51" s="486">
        <f t="shared" si="18"/>
        <v>3.9480295743307111E-3</v>
      </c>
      <c r="G51" s="486">
        <f t="shared" si="18"/>
        <v>0.29082654082654069</v>
      </c>
      <c r="H51" s="486">
        <f t="shared" si="18"/>
        <v>0.45783366106295181</v>
      </c>
      <c r="I51" s="486">
        <f t="shared" si="18"/>
        <v>-1.7154907101333584E-2</v>
      </c>
      <c r="J51" s="486">
        <f t="shared" si="18"/>
        <v>6.9928579442183322E-2</v>
      </c>
      <c r="K51" s="486">
        <f t="shared" si="18"/>
        <v>0.14174139891296553</v>
      </c>
      <c r="L51" s="486">
        <f t="shared" si="18"/>
        <v>7.5035233699900741E-2</v>
      </c>
      <c r="M51" s="486">
        <f t="shared" si="18"/>
        <v>7.5489285245884663E-2</v>
      </c>
      <c r="N51" s="486">
        <f t="shared" si="18"/>
        <v>8.6648700257913103E-2</v>
      </c>
    </row>
    <row r="52" spans="3:14">
      <c r="C52" s="394" t="str">
        <v>PAT EX JV</v>
      </c>
      <c r="D52" s="397" t="s">
        <v>158</v>
      </c>
      <c r="E52" s="489">
        <f t="shared" si="18"/>
        <v>6.4670349907918923E-2</v>
      </c>
      <c r="F52" s="489">
        <f t="shared" si="18"/>
        <v>1.8266230306714845E-3</v>
      </c>
      <c r="G52" s="489">
        <f t="shared" si="18"/>
        <v>0.17129971752778153</v>
      </c>
      <c r="H52" s="489">
        <f t="shared" si="18"/>
        <v>2.8385103422250847E-2</v>
      </c>
      <c r="I52" s="489">
        <f t="shared" si="18"/>
        <v>-2.3588097012786663E-2</v>
      </c>
      <c r="J52" s="489">
        <f t="shared" si="18"/>
        <v>6.9976495584701828E-2</v>
      </c>
      <c r="K52" s="489">
        <f t="shared" si="18"/>
        <v>0.14174139891296561</v>
      </c>
      <c r="L52" s="489">
        <f t="shared" si="18"/>
        <v>7.5035233699900825E-2</v>
      </c>
      <c r="M52" s="489">
        <f t="shared" si="18"/>
        <v>7.5489285245884372E-2</v>
      </c>
      <c r="N52" s="489">
        <f t="shared" si="18"/>
        <v>8.6648700257913838E-2</v>
      </c>
    </row>
    <row r="53" spans="3:14">
      <c r="E53" s="486"/>
      <c r="F53" s="486"/>
      <c r="G53" s="486"/>
      <c r="H53" s="486"/>
      <c r="I53" s="486"/>
      <c r="J53" s="486"/>
      <c r="K53" s="486"/>
      <c r="L53" s="486"/>
      <c r="M53" s="486"/>
      <c r="N53" s="486"/>
    </row>
    <row r="54" spans="3:14" ht="21">
      <c r="C54" s="516" t="s">
        <v>1102</v>
      </c>
      <c r="D54" s="516"/>
      <c r="E54" s="516"/>
      <c r="F54" s="516"/>
      <c r="G54" s="516"/>
      <c r="H54" s="516"/>
      <c r="I54" s="516"/>
      <c r="J54" s="516"/>
      <c r="K54" s="516"/>
      <c r="L54" s="516"/>
      <c r="M54" s="516"/>
      <c r="N54" s="516"/>
    </row>
    <row r="56" spans="3:14" ht="18">
      <c r="C56" s="488"/>
    </row>
    <row r="116" spans="3:15" ht="15.6">
      <c r="C116" s="363" t="s">
        <v>1104</v>
      </c>
      <c r="D116" s="481">
        <f>'P&amp;L(OUTPUT)'!G20*-1</f>
        <v>2284.4899999999998</v>
      </c>
      <c r="E116" s="481">
        <f>'P&amp;L(OUTPUT)'!H20*-1</f>
        <v>2484.46</v>
      </c>
      <c r="F116" s="481">
        <f>'P&amp;L(OUTPUT)'!I20*-1</f>
        <v>2551</v>
      </c>
      <c r="G116" s="481">
        <f>'P&amp;L(OUTPUT)'!J20*-1</f>
        <v>2770.01</v>
      </c>
      <c r="H116" s="481">
        <f>'P&amp;L(OUTPUT)'!K20*-1</f>
        <v>2995.1800000000003</v>
      </c>
      <c r="I116" s="481">
        <f>'P&amp;L(OUTPUT)'!L20*-1</f>
        <v>3097.1</v>
      </c>
      <c r="J116" s="481">
        <f>'P&amp;L(OUTPUT)'!M20*-1</f>
        <v>3702.5609084500002</v>
      </c>
      <c r="K116" s="481">
        <f>'P&amp;L(OUTPUT)'!N20*-1</f>
        <v>4040.8032316146155</v>
      </c>
      <c r="L116" s="481">
        <f>'P&amp;L(OUTPUT)'!O20*-1</f>
        <v>4388.4922083074825</v>
      </c>
      <c r="M116" s="481">
        <f>'P&amp;L(OUTPUT)'!P20*-1</f>
        <v>4695.6866628890066</v>
      </c>
      <c r="N116" s="481">
        <f>'P&amp;L(OUTPUT)'!Q20*-1</f>
        <v>4967.0018465125431</v>
      </c>
    </row>
    <row r="117" spans="3:15">
      <c r="D117" s="470"/>
      <c r="E117" s="470"/>
      <c r="F117" s="470"/>
      <c r="G117" s="470"/>
      <c r="H117" s="470"/>
      <c r="I117" s="470"/>
      <c r="J117" s="470"/>
      <c r="K117" s="470"/>
      <c r="L117" s="470"/>
      <c r="M117" s="470"/>
      <c r="N117" s="470"/>
    </row>
    <row r="118" spans="3:15">
      <c r="C118" t="str">
        <f>C7</f>
        <v>Employee exp</v>
      </c>
      <c r="D118" s="486">
        <f>(D7*-1)/D$116</f>
        <v>0.34703150374919567</v>
      </c>
      <c r="E118" s="486">
        <f t="shared" ref="E118:N118" si="19">(E7*-1)/E$116</f>
        <v>0.3775106059264387</v>
      </c>
      <c r="F118" s="486">
        <f t="shared" si="19"/>
        <v>0.37151705213641711</v>
      </c>
      <c r="G118" s="486">
        <f t="shared" si="19"/>
        <v>0.37308890581622445</v>
      </c>
      <c r="H118" s="486">
        <f t="shared" si="19"/>
        <v>0.36056263730393495</v>
      </c>
      <c r="I118" s="486">
        <f t="shared" si="19"/>
        <v>0.36711762616641375</v>
      </c>
      <c r="J118" s="486">
        <f t="shared" si="19"/>
        <v>0.34129692832764508</v>
      </c>
      <c r="K118" s="486">
        <f t="shared" si="19"/>
        <v>0.34931506849315064</v>
      </c>
      <c r="L118" s="486">
        <f t="shared" si="19"/>
        <v>0.35593220338983056</v>
      </c>
      <c r="M118" s="486">
        <f t="shared" si="19"/>
        <v>0.3559322033898305</v>
      </c>
      <c r="N118" s="486">
        <f t="shared" si="19"/>
        <v>0.35836177474402725</v>
      </c>
      <c r="O118" s="470"/>
    </row>
    <row r="119" spans="3:15">
      <c r="C119" t="str">
        <f t="shared" ref="C119:C120" si="20">C8</f>
        <v>Ad spends</v>
      </c>
      <c r="D119" s="486">
        <f t="shared" ref="D119:N120" si="21">(D8*-1)/D$116</f>
        <v>0.26557787514937692</v>
      </c>
      <c r="E119" s="486">
        <f t="shared" si="21"/>
        <v>0.24485401254196085</v>
      </c>
      <c r="F119" s="486">
        <f t="shared" si="21"/>
        <v>0.25479419835358685</v>
      </c>
      <c r="G119" s="486">
        <f t="shared" si="21"/>
        <v>0.2831614326302071</v>
      </c>
      <c r="H119" s="486">
        <f t="shared" si="21"/>
        <v>0.25973063388510875</v>
      </c>
      <c r="I119" s="486">
        <f t="shared" si="21"/>
        <v>0.20673210422653451</v>
      </c>
      <c r="J119" s="486">
        <f t="shared" si="21"/>
        <v>0.28327645051194544</v>
      </c>
      <c r="K119" s="486">
        <f t="shared" si="21"/>
        <v>0.27397260273972601</v>
      </c>
      <c r="L119" s="486">
        <f t="shared" si="21"/>
        <v>0.2711864406779661</v>
      </c>
      <c r="M119" s="486">
        <f t="shared" si="21"/>
        <v>0.2711864406779661</v>
      </c>
      <c r="N119" s="486">
        <f t="shared" si="21"/>
        <v>0.2662116040955631</v>
      </c>
      <c r="O119" s="470"/>
    </row>
    <row r="120" spans="3:15">
      <c r="C120" t="str">
        <f t="shared" si="20"/>
        <v>Other costs</v>
      </c>
      <c r="D120" s="486">
        <f t="shared" si="21"/>
        <v>0.38739062110142747</v>
      </c>
      <c r="E120" s="486">
        <f t="shared" si="21"/>
        <v>0.37763538153160042</v>
      </c>
      <c r="F120" s="486">
        <f t="shared" si="21"/>
        <v>0.37368874950999609</v>
      </c>
      <c r="G120" s="486">
        <f t="shared" si="21"/>
        <v>0.3437496615535684</v>
      </c>
      <c r="H120" s="486">
        <f t="shared" si="21"/>
        <v>0.37970672881095624</v>
      </c>
      <c r="I120" s="486">
        <f t="shared" si="21"/>
        <v>0.42615026960705177</v>
      </c>
      <c r="J120" s="486">
        <f t="shared" si="21"/>
        <v>0.37542662116040953</v>
      </c>
      <c r="K120" s="486">
        <f t="shared" si="21"/>
        <v>0.37671232876712329</v>
      </c>
      <c r="L120" s="486">
        <f t="shared" si="21"/>
        <v>0.3728813559322034</v>
      </c>
      <c r="M120" s="486">
        <f t="shared" si="21"/>
        <v>0.3728813559322034</v>
      </c>
      <c r="N120" s="486">
        <f t="shared" si="21"/>
        <v>0.37542662116040953</v>
      </c>
      <c r="O120" s="470"/>
    </row>
    <row r="121" spans="3:15">
      <c r="D121" s="470"/>
      <c r="E121" s="470"/>
      <c r="F121" s="470"/>
      <c r="G121" s="470"/>
      <c r="H121" s="470"/>
      <c r="I121" s="470"/>
      <c r="J121" s="470"/>
      <c r="K121" s="470"/>
      <c r="L121" s="470"/>
      <c r="M121" s="470"/>
      <c r="N121" s="470"/>
    </row>
    <row r="122" spans="3:15">
      <c r="D122" s="470"/>
      <c r="E122" s="470"/>
      <c r="F122" s="470"/>
      <c r="G122" s="470"/>
      <c r="H122" s="470"/>
      <c r="I122" s="470"/>
      <c r="J122" s="470"/>
      <c r="K122" s="470"/>
      <c r="L122" s="470"/>
      <c r="M122" s="470"/>
      <c r="N122" s="470"/>
    </row>
    <row r="123" spans="3:15">
      <c r="D123" s="470"/>
      <c r="E123" s="470"/>
      <c r="F123" s="470"/>
      <c r="G123" s="470"/>
      <c r="H123" s="470"/>
      <c r="I123" s="470"/>
      <c r="J123" s="470"/>
      <c r="K123" s="470"/>
      <c r="L123" s="470"/>
      <c r="M123" s="470"/>
      <c r="N123" s="470"/>
    </row>
    <row r="147" spans="3:14" ht="15.6">
      <c r="C147" s="363" t="s">
        <v>1105</v>
      </c>
    </row>
    <row r="148" spans="3:14">
      <c r="C148" s="394" t="str">
        <f>C4</f>
        <v>Net Revenue</v>
      </c>
      <c r="D148" s="489">
        <f>D4/D$4</f>
        <v>1</v>
      </c>
      <c r="E148" s="489">
        <f t="shared" ref="E148:N148" si="22">E4/E$4</f>
        <v>1</v>
      </c>
      <c r="F148" s="489">
        <f t="shared" si="22"/>
        <v>1</v>
      </c>
      <c r="G148" s="489">
        <f t="shared" si="22"/>
        <v>1</v>
      </c>
      <c r="H148" s="489">
        <f t="shared" si="22"/>
        <v>1</v>
      </c>
      <c r="I148" s="489">
        <f t="shared" si="22"/>
        <v>1</v>
      </c>
      <c r="J148" s="489">
        <f t="shared" si="22"/>
        <v>1</v>
      </c>
      <c r="K148" s="489">
        <f t="shared" si="22"/>
        <v>1</v>
      </c>
      <c r="L148" s="489">
        <f t="shared" si="22"/>
        <v>1</v>
      </c>
      <c r="M148" s="489">
        <f t="shared" si="22"/>
        <v>1</v>
      </c>
      <c r="N148" s="489">
        <f t="shared" si="22"/>
        <v>1</v>
      </c>
    </row>
    <row r="149" spans="3:14">
      <c r="C149" t="str">
        <f t="shared" ref="C149" si="23">C5</f>
        <v>COGS</v>
      </c>
      <c r="D149" s="486">
        <f>D5*-1/D4</f>
        <v>0.49468974403802196</v>
      </c>
      <c r="E149" s="486">
        <f t="shared" ref="E149:N149" si="24">E5*-1/E4</f>
        <v>0.50393130232683769</v>
      </c>
      <c r="F149" s="486">
        <f t="shared" si="24"/>
        <v>0.49988139980471274</v>
      </c>
      <c r="G149" s="486">
        <f t="shared" si="24"/>
        <v>0.50006389709425336</v>
      </c>
      <c r="H149" s="486">
        <f t="shared" si="24"/>
        <v>0.51794065029002589</v>
      </c>
      <c r="I149" s="486">
        <f t="shared" si="24"/>
        <v>0.54368862148728225</v>
      </c>
      <c r="J149" s="486">
        <f t="shared" si="24"/>
        <v>0.52729999999999999</v>
      </c>
      <c r="K149" s="486">
        <f t="shared" si="24"/>
        <v>0.52029999999999998</v>
      </c>
      <c r="L149" s="486">
        <f t="shared" si="24"/>
        <v>0.51729999999999998</v>
      </c>
      <c r="M149" s="486">
        <f t="shared" si="24"/>
        <v>0.51630000000000009</v>
      </c>
      <c r="N149" s="486">
        <f t="shared" si="24"/>
        <v>0.51429999999999998</v>
      </c>
    </row>
    <row r="150" spans="3:14">
      <c r="C150" t="str">
        <f>C7</f>
        <v>Employee exp</v>
      </c>
      <c r="D150" s="486">
        <f>D7*-1/D$4</f>
        <v>0.10266840200211089</v>
      </c>
      <c r="E150" s="486">
        <f t="shared" ref="E150:N150" si="25">E7*-1/E$4</f>
        <v>0.11014810352096714</v>
      </c>
      <c r="F150" s="486">
        <f t="shared" si="25"/>
        <v>0.10912830007922034</v>
      </c>
      <c r="G150" s="486">
        <f t="shared" si="25"/>
        <v>0.10825424758552783</v>
      </c>
      <c r="H150" s="486">
        <f t="shared" si="25"/>
        <v>9.9180984288270019E-2</v>
      </c>
      <c r="I150" s="486">
        <f t="shared" si="25"/>
        <v>9.8613256501146163E-2</v>
      </c>
      <c r="J150" s="486">
        <f t="shared" si="25"/>
        <v>0.1</v>
      </c>
      <c r="K150" s="486">
        <f t="shared" si="25"/>
        <v>0.10199999999999999</v>
      </c>
      <c r="L150" s="486">
        <f t="shared" si="25"/>
        <v>0.10500000000000001</v>
      </c>
      <c r="M150" s="486">
        <f t="shared" si="25"/>
        <v>0.105</v>
      </c>
      <c r="N150" s="486">
        <f t="shared" si="25"/>
        <v>0.105</v>
      </c>
    </row>
    <row r="151" spans="3:14">
      <c r="C151" t="str">
        <f>C8</f>
        <v>Ad spends</v>
      </c>
      <c r="D151" s="486">
        <f t="shared" ref="D151:N152" si="26">D8*-1/D$4</f>
        <v>7.8570549803479731E-2</v>
      </c>
      <c r="E151" s="486">
        <f t="shared" si="26"/>
        <v>7.1442244794180626E-2</v>
      </c>
      <c r="F151" s="486">
        <f t="shared" si="26"/>
        <v>7.4842480517327156E-2</v>
      </c>
      <c r="G151" s="486">
        <f t="shared" si="26"/>
        <v>8.2161188276454439E-2</v>
      </c>
      <c r="H151" s="486">
        <f t="shared" si="26"/>
        <v>7.1444839962236009E-2</v>
      </c>
      <c r="I151" s="486">
        <f t="shared" si="26"/>
        <v>5.5531319032531966E-2</v>
      </c>
      <c r="J151" s="486">
        <f t="shared" si="26"/>
        <v>8.3000000000000004E-2</v>
      </c>
      <c r="K151" s="486">
        <f t="shared" si="26"/>
        <v>0.08</v>
      </c>
      <c r="L151" s="486">
        <f t="shared" si="26"/>
        <v>0.08</v>
      </c>
      <c r="M151" s="486">
        <f t="shared" si="26"/>
        <v>0.08</v>
      </c>
      <c r="N151" s="486">
        <f t="shared" si="26"/>
        <v>7.8E-2</v>
      </c>
    </row>
    <row r="152" spans="3:14">
      <c r="C152" t="str">
        <f>C9</f>
        <v>Other costs</v>
      </c>
      <c r="D152" s="486">
        <f t="shared" si="26"/>
        <v>0.11460854587954959</v>
      </c>
      <c r="E152" s="486">
        <f t="shared" si="26"/>
        <v>0.11018450990547259</v>
      </c>
      <c r="F152" s="486">
        <f t="shared" si="26"/>
        <v>0.10976620792571713</v>
      </c>
      <c r="G152" s="486">
        <f t="shared" si="26"/>
        <v>9.9741269142940944E-2</v>
      </c>
      <c r="H152" s="486">
        <f t="shared" si="26"/>
        <v>0.10444700367721339</v>
      </c>
      <c r="I152" s="486">
        <f t="shared" si="26"/>
        <v>0.11447030283896897</v>
      </c>
      <c r="J152" s="486">
        <f t="shared" si="26"/>
        <v>0.10999999999999999</v>
      </c>
      <c r="K152" s="486">
        <f t="shared" si="26"/>
        <v>0.11</v>
      </c>
      <c r="L152" s="486">
        <f t="shared" si="26"/>
        <v>0.11</v>
      </c>
      <c r="M152" s="486">
        <f t="shared" si="26"/>
        <v>0.11</v>
      </c>
      <c r="N152" s="486">
        <f t="shared" si="26"/>
        <v>0.11</v>
      </c>
    </row>
    <row r="153" spans="3:14">
      <c r="C153" t="str">
        <f>C11</f>
        <v>D&amp;A</v>
      </c>
      <c r="D153" s="486">
        <f>D11*-1/D4</f>
        <v>2.1002738980943687E-2</v>
      </c>
      <c r="E153" s="486">
        <f t="shared" ref="E153:N153" si="27">E11*-1/E4</f>
        <v>2.0775127158105883E-2</v>
      </c>
      <c r="F153" s="486">
        <f t="shared" si="27"/>
        <v>2.5383896166104754E-2</v>
      </c>
      <c r="G153" s="486">
        <f t="shared" si="27"/>
        <v>2.5153457775543123E-2</v>
      </c>
      <c r="H153" s="486">
        <f t="shared" si="27"/>
        <v>2.322503737826807E-2</v>
      </c>
      <c r="I153" s="486">
        <f t="shared" si="27"/>
        <v>2.6969901707648555E-2</v>
      </c>
      <c r="J153" s="486">
        <f t="shared" si="27"/>
        <v>2.3833807599848378E-2</v>
      </c>
      <c r="K153" s="486">
        <f t="shared" si="27"/>
        <v>2.3825280550502419E-2</v>
      </c>
      <c r="L153" s="486">
        <f t="shared" si="27"/>
        <v>2.3818856395594494E-2</v>
      </c>
      <c r="M153" s="486">
        <f t="shared" si="27"/>
        <v>2.3813286013105363E-2</v>
      </c>
      <c r="N153" s="486">
        <f t="shared" si="27"/>
        <v>2.380844774764268E-2</v>
      </c>
    </row>
    <row r="154" spans="3:14">
      <c r="C154" t="str">
        <f>C13</f>
        <v>Finance Cost</v>
      </c>
      <c r="D154" s="486">
        <f>D13*-1/D4</f>
        <v>6.8701153221054538E-3</v>
      </c>
      <c r="E154" s="486">
        <f t="shared" ref="E154:N154" si="28">E13*-1/E4</f>
        <v>6.997072222046063E-3</v>
      </c>
      <c r="F154" s="486">
        <f t="shared" si="28"/>
        <v>5.7043239558576984E-3</v>
      </c>
      <c r="G154" s="486">
        <f t="shared" si="28"/>
        <v>3.2273270064735091E-3</v>
      </c>
      <c r="H154" s="486">
        <f t="shared" si="28"/>
        <v>3.5449659646531986E-3</v>
      </c>
      <c r="I154" s="486">
        <f t="shared" si="28"/>
        <v>6.7858409750656771E-3</v>
      </c>
      <c r="J154" s="486">
        <f t="shared" si="28"/>
        <v>4.2479688577142525E-3</v>
      </c>
      <c r="K154" s="486">
        <f t="shared" si="28"/>
        <v>4.2479688577142525E-3</v>
      </c>
      <c r="L154" s="486">
        <f t="shared" si="28"/>
        <v>4.2479688577142525E-3</v>
      </c>
      <c r="M154" s="486">
        <f t="shared" si="28"/>
        <v>4.2479688577142525E-3</v>
      </c>
      <c r="N154" s="486">
        <f t="shared" si="28"/>
        <v>4.2479688577142525E-3</v>
      </c>
    </row>
    <row r="155" spans="3:14">
      <c r="C155" s="394" t="str">
        <f>C14</f>
        <v>PBT before other income</v>
      </c>
      <c r="D155" s="489">
        <f>D14/D4</f>
        <v>0.18158990397378869</v>
      </c>
      <c r="E155" s="489">
        <f t="shared" ref="E155:N155" si="29">E14/E4</f>
        <v>0.17652164007239007</v>
      </c>
      <c r="F155" s="489">
        <f t="shared" si="29"/>
        <v>0.17529339155106025</v>
      </c>
      <c r="G155" s="489">
        <f t="shared" si="29"/>
        <v>0.1813986131188067</v>
      </c>
      <c r="H155" s="489">
        <f t="shared" si="29"/>
        <v>0.18021651843933342</v>
      </c>
      <c r="I155" s="489">
        <f t="shared" si="29"/>
        <v>0.15394075745735644</v>
      </c>
      <c r="J155" s="489">
        <f t="shared" si="29"/>
        <v>0.15161822354243734</v>
      </c>
      <c r="K155" s="489">
        <f t="shared" si="29"/>
        <v>0.1596267505917833</v>
      </c>
      <c r="L155" s="489">
        <f t="shared" si="29"/>
        <v>0.15963317474669125</v>
      </c>
      <c r="M155" s="489">
        <f t="shared" si="29"/>
        <v>0.16063874512918033</v>
      </c>
      <c r="N155" s="489">
        <f t="shared" si="29"/>
        <v>0.16464358339464316</v>
      </c>
    </row>
  </sheetData>
  <mergeCells count="1">
    <mergeCell ref="C54:N54"/>
  </mergeCells>
  <hyperlinks>
    <hyperlink ref="G19" location="Profit!B55" display="click here to directly go to graphs" xr:uid="{7D04A760-7F82-4FDB-85A0-7F849F5AADA4}"/>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9F52C-7BFF-4B26-81AC-1C5631276175}">
  <sheetPr codeName="Sheet36"/>
  <dimension ref="B1:N20"/>
  <sheetViews>
    <sheetView showGridLines="0" workbookViewId="0">
      <pane ySplit="2" topLeftCell="A3" activePane="bottomLeft" state="frozen"/>
      <selection pane="bottomLeft" activeCell="Q18" sqref="Q18"/>
    </sheetView>
  </sheetViews>
  <sheetFormatPr defaultRowHeight="14.4"/>
  <cols>
    <col min="1" max="1" width="2" customWidth="1"/>
    <col min="2" max="2" width="15.5546875" customWidth="1"/>
    <col min="3" max="3" width="19.88671875" customWidth="1"/>
    <col min="4" max="21" width="15.5546875" customWidth="1"/>
  </cols>
  <sheetData>
    <row r="1" spans="2:14">
      <c r="D1" s="463" t="s">
        <v>350</v>
      </c>
      <c r="E1" s="463" t="s">
        <v>350</v>
      </c>
      <c r="F1" s="463" t="s">
        <v>350</v>
      </c>
      <c r="G1" s="463" t="s">
        <v>350</v>
      </c>
      <c r="H1" s="463" t="s">
        <v>350</v>
      </c>
      <c r="I1" s="464" t="s">
        <v>350</v>
      </c>
      <c r="J1" s="463" t="s">
        <v>465</v>
      </c>
      <c r="K1" s="463" t="s">
        <v>465</v>
      </c>
      <c r="L1" s="463" t="s">
        <v>465</v>
      </c>
      <c r="M1" s="463" t="s">
        <v>465</v>
      </c>
      <c r="N1" s="463" t="s">
        <v>465</v>
      </c>
    </row>
    <row r="2" spans="2:14">
      <c r="C2" s="462" t="s">
        <v>1085</v>
      </c>
      <c r="D2" s="466" t="s">
        <v>41</v>
      </c>
      <c r="E2" s="466" t="s">
        <v>42</v>
      </c>
      <c r="F2" s="466" t="s">
        <v>43</v>
      </c>
      <c r="G2" s="466" t="s">
        <v>44</v>
      </c>
      <c r="H2" s="466" t="s">
        <v>45</v>
      </c>
      <c r="I2" s="467" t="s">
        <v>46</v>
      </c>
      <c r="J2" s="466" t="s">
        <v>1086</v>
      </c>
      <c r="K2" s="466" t="s">
        <v>352</v>
      </c>
      <c r="L2" s="466" t="s">
        <v>353</v>
      </c>
      <c r="M2" s="466" t="s">
        <v>354</v>
      </c>
      <c r="N2" s="466" t="s">
        <v>355</v>
      </c>
    </row>
    <row r="4" spans="2:14">
      <c r="B4" s="394" t="s">
        <v>1106</v>
      </c>
      <c r="C4" s="394" t="s">
        <v>1112</v>
      </c>
      <c r="D4" s="470">
        <f>'BS(OUTPUT)'!G36</f>
        <v>8701.6299999999992</v>
      </c>
      <c r="E4" s="470">
        <f>'BS(OUTPUT)'!H36</f>
        <v>8436.64</v>
      </c>
      <c r="F4" s="470">
        <f>'BS(OUTPUT)'!I36</f>
        <v>9354.01</v>
      </c>
      <c r="G4" s="470">
        <f>'BS(OUTPUT)'!J36</f>
        <v>10847.13</v>
      </c>
      <c r="H4" s="470">
        <f>'BS(OUTPUT)'!K36</f>
        <v>12284.529999999999</v>
      </c>
      <c r="I4" s="470">
        <f>'BS(OUTPUT)'!L36</f>
        <v>13654.369999999999</v>
      </c>
      <c r="J4" s="470">
        <f>'BS(OUTPUT)'!M36</f>
        <v>14769.74</v>
      </c>
      <c r="K4" s="470">
        <f>'BS(OUTPUT)'!N36</f>
        <v>16007.6</v>
      </c>
      <c r="L4" s="470">
        <f>'BS(OUTPUT)'!O36</f>
        <v>17303.919999999998</v>
      </c>
      <c r="M4" s="470">
        <f>'BS(OUTPUT)'!P36</f>
        <v>18725.189999999999</v>
      </c>
      <c r="N4" s="470">
        <f>'BS(OUTPUT)'!Q36</f>
        <v>20197.07</v>
      </c>
    </row>
    <row r="5" spans="2:14">
      <c r="C5" s="394" t="s">
        <v>1113</v>
      </c>
      <c r="D5" s="470">
        <f>'BS(OUTPUT)'!G56+'BS(OUTPUT)'!G68</f>
        <v>2968.5799999999995</v>
      </c>
      <c r="E5" s="470">
        <f>'BS(OUTPUT)'!H56+'BS(OUTPUT)'!H68</f>
        <v>2773.5799999999995</v>
      </c>
      <c r="F5" s="470">
        <f>'BS(OUTPUT)'!I56+'BS(OUTPUT)'!I68</f>
        <v>2711.8</v>
      </c>
      <c r="G5" s="470">
        <f>'BS(OUTPUT)'!J56+'BS(OUTPUT)'!J68</f>
        <v>3146.91</v>
      </c>
      <c r="H5" s="470">
        <f>'BS(OUTPUT)'!K56+'BS(OUTPUT)'!K68</f>
        <v>3862.6799999999994</v>
      </c>
      <c r="I5" s="470">
        <f>'BS(OUTPUT)'!L56+'BS(OUTPUT)'!L68</f>
        <v>4212.9399999999996</v>
      </c>
      <c r="J5" s="470">
        <f>'BS(OUTPUT)'!M56+'BS(OUTPUT)'!M68</f>
        <v>4417.2457924087585</v>
      </c>
      <c r="K5" s="470">
        <f>'BS(OUTPUT)'!N56+'BS(OUTPUT)'!N68</f>
        <v>4614.9118803577821</v>
      </c>
      <c r="L5" s="470">
        <f>'BS(OUTPUT)'!O56+'BS(OUTPUT)'!O68</f>
        <v>4792.9720460552171</v>
      </c>
      <c r="M5" s="470">
        <f>'BS(OUTPUT)'!P56+'BS(OUTPUT)'!P68</f>
        <v>5011.5831251514255</v>
      </c>
      <c r="N5" s="470">
        <f>'BS(OUTPUT)'!Q56+'BS(OUTPUT)'!Q68</f>
        <v>5176.585562428967</v>
      </c>
    </row>
    <row r="6" spans="2:14">
      <c r="C6" s="394" t="s">
        <v>1114</v>
      </c>
      <c r="D6" s="470">
        <f>D4-D5</f>
        <v>5733.0499999999993</v>
      </c>
      <c r="E6" s="470">
        <f t="shared" ref="E6:N6" si="0">E4-E5</f>
        <v>5663.0599999999995</v>
      </c>
      <c r="F6" s="470">
        <f t="shared" si="0"/>
        <v>6642.21</v>
      </c>
      <c r="G6" s="470">
        <f t="shared" si="0"/>
        <v>7700.2199999999993</v>
      </c>
      <c r="H6" s="470">
        <f t="shared" si="0"/>
        <v>8421.8499999999985</v>
      </c>
      <c r="I6" s="470">
        <f t="shared" si="0"/>
        <v>9441.43</v>
      </c>
      <c r="J6" s="470">
        <f t="shared" si="0"/>
        <v>10352.49420759124</v>
      </c>
      <c r="K6" s="470">
        <f t="shared" si="0"/>
        <v>11392.688119642218</v>
      </c>
      <c r="L6" s="470">
        <f t="shared" si="0"/>
        <v>12510.947953944782</v>
      </c>
      <c r="M6" s="470">
        <f t="shared" si="0"/>
        <v>13713.606874848574</v>
      </c>
      <c r="N6" s="470">
        <f t="shared" si="0"/>
        <v>15020.484437571033</v>
      </c>
    </row>
    <row r="7" spans="2:14">
      <c r="C7" s="490" t="s">
        <v>1116</v>
      </c>
      <c r="D7" s="491">
        <f>SUM(D4:D6)</f>
        <v>17403.259999999998</v>
      </c>
      <c r="E7" s="491">
        <f t="shared" ref="E7:M7" si="1">SUM(E4:E6)</f>
        <v>16873.28</v>
      </c>
      <c r="F7" s="491">
        <f t="shared" si="1"/>
        <v>18708.02</v>
      </c>
      <c r="G7" s="491">
        <f t="shared" si="1"/>
        <v>21694.26</v>
      </c>
      <c r="H7" s="491">
        <f t="shared" si="1"/>
        <v>24569.059999999998</v>
      </c>
      <c r="I7" s="491">
        <f t="shared" si="1"/>
        <v>27308.739999999998</v>
      </c>
      <c r="J7" s="491">
        <f t="shared" si="1"/>
        <v>29539.48</v>
      </c>
      <c r="K7" s="491">
        <f t="shared" si="1"/>
        <v>32015.200000000001</v>
      </c>
      <c r="L7" s="491">
        <f t="shared" si="1"/>
        <v>34607.839999999997</v>
      </c>
      <c r="M7" s="491">
        <f t="shared" si="1"/>
        <v>37450.379999999997</v>
      </c>
      <c r="N7" s="491">
        <f>SUM(N4:N6)</f>
        <v>40394.14</v>
      </c>
    </row>
    <row r="9" spans="2:14">
      <c r="C9" s="394" t="s">
        <v>1115</v>
      </c>
      <c r="D9" s="470"/>
      <c r="E9" s="470"/>
      <c r="F9" s="470"/>
      <c r="G9" s="470"/>
      <c r="H9" s="470"/>
      <c r="I9" s="470"/>
      <c r="J9" s="470"/>
      <c r="K9" s="470"/>
      <c r="L9" s="470"/>
      <c r="M9" s="470"/>
      <c r="N9" s="470"/>
    </row>
    <row r="10" spans="2:14">
      <c r="C10" s="394" t="str">
        <f>C4</f>
        <v>Total Assets</v>
      </c>
      <c r="D10" s="470" t="s">
        <v>158</v>
      </c>
      <c r="E10" s="486">
        <f t="shared" ref="E10:N10" si="2">(E4-D4)/D4</f>
        <v>-3.0452915143484589E-2</v>
      </c>
      <c r="F10" s="486">
        <f t="shared" si="2"/>
        <v>0.10873641639325618</v>
      </c>
      <c r="G10" s="486">
        <f t="shared" si="2"/>
        <v>0.15962351975249106</v>
      </c>
      <c r="H10" s="486">
        <f t="shared" si="2"/>
        <v>0.13251431484641557</v>
      </c>
      <c r="I10" s="486">
        <f t="shared" si="2"/>
        <v>0.111509353634205</v>
      </c>
      <c r="J10" s="486">
        <f t="shared" si="2"/>
        <v>8.1685936443790588E-2</v>
      </c>
      <c r="K10" s="486">
        <f t="shared" si="2"/>
        <v>8.3810547782154632E-2</v>
      </c>
      <c r="L10" s="486">
        <f t="shared" si="2"/>
        <v>8.0981533771458419E-2</v>
      </c>
      <c r="M10" s="486">
        <f t="shared" si="2"/>
        <v>8.2135724159612428E-2</v>
      </c>
      <c r="N10" s="486">
        <f t="shared" si="2"/>
        <v>7.8604275844464125E-2</v>
      </c>
    </row>
    <row r="11" spans="2:14">
      <c r="C11" s="394" t="str">
        <f>C5</f>
        <v>Total Liabilities</v>
      </c>
      <c r="D11" s="470" t="s">
        <v>158</v>
      </c>
      <c r="E11" s="486">
        <f t="shared" ref="E11:N11" si="3">(E5-D5)/D5</f>
        <v>-6.5687972027029765E-2</v>
      </c>
      <c r="F11" s="486">
        <f t="shared" si="3"/>
        <v>-2.2274461165713376E-2</v>
      </c>
      <c r="G11" s="486">
        <f t="shared" si="3"/>
        <v>0.16045062320230091</v>
      </c>
      <c r="H11" s="486">
        <f t="shared" si="3"/>
        <v>0.22745169070612109</v>
      </c>
      <c r="I11" s="486">
        <f t="shared" si="3"/>
        <v>9.0677974877546225E-2</v>
      </c>
      <c r="J11" s="486">
        <f t="shared" si="3"/>
        <v>4.8494826038053919E-2</v>
      </c>
      <c r="K11" s="486">
        <f t="shared" si="3"/>
        <v>4.4748718373046392E-2</v>
      </c>
      <c r="L11" s="486">
        <f t="shared" si="3"/>
        <v>3.8583654534185913E-2</v>
      </c>
      <c r="M11" s="486">
        <f t="shared" si="3"/>
        <v>4.5610756122838846E-2</v>
      </c>
      <c r="N11" s="486">
        <f t="shared" si="3"/>
        <v>3.2924214396335277E-2</v>
      </c>
    </row>
    <row r="12" spans="2:14">
      <c r="C12" s="394" t="str">
        <f>C6</f>
        <v>Total Equity</v>
      </c>
      <c r="D12" s="470" t="s">
        <v>158</v>
      </c>
      <c r="E12" s="486">
        <f t="shared" ref="E12:N12" si="4">(E6-D6)/D6</f>
        <v>-1.2208161449839054E-2</v>
      </c>
      <c r="F12" s="486">
        <f t="shared" si="4"/>
        <v>0.17290122301370647</v>
      </c>
      <c r="G12" s="486">
        <f t="shared" si="4"/>
        <v>0.15928584010442298</v>
      </c>
      <c r="H12" s="486">
        <f t="shared" si="4"/>
        <v>9.3715504232346508E-2</v>
      </c>
      <c r="I12" s="486">
        <f t="shared" si="4"/>
        <v>0.121063661784525</v>
      </c>
      <c r="J12" s="486">
        <f t="shared" si="4"/>
        <v>9.6496421367445406E-2</v>
      </c>
      <c r="K12" s="486">
        <f t="shared" si="4"/>
        <v>0.1004776135289434</v>
      </c>
      <c r="L12" s="486">
        <f t="shared" si="4"/>
        <v>9.8155924445483919E-2</v>
      </c>
      <c r="M12" s="486">
        <f t="shared" si="4"/>
        <v>9.6128520822803515E-2</v>
      </c>
      <c r="N12" s="486">
        <f t="shared" si="4"/>
        <v>9.5297872736846201E-2</v>
      </c>
    </row>
    <row r="13" spans="2:14">
      <c r="C13" s="394"/>
      <c r="D13" s="470"/>
      <c r="E13" s="486"/>
      <c r="F13" s="486"/>
      <c r="G13" s="486"/>
      <c r="H13" s="486"/>
      <c r="I13" s="486"/>
      <c r="J13" s="486"/>
      <c r="K13" s="486"/>
      <c r="L13" s="486"/>
      <c r="M13" s="486"/>
      <c r="N13" s="486"/>
    </row>
    <row r="14" spans="2:14">
      <c r="D14" s="470"/>
      <c r="E14" s="470"/>
      <c r="F14" s="470"/>
      <c r="G14" s="470"/>
      <c r="H14" s="470"/>
      <c r="I14" s="470"/>
      <c r="J14" s="470"/>
      <c r="K14" s="470"/>
      <c r="L14" s="470"/>
      <c r="M14" s="470"/>
      <c r="N14" s="470"/>
    </row>
    <row r="15" spans="2:14">
      <c r="D15" s="470"/>
      <c r="E15" s="470"/>
      <c r="F15" s="470"/>
      <c r="G15" s="470"/>
      <c r="H15" s="470"/>
      <c r="I15" s="470"/>
      <c r="J15" s="470"/>
      <c r="K15" s="470"/>
      <c r="L15" s="470"/>
      <c r="M15" s="470"/>
      <c r="N15" s="470"/>
    </row>
    <row r="16" spans="2:14">
      <c r="D16" s="470"/>
      <c r="E16" s="470"/>
      <c r="F16" s="470"/>
      <c r="G16" s="470"/>
      <c r="H16" s="470"/>
      <c r="I16" s="470"/>
      <c r="J16" s="470"/>
      <c r="K16" s="470"/>
      <c r="L16" s="470"/>
      <c r="M16" s="470"/>
      <c r="N16" s="470"/>
    </row>
    <row r="17" spans="4:14">
      <c r="D17" s="470"/>
      <c r="E17" s="470"/>
      <c r="F17" s="470"/>
      <c r="G17" s="470"/>
      <c r="H17" s="470"/>
      <c r="I17" s="470"/>
      <c r="J17" s="470"/>
      <c r="K17" s="470"/>
      <c r="L17" s="470"/>
      <c r="M17" s="470"/>
      <c r="N17" s="470"/>
    </row>
    <row r="18" spans="4:14">
      <c r="D18" s="470"/>
      <c r="E18" s="470"/>
      <c r="F18" s="470"/>
      <c r="G18" s="470"/>
      <c r="H18" s="470"/>
      <c r="I18" s="470"/>
      <c r="J18" s="470"/>
      <c r="K18" s="470"/>
      <c r="L18" s="470"/>
      <c r="M18" s="470"/>
      <c r="N18" s="470"/>
    </row>
    <row r="19" spans="4:14">
      <c r="D19" s="397"/>
      <c r="E19" s="397"/>
      <c r="F19" s="397"/>
      <c r="G19" s="397"/>
      <c r="H19" s="397"/>
      <c r="I19" s="397"/>
      <c r="J19" s="397"/>
      <c r="K19" s="397"/>
      <c r="L19" s="397"/>
      <c r="M19" s="397"/>
      <c r="N19" s="397"/>
    </row>
    <row r="20" spans="4:14">
      <c r="D20" s="397"/>
      <c r="E20" s="397"/>
      <c r="F20" s="397"/>
      <c r="G20" s="397"/>
      <c r="H20" s="397"/>
      <c r="I20" s="397"/>
      <c r="J20" s="397"/>
      <c r="K20" s="397"/>
      <c r="L20" s="397"/>
      <c r="M20" s="397"/>
      <c r="N20" s="397"/>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6B487-897E-4F7D-BEEB-A0A414A33CD2}">
  <sheetPr codeName="Sheet37"/>
  <dimension ref="B1:N12"/>
  <sheetViews>
    <sheetView showGridLines="0" workbookViewId="0">
      <pane ySplit="2" topLeftCell="A3" activePane="bottomLeft" state="frozen"/>
      <selection pane="bottomLeft" activeCell="E66" sqref="E66"/>
    </sheetView>
  </sheetViews>
  <sheetFormatPr defaultRowHeight="14.4"/>
  <cols>
    <col min="1" max="1" width="2" customWidth="1"/>
    <col min="2" max="2" width="41.33203125" customWidth="1"/>
    <col min="3" max="23" width="15.5546875" customWidth="1"/>
  </cols>
  <sheetData>
    <row r="1" spans="2:14">
      <c r="D1" s="463" t="s">
        <v>350</v>
      </c>
      <c r="E1" s="463" t="s">
        <v>350</v>
      </c>
      <c r="F1" s="463" t="s">
        <v>350</v>
      </c>
      <c r="G1" s="463" t="s">
        <v>350</v>
      </c>
      <c r="H1" s="463" t="s">
        <v>350</v>
      </c>
      <c r="I1" s="464" t="s">
        <v>350</v>
      </c>
      <c r="J1" s="463" t="s">
        <v>465</v>
      </c>
      <c r="K1" s="463" t="s">
        <v>465</v>
      </c>
      <c r="L1" s="463" t="s">
        <v>465</v>
      </c>
      <c r="M1" s="463" t="s">
        <v>465</v>
      </c>
      <c r="N1" s="463" t="s">
        <v>465</v>
      </c>
    </row>
    <row r="2" spans="2:14">
      <c r="B2" s="199" t="s">
        <v>1117</v>
      </c>
      <c r="C2" s="462" t="s">
        <v>1118</v>
      </c>
      <c r="D2" s="466" t="s">
        <v>41</v>
      </c>
      <c r="E2" s="466" t="s">
        <v>42</v>
      </c>
      <c r="F2" s="466" t="s">
        <v>43</v>
      </c>
      <c r="G2" s="466" t="s">
        <v>44</v>
      </c>
      <c r="H2" s="466" t="s">
        <v>45</v>
      </c>
      <c r="I2" s="467" t="s">
        <v>46</v>
      </c>
      <c r="J2" s="466" t="s">
        <v>1086</v>
      </c>
      <c r="K2" s="466" t="s">
        <v>352</v>
      </c>
      <c r="L2" s="466" t="s">
        <v>353</v>
      </c>
      <c r="M2" s="466" t="s">
        <v>354</v>
      </c>
      <c r="N2" s="466" t="s">
        <v>355</v>
      </c>
    </row>
    <row r="4" spans="2:14">
      <c r="B4" t="str">
        <f>'Ratio analysis'!B101</f>
        <v>(Net profit/avg shareholder equity)</v>
      </c>
      <c r="C4" s="394" t="str">
        <f>'Ratio analysis'!E101</f>
        <v>ROE</v>
      </c>
      <c r="E4" s="399">
        <f>'Ratio analysis'!I101</f>
        <v>0.25494170150464807</v>
      </c>
      <c r="F4" s="399">
        <f>'Ratio analysis'!J101</f>
        <v>0.23663955585445626</v>
      </c>
      <c r="G4" s="399">
        <f>'Ratio analysis'!K101</f>
        <v>0.23770785912113301</v>
      </c>
      <c r="H4" s="399">
        <f>'Ratio analysis'!L101</f>
        <v>0.21740336295242768</v>
      </c>
      <c r="I4" s="399">
        <f>'Ratio analysis'!M101</f>
        <v>0.19625504766470592</v>
      </c>
      <c r="J4" s="399">
        <f>'Ratio analysis'!N101</f>
        <v>0.19325139560608295</v>
      </c>
      <c r="K4" s="399">
        <f>'Ratio analysis'!O101</f>
        <v>0.19995323226957717</v>
      </c>
      <c r="L4" s="399">
        <f>'Ratio analysis'!P101</f>
        <v>0.19475529030679017</v>
      </c>
      <c r="M4" s="399">
        <f>'Ratio analysis'!Q101</f>
        <v>0.19023353400926449</v>
      </c>
      <c r="N4" s="399">
        <f>'Ratio analysis'!R101</f>
        <v>0.18805489834013298</v>
      </c>
    </row>
    <row r="5" spans="2:14">
      <c r="B5" t="str">
        <f>'Ratio analysis'!B102</f>
        <v>(Net profit/avg total assets)</v>
      </c>
      <c r="C5" s="394" t="str">
        <f>'Ratio analysis'!E102</f>
        <v>ROA</v>
      </c>
      <c r="E5" s="399">
        <f>'Ratio analysis'!I102</f>
        <v>0.16866229788654288</v>
      </c>
      <c r="F5" s="399">
        <f>'Ratio analysis'!J102</f>
        <v>0.16277426625783761</v>
      </c>
      <c r="G5" s="399">
        <f>'Ratio analysis'!K102</f>
        <v>0.16790735572348892</v>
      </c>
      <c r="H5" s="399">
        <f>'Ratio analysis'!L102</f>
        <v>0.15079765135749018</v>
      </c>
      <c r="I5" s="399">
        <f>'Ratio analysis'!M102</f>
        <v>0.13130549098072777</v>
      </c>
      <c r="J5" s="399">
        <f>'Ratio analysis'!N102</f>
        <v>0.12820997195134154</v>
      </c>
      <c r="K5" s="399">
        <f>'Ratio analysis'!O102</f>
        <v>0.13519024239314134</v>
      </c>
      <c r="L5" s="399">
        <f>'Ratio analysis'!P102</f>
        <v>0.13427794226042156</v>
      </c>
      <c r="M5" s="399">
        <f>'Ratio analysis'!Q102</f>
        <v>0.13352164708380362</v>
      </c>
      <c r="N5" s="399">
        <f>'Ratio analysis'!R102</f>
        <v>0.13430628324213453</v>
      </c>
    </row>
    <row r="6" spans="2:14">
      <c r="B6" t="str">
        <f>'Ratio analysis'!B103</f>
        <v>(EBIT/avg capital employed)</v>
      </c>
      <c r="C6" s="394" t="str">
        <f>'Ratio analysis'!E103</f>
        <v>ROCE</v>
      </c>
      <c r="E6" s="399">
        <f>'Ratio analysis'!I103</f>
        <v>0.26075602326456482</v>
      </c>
      <c r="F6" s="399">
        <f>'Ratio analysis'!J103</f>
        <v>0.24953526656094069</v>
      </c>
      <c r="G6" s="399">
        <f>'Ratio analysis'!K103</f>
        <v>0.23931562425322067</v>
      </c>
      <c r="H6" s="399">
        <f>'Ratio analysis'!L103</f>
        <v>0.23823751956370195</v>
      </c>
      <c r="I6" s="399">
        <f>'Ratio analysis'!M103</f>
        <v>0.20036100790292677</v>
      </c>
      <c r="J6" s="399">
        <f>'Ratio analysis'!N103</f>
        <v>0.19632966670381963</v>
      </c>
      <c r="K6" s="399">
        <f>'Ratio analysis'!O103</f>
        <v>0.20601129462607409</v>
      </c>
      <c r="L6" s="399">
        <f>'Ratio analysis'!P103</f>
        <v>0.20169638117211833</v>
      </c>
      <c r="M6" s="399">
        <f>'Ratio analysis'!Q103</f>
        <v>0.19811849056856243</v>
      </c>
      <c r="N6" s="399">
        <f>'Ratio analysis'!R103</f>
        <v>0.19742180412194649</v>
      </c>
    </row>
    <row r="7" spans="2:14">
      <c r="B7" t="str">
        <f>'Ratio analysis'!B104</f>
        <v>(NOPAT/Average capital employed)</v>
      </c>
      <c r="C7" s="394" t="str">
        <f>'Ratio analysis'!E104</f>
        <v>ROIC I</v>
      </c>
      <c r="E7" s="399">
        <f>'Ratio analysis'!I104</f>
        <v>0.21861238281815343</v>
      </c>
      <c r="F7" s="399">
        <f>'Ratio analysis'!J104</f>
        <v>0.20913356207077988</v>
      </c>
      <c r="G7" s="399">
        <f>'Ratio analysis'!K104</f>
        <v>0.19730860809443329</v>
      </c>
      <c r="H7" s="399">
        <f>'Ratio analysis'!L104</f>
        <v>0.18300538118417803</v>
      </c>
      <c r="I7" s="399">
        <f>'Ratio analysis'!M104</f>
        <v>0.15367528949487599</v>
      </c>
      <c r="J7" s="399">
        <f>'Ratio analysis'!N104</f>
        <v>0.15058485436182964</v>
      </c>
      <c r="K7" s="399">
        <f>'Ratio analysis'!O104</f>
        <v>0.15801066297819882</v>
      </c>
      <c r="L7" s="399">
        <f>'Ratio analysis'!P104</f>
        <v>0.15470112435901476</v>
      </c>
      <c r="M7" s="399">
        <f>'Ratio analysis'!Q104</f>
        <v>0.15195688226608736</v>
      </c>
      <c r="N7" s="399">
        <f>'Ratio analysis'!R104</f>
        <v>0.15142252376153295</v>
      </c>
    </row>
    <row r="8" spans="2:14">
      <c r="C8" s="394"/>
      <c r="E8" s="399"/>
      <c r="F8" s="399"/>
      <c r="G8" s="399"/>
      <c r="H8" s="399"/>
      <c r="I8" s="399"/>
      <c r="J8" s="399"/>
      <c r="K8" s="399"/>
      <c r="L8" s="399"/>
      <c r="M8" s="399"/>
      <c r="N8" s="399"/>
    </row>
    <row r="9" spans="2:14">
      <c r="C9" t="str">
        <f>'Ratio analysis'!E47</f>
        <v>Average total assets</v>
      </c>
      <c r="E9" s="411">
        <f>'Ratio analysis'!I47</f>
        <v>8569.1349999999984</v>
      </c>
      <c r="F9" s="411">
        <f>'Ratio analysis'!J47</f>
        <v>8895.3250000000007</v>
      </c>
      <c r="G9" s="411">
        <f>'Ratio analysis'!K47</f>
        <v>10100.57</v>
      </c>
      <c r="H9" s="411">
        <f>'Ratio analysis'!L47</f>
        <v>11565.829999999998</v>
      </c>
      <c r="I9" s="411">
        <f>'Ratio analysis'!M47</f>
        <v>12969.449999999999</v>
      </c>
      <c r="J9" s="411">
        <f>'Ratio analysis'!N47</f>
        <v>14212.055</v>
      </c>
      <c r="K9" s="411">
        <f>'Ratio analysis'!O47</f>
        <v>15388.67</v>
      </c>
      <c r="L9" s="411">
        <f>'Ratio analysis'!P47</f>
        <v>16655.759999999998</v>
      </c>
      <c r="M9" s="411">
        <f>'Ratio analysis'!Q47</f>
        <v>18014.555</v>
      </c>
      <c r="N9" s="411">
        <f>'Ratio analysis'!R47</f>
        <v>19461.129999999997</v>
      </c>
    </row>
    <row r="10" spans="2:14">
      <c r="C10" t="str">
        <f>'Ratio analysis'!E48</f>
        <v>Average Capital employed</v>
      </c>
      <c r="E10" s="411">
        <f>'Ratio analysis'!I48</f>
        <v>5992.8050000000003</v>
      </c>
      <c r="F10" s="411">
        <f>'Ratio analysis'!J48</f>
        <v>6299.31</v>
      </c>
      <c r="G10" s="411">
        <f>'Ratio analysis'!K48</f>
        <v>7364.96</v>
      </c>
      <c r="H10" s="411">
        <f>'Ratio analysis'!L48</f>
        <v>8398.8450000000012</v>
      </c>
      <c r="I10" s="411">
        <f>'Ratio analysis'!M48</f>
        <v>9249.1049999999996</v>
      </c>
      <c r="J10" s="411">
        <f>'Ratio analysis'!N48</f>
        <v>10032.301793230232</v>
      </c>
      <c r="K10" s="411">
        <f>'Ratio analysis'!O48</f>
        <v>11007.933093312477</v>
      </c>
      <c r="L10" s="411">
        <f>'Ratio analysis'!P48</f>
        <v>12087.157895060351</v>
      </c>
      <c r="M10" s="411">
        <f>'Ratio analysis'!Q48</f>
        <v>13247.616453726654</v>
      </c>
      <c r="N10" s="411">
        <f>'Ratio analysis'!R48</f>
        <v>14502.387726995097</v>
      </c>
    </row>
    <row r="11" spans="2:14">
      <c r="C11" t="str">
        <f>'Ratio analysis'!E49</f>
        <v>Average shareholder equity</v>
      </c>
      <c r="E11" s="411">
        <f>'Ratio analysis'!I49</f>
        <v>5669.1</v>
      </c>
      <c r="F11" s="411">
        <f>'Ratio analysis'!J49</f>
        <v>6118.7150000000001</v>
      </c>
      <c r="G11" s="411">
        <f>'Ratio analysis'!K49</f>
        <v>7134.6399999999994</v>
      </c>
      <c r="H11" s="411">
        <f>'Ratio analysis'!L49</f>
        <v>8022.4150000000009</v>
      </c>
      <c r="I11" s="411">
        <f>'Ratio analysis'!M49</f>
        <v>8677.2800000000007</v>
      </c>
      <c r="J11" s="411">
        <f>'Ratio analysis'!N49</f>
        <v>9428.7917932302298</v>
      </c>
      <c r="K11" s="411">
        <f>'Ratio analysis'!O49</f>
        <v>10404.423093312476</v>
      </c>
      <c r="L11" s="411">
        <f>'Ratio analysis'!P49</f>
        <v>11483.647895060352</v>
      </c>
      <c r="M11" s="411">
        <f>'Ratio analysis'!Q49</f>
        <v>12644.106453726654</v>
      </c>
      <c r="N11" s="411">
        <f>'Ratio analysis'!R49</f>
        <v>13898.877726995097</v>
      </c>
    </row>
    <row r="12" spans="2:14">
      <c r="C12" t="str">
        <f>'Ratio analysis'!E50</f>
        <v>Average Interest bearing Debt</v>
      </c>
      <c r="E12" s="411">
        <f>'Ratio analysis'!I50</f>
        <v>676.55499999999995</v>
      </c>
      <c r="F12" s="411">
        <f>'Ratio analysis'!J50</f>
        <v>495.70499999999998</v>
      </c>
      <c r="G12" s="411">
        <f>'Ratio analysis'!K50</f>
        <v>475.2</v>
      </c>
      <c r="H12" s="411">
        <f>'Ratio analysis'!L50</f>
        <v>675.46</v>
      </c>
      <c r="I12" s="411">
        <f>'Ratio analysis'!M50</f>
        <v>933.33500000000004</v>
      </c>
      <c r="J12" s="411">
        <f>'Ratio analysis'!N50</f>
        <v>999.02</v>
      </c>
      <c r="K12" s="411">
        <f>'Ratio analysis'!O50</f>
        <v>999.02</v>
      </c>
      <c r="L12" s="411">
        <f>'Ratio analysis'!P50</f>
        <v>999.02</v>
      </c>
      <c r="M12" s="411">
        <f>'Ratio analysis'!Q50</f>
        <v>999.02</v>
      </c>
      <c r="N12" s="411">
        <f>'Ratio analysis'!R50</f>
        <v>999.02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COVER</vt:lpstr>
      <vt:lpstr>Valuation Methodology</vt:lpstr>
      <vt:lpstr>Caution</vt:lpstr>
      <vt:lpstr>INDEX</vt:lpstr>
      <vt:lpstr>DATA</vt:lpstr>
      <vt:lpstr>BS</vt:lpstr>
      <vt:lpstr>P&amp;L</vt:lpstr>
      <vt:lpstr>Cash flow</vt:lpstr>
      <vt:lpstr>Data Pointers</vt:lpstr>
      <vt:lpstr>Data source links</vt:lpstr>
      <vt:lpstr>Forecasting</vt:lpstr>
      <vt:lpstr>Street estimates-FY24</vt:lpstr>
      <vt:lpstr>Street estimates-FY25</vt:lpstr>
      <vt:lpstr>Revenue </vt:lpstr>
      <vt:lpstr>COGS</vt:lpstr>
      <vt:lpstr>OPEX</vt:lpstr>
      <vt:lpstr>Inventory</vt:lpstr>
      <vt:lpstr>TR&amp;TP</vt:lpstr>
      <vt:lpstr>Fixed asset Schedule</vt:lpstr>
      <vt:lpstr>Interest paid &amp; Other income</vt:lpstr>
      <vt:lpstr>Output</vt:lpstr>
      <vt:lpstr>BS(OUTPUT)</vt:lpstr>
      <vt:lpstr>P&amp;L(OUTPUT)</vt:lpstr>
      <vt:lpstr>CASH FLOW(OUTPUT)</vt:lpstr>
      <vt:lpstr>Ratio analysis</vt:lpstr>
      <vt:lpstr>Valuation</vt:lpstr>
      <vt:lpstr>NCI value</vt:lpstr>
      <vt:lpstr>JV Valuation</vt:lpstr>
      <vt:lpstr>Forward PE valuation</vt:lpstr>
      <vt:lpstr>WACC</vt:lpstr>
      <vt:lpstr>DCF</vt:lpstr>
      <vt:lpstr>Graphs</vt:lpstr>
      <vt:lpstr>Revenue</vt:lpstr>
      <vt:lpstr>Profit</vt:lpstr>
      <vt:lpstr>Balance sheet</vt:lpstr>
      <vt:lpstr>Returns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Piyush Anand</dc:creator>
  <cp:lastModifiedBy>Piyush Anand</cp:lastModifiedBy>
  <dcterms:created xsi:type="dcterms:W3CDTF">2015-06-05T18:17:20Z</dcterms:created>
  <dcterms:modified xsi:type="dcterms:W3CDTF">2024-06-13T17:16:45Z</dcterms:modified>
</cp:coreProperties>
</file>